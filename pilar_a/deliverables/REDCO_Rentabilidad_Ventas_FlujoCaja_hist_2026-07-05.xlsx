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8.xml" ContentType="application/vnd.openxmlformats-officedocument.spreadsheetml.worksheet+xml"/>
  <Override PartName="/xl/worksheets/sheet20.xml" ContentType="application/vnd.openxmlformats-officedocument.spreadsheetml.worksheet+xml"/>
  <Override PartName="/xl/worksheets/sheet15.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Portada_Metodologia" sheetId="1" state="visible" r:id="rId3"/>
    <sheet name="01_Rentabilidad_2024_2025" sheetId="2" state="visible" r:id="rId4"/>
    <sheet name="02_Ventas_2023_2025" sheetId="3" state="visible" r:id="rId5"/>
    <sheet name="03_FlujoCaja_2024_2025" sheetId="4" state="visible" r:id="rId6"/>
    <sheet name="04_Rentab_Dotacion_Dic2025" sheetId="5" state="visible" r:id="rId7"/>
    <sheet name="05_ROI_Pais_Producto_Ano" sheetId="6" state="visible" r:id="rId8"/>
    <sheet name="91_Puente_Identidad" sheetId="7" state="visible" r:id="rId9"/>
    <sheet name="90_Origen_Rentab_2025" sheetId="8" state="visible" r:id="rId10"/>
    <sheet name="90_Origen_PL2024" sheetId="9" state="visible" r:id="rId11"/>
    <sheet name="90_Origen_Ing2024_Pais" sheetId="10" state="visible" r:id="rId12"/>
    <sheet name="90_Origen_NivelIng_Edu" sheetId="11" state="visible" r:id="rId13"/>
    <sheet name="90_Origen_MargenNivel" sheetId="12" state="visible" r:id="rId14"/>
    <sheet name="90_Origen_FlujoAnual_2025" sheetId="13" state="visible" r:id="rId15"/>
    <sheet name="90_Origen_Ledger_EdP" sheetId="14" state="visible" r:id="rId16"/>
    <sheet name="90_Origen_Caja_2025" sheetId="15" state="visible" r:id="rId17"/>
    <sheet name="90_Origen_Devengo_2025" sheetId="16" state="visible" r:id="rId18"/>
    <sheet name="90_Origen_Cobros_Ledger" sheetId="17" state="visible" r:id="rId19"/>
    <sheet name="90_Origen_HH_Real_Dic25" sheetId="18" state="visible" r:id="rId20"/>
    <sheet name="90_Origen_EDP_Dic25" sheetId="19" state="visible" r:id="rId21"/>
    <sheet name="99_Fuentes"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<sst xmlns="http://schemas.openxmlformats.org/spreadsheetml/2006/main" count="15139" uniqueCount="1209">
  <si>
    <t xml:space="preserve">REDCO · Rentabilidad, Ventas y Flujo de Caja — Análisis histórico</t>
  </si>
  <si>
    <t xml:space="preserve">Libro único de trazabilidad. Fecha de generación: 2026-07-05.  Todos los montos en USD.</t>
  </si>
  <si>
    <t xml:space="preserve">Qué es este archivo</t>
  </si>
  <si>
    <t xml:space="preserve">Cuatro análisis históricos de REDCO, cada uno en su hoja (01-04), más el puente de identidad (91), las hojas de datos de origen (90_*) y las fuentes (99).</t>
  </si>
  <si>
    <t xml:space="preserve">Las hojas 01-04 NO contienen valores pegados: se calculan con fórmulas (SUMIFS/VLOOKUP) que leen de las hojas 90_* y 91. La trazabilidad es recalculable dentro del mismo libro (Datos → Actualizar / recalcular).</t>
  </si>
  <si>
    <t xml:space="preserve">Regla de color: texto VERDE = fórmula que enlaza a otra hoja del libro (staging); texto NEGRO = cálculo dentro de la hoja.</t>
  </si>
  <si>
    <t xml:space="preserve">Definición de 'VENTA' usada (Entregable 2)</t>
  </si>
  <si>
    <t xml:space="preserve">VENTA = 'Emitido USD' del ledger CicloEdP_2023_v1 (devengo real del servicio ejecutado / EDP emitido).</t>
  </si>
  <si>
    <t xml:space="preserve">Motivo: el campo 'Proyectado USD' está en 0 para todo 2025 en el ledger (la proyección de ese año se llevó en el POM, no en el ledger), por lo que NO sirve como proxy de venta comparable entre años.</t>
  </si>
  <si>
    <t xml:space="preserve">'Proyectado USD', 'Facturado USD' e 'Ingresado USD' se muestran como columnas de contraste (hoja 02, bloque C).</t>
  </si>
  <si>
    <t xml:space="preserve">Definición de 'TIPO DE PRODUCTO' (derivado — no es campo nativo)</t>
  </si>
  <si>
    <t xml:space="preserve">No existe columna de tipo de producto/línea de servicio en ninguna fuente. Se deriva del segmento FASE del campo 'Código' del ledger (formato PAÍS-CLIENTE-UNIDAD-FASE-corr-rev, p.ej. CH-CMP-OU-FEL00-001-A).</t>
  </si>
  <si>
    <t xml:space="preserve">Mapa (según context/first_iteration.md — Dimensiones del Core Actual):</t>
  </si>
  <si>
    <t xml:space="preserve">   • FEL00 / FEL01 / FEL2A / FEL2B  →  Core (Estudios FEL 0-1-2A-2B, consultoría y análisis de riesgo).</t>
  </si>
  <si>
    <t xml:space="preserve">   • FEL03 / FEL04                  →  Adyacencia (Ingeniería FEL 3-4, gestión operativa).</t>
  </si>
  <si>
    <t xml:space="preserve">   • OTR00 / OTR*                   →  Otro / Sin fase — se reporta APARTE (no se fuerza dentro de FEL).</t>
  </si>
  <si>
    <t xml:space="preserve">El volumen OTR es alto (~33% del emitido 24-25). En el ledger (hoja 90) se añadió una columna 'Servicio_Inferido_Texto' que clasifica esas filas por palabras clave (Geomecánica, Auditoría, PFS/LOM, Simulación, etc.) — marcada explícitamente como 'Inferida por texto', distinta de la clasificación por código FEL.</t>
  </si>
  <si>
    <t xml:space="preserve">DIMENSIÓN COMPLEMENTARIA — 'Nivel de Ingeniería' (definición NATIVA de REDCO, modelo Edu): taxonomía propia del negocio (Estudio Conceptual/LOM, Scoping, PEA, PFS, FS e Ing. Básica, Permisos/MEIA, Consultoría/Due Diligence, Confiabilidad Planes) con mapeo a Core/Adyacencia. Se reporta en 01·D sobre el Monto Contrato de los 59 proyectos del modelo Edu. NO se usó para clasificar todo el ledger porque el cruce por nombre de proyecto cubre solo ~15% del emitido 2024-25 (los nombres del Dashboard no calzan con 'Nombre Teams' del ledger).</t>
  </si>
  <si>
    <t xml:space="preserve">IMPORTANTE: el corte por tipo de producto es de INGRESO/CONTRATO. El COSTO no es divisible por tipo de producto en las fuentes, por lo que no hay margen por tipo de producto.</t>
  </si>
  <si>
    <t xml:space="preserve">Devengo vs. Caja (Entregable 3)</t>
  </si>
  <si>
    <t xml:space="preserve">Se mantienen separados: DEVENGO de gestión (EDP/Facturación/Ingresos de 'Resumen Forecast 25´', en kUSD→USD) vs. CAJA REAL (hojas 'Flujo Redco &lt;país&gt;' y cobros del ledger). No se suman entre sí.</t>
  </si>
  <si>
    <t xml:space="preserve">2025: flujo de caja completo por entidad×mes (Caja Inicial, Ingresos, Egresos, Caja Final) — reconciliado con 'SALDO FLUJO REDCO MENSUAL'.</t>
  </si>
  <si>
    <t xml:space="preserve">2024: NO existe archivo maestro de flujo de CAJA bancaria 2024, pero SÍ se dispone del RESULTADO OPERACIONAL DE GESTIÓN 2024 mensual (Ingresos/Gastos/Beneficio) del archivo 'Gastos a Diciembre 2024_v0.xlsx' (Respaldos) — se muestra en 03·D y alimenta el margen 2024 de 01·B. Además se reconstruyen los COBROS a caja (Ingresado USD) por país×mes desde el ledger (03·B). El gasto 2024 por país solo existe para Chile/Brasil (no todos los países), por eso el margen 2024 se presenta consolidado. Contexto: resultado neto contable anual 2024 ≈ −250.471 MCLP (Respaldos/UTILIDAD X AÑO) — base distinta (RLI) del beneficio de gestión +2,31 MUSD.</t>
  </si>
  <si>
    <t xml:space="preserve">ROI y ROE (hoja 05_ROI)</t>
  </si>
  <si>
    <t xml:space="preserve">ROI = retorno sobre COSTO (Beneficio/Costo), por año, producto (Nivel de Ingeniería) y país. NO es retorno sobre capital invertido: no hay activos/capital en las fuentes.</t>
  </si>
  <si>
    <t xml:space="preserve">CORRECCIÓN DE PAÍS: los costos se atribuyen al PAÍS DE ORIGEN del proyecto (columna 'País Origen' de las hojas de proyecto), no al país donde se cargan contablemente (que concentra casi todo en Chile). Con esta definición Chile deja de salir artificialmente negativo (pasa de ROI −28% as-booked a ~59% por origen) y Perú/USA emergen como los más rentables (~97%/96%); Brasil es el más débil (~19%).</t>
  </si>
  <si>
    <t xml:space="preserve">ROE = Utilidad neta / Patrimonio: NO calculable — no hay balance ni patrimonio en las fuentes. Se puede incorporar si se aporta el patrimonio contable por entidad/año.</t>
  </si>
  <si>
    <t xml:space="preserve">Supuestos y limitaciones (validar con el equipo REDCO)</t>
  </si>
  <si>
    <t xml:space="preserve">1. Multi-moneda / multi-entidad: todo normalizado a USD. TC de las hojas de facturación Chile = 960 CLP/USD (documentado en la propia hoja); el ledger y las hojas 'Flujo Redco' ya vienen en USD.</t>
  </si>
  <si>
    <t xml:space="preserve">2. Entregable 4 es una FOTO de un solo mes (diciembre 2025): única fuente de horas reales por persona. No es representativo de todo 2024/2025.</t>
  </si>
  <si>
    <t xml:space="preserve">3. Prorrateo E4: el costo laboral se reparte proporcional a las horas cargadas (aprox. gerencial, NO costeo ABC). No incluye viajes/terceros (63 y 122 registros sin persona ni proyecto asociado — REPORTE_Datos_Persona §6). El margen E4 es 'margen sobre costo laboral atribuible', no el margen total del proyecto.</t>
  </si>
  <si>
    <t xml:space="preserve">4. Costo laboral E4 = snapshot mensual de payroll 2026 (05_Modelo, hojas 09_Personal + 09B_Honorarios, Gasto Empresa USD). Se usa como PROXY del costo mensual de dic-2025. Los bonos (09A) están fechados en 2026 → NO se prorratean a dic-2025.</t>
  </si>
  <si>
    <t xml:space="preserve">5. Rol/Cargo, País de nómina y holgura provienen del roster POM de junio-2026 (04_POM). Personas que rotaron entre dic-2025 y jun-2026 pueden no aparecer.</t>
  </si>
  <si>
    <t xml:space="preserve">6. Puente de identidad (hoja 91): match por 'Nombre TEAMS' normalizado (mayúsculas, sin tildes/puntos). Costo enlazado por RUT/DNI o nombre completo. 34 de 49 profesionales con horas reales se resolvieron al roster; 33 con costo. Los NO resueltos (posible rotación/externos) se listan aparte en 04·F y NO se les fuerza una identidad.</t>
  </si>
  <si>
    <t xml:space="preserve">7. Ingreso de proyecto E4 = EDP Emitido USD con Fecha Emisión en dic-2025 (ledger). Proyectos con horas reales pero sin EDP emitido ese mes (Seligdar_Kyuchus, AtlasMining, Polyus, Codelco, Los Calatos, etc. — 'efecto Rusia'/timing) reciben ingreso atribuido 0: aparecen como costo sin ingreso (documentado, no inventado).</t>
  </si>
  <si>
    <t xml:space="preserve">8. Uso de Respaldos/: solo para el resultado neto anual 2024 (UTILIDAD X AÑO). Todas las demás cifras provienen de los archivos canónicos (raíz de carpeta), no de Respaldos.</t>
  </si>
  <si>
    <t xml:space="preserve">9. Se descartó la hoja 'Ingreso Proyectado_Edu' (duplicado huérfano) y no se usaron valores cacheados de links SharePoint del Budget.</t>
  </si>
  <si>
    <t xml:space="preserve">Índice de hojas</t>
  </si>
  <si>
    <t xml:space="preserve">00_Portada_Metodologia · 01_Rentabilidad_2024_2025 · 02_Ventas_2023_2025 · 03_FlujoCaja_2024_2025 · 04_Rentab_Dotacion_Dic2025 (FOTO dic-2025) · 91_Puente_Identidad · 90_Origen_* (datos de origen) · 99_Fuentes.</t>
  </si>
  <si>
    <t xml:space="preserve">ENTREGABLE 1 · Rentabilidad histórica por país y tipo de producto</t>
  </si>
  <si>
    <t xml:space="preserve">2025: País×Mes (resultado operacional real). 2024: solo ingreso devengado (EDP emitido) — el costo/margen 2024 por país NO existe en las fuentes.</t>
  </si>
  <si>
    <t xml:space="preserve">A) 2025 — Resultado operacional por País × Mes (USD)  ·  fuente: Tabla datos unidades_Dic</t>
  </si>
  <si>
    <t xml:space="preserve">País</t>
  </si>
  <si>
    <t xml:space="preserve">Mes</t>
  </si>
  <si>
    <t xml:space="preserve">Ingreso Op. USD</t>
  </si>
  <si>
    <t xml:space="preserve">Gasto Op. USD (incl. adm.)</t>
  </si>
  <si>
    <t xml:space="preserve">Beneficio USD</t>
  </si>
  <si>
    <t xml:space="preserve">Margen %</t>
  </si>
  <si>
    <t xml:space="preserve">Chile</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</si>
  <si>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</si>
  <si>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</si>
  <si>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</si>
  <si>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</si>
  <si>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</si>
  <si>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</si>
  <si>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</si>
  <si>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</si>
  <si>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</si>
  <si>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</si>
  <si>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</si>
  <si>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</si>
  <si>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Perú</t>
  </si>
  <si>
    <t xml:space="preserve">Brasil</t>
  </si>
  <si>
    <t xml:space="preserve">USA</t>
  </si>
  <si>
    <t xml:space="preserve">Otros</t>
  </si>
  <si>
    <t xml:space="preserve">Subtotal anual 2025 por país</t>
  </si>
  <si>
    <t xml:space="preserve">Gasto Op. USD</t>
  </si>
  <si>
    <t xml:space="preserve">TOTAL 2025</t>
  </si>
  <si>
    <t xml:space="preserve">B) 2024 — Resultado operacional de gestión CONSOLIDADO por mes (USD).  fuente: 'Gastos a Diciembre 2024_v0.xlsx' hoja 'Beneficio'.  Margen por país 2024 no disponible (solo consolidado).</t>
  </si>
  <si>
    <t xml:space="preserve">Mes 2024</t>
  </si>
  <si>
    <t xml:space="preserve">Ingresos USD</t>
  </si>
  <si>
    <t xml:space="preserve">Gastos USD</t>
  </si>
  <si>
    <t xml:space="preserve">TOTAL 2024</t>
  </si>
  <si>
    <t xml:space="preserve">B2) 2024 — Ingreso por País (anual, USD). Fuente: 'Ingresos para PPT_Dic'. Contraste: Emitido USD del ledger.</t>
  </si>
  <si>
    <t xml:space="preserve">Ingreso 2024 USD (gestión)</t>
  </si>
  <si>
    <t xml:space="preserve">Contraste: Emitido USD (ledger)</t>
  </si>
  <si>
    <t xml:space="preserve">Rusia</t>
  </si>
  <si>
    <t xml:space="preserve">C) Tipo de producto (derivado del código FEL) — Ingreso devengado (EDP Emitido USD). El costo NO es divisible por tipo de producto.</t>
  </si>
  <si>
    <t xml:space="preserve">Tipo de producto (FEL)</t>
  </si>
  <si>
    <t xml:space="preserve">Emitido 2024 USD</t>
  </si>
  <si>
    <t xml:space="preserve">Emitido 2025 USD</t>
  </si>
  <si>
    <t xml:space="preserve">Total 24-25 USD</t>
  </si>
  <si>
    <t xml:space="preserve">% del total</t>
  </si>
  <si>
    <t xml:space="preserve">Core (Estudios FEL 0-1-2A-2B)</t>
  </si>
  <si>
    <t xml:space="preserve">Adyacencia (Ingeniería FEL 3-4)</t>
  </si>
  <si>
    <t xml:space="preserve">Otro / Sin fase (OTR)</t>
  </si>
  <si>
    <t xml:space="preserve">No parseable / Sin código</t>
  </si>
  <si>
    <t xml:space="preserve">TOTAL</t>
  </si>
  <si>
    <t xml:space="preserve">D) Tipo de producto — NIVEL DE INGENIERÍA (definición nativa REDCO, modelo Edu · Monto Contrato de cartera USD). Complementa la clasificación por código FEL (cruce con ledger solo 15% → se reporta sobre los 59 proyectos del modelo).</t>
  </si>
  <si>
    <t xml:space="preserve">Clasif. Core/Adyacencia</t>
  </si>
  <si>
    <t xml:space="preserve">Nivel de Ingeniería</t>
  </si>
  <si>
    <t xml:space="preserve">N° proyectos</t>
  </si>
  <si>
    <t xml:space="preserve">Monto Contrato USD</t>
  </si>
  <si>
    <t xml:space="preserve">% cartera</t>
  </si>
  <si>
    <t xml:space="preserve">Core (FEL 0-2B / consultoría)</t>
  </si>
  <si>
    <t xml:space="preserve">Estudio Conceptual / LOM</t>
  </si>
  <si>
    <t xml:space="preserve">Scoping</t>
  </si>
  <si>
    <t xml:space="preserve">PEA</t>
  </si>
  <si>
    <t xml:space="preserve">PFS</t>
  </si>
  <si>
    <t xml:space="preserve">Confiabilidad Planes</t>
  </si>
  <si>
    <t xml:space="preserve">Consultoria y Due Dilligence</t>
  </si>
  <si>
    <t xml:space="preserve">Adyacencia (FEL 3-4 / gestión op.)</t>
  </si>
  <si>
    <t xml:space="preserve">FS e Ing. Basica</t>
  </si>
  <si>
    <t xml:space="preserve">Permisos / MEIA</t>
  </si>
  <si>
    <t xml:space="preserve">SUBTOTAL Core</t>
  </si>
  <si>
    <t xml:space="preserve">SUBTOTAL Adyacencia</t>
  </si>
  <si>
    <t xml:space="preserve">TOTAL cartera (modelo Edu)</t>
  </si>
  <si>
    <t xml:space="preserve">E) ⭐ MARGEN DE CONTRIBUCIÓN por Nivel de Ingeniería = Ingreso Proyectado − Costo Directo (ventana abr-dic 2025, modelo Edu). Responde: ¿dónde gana buen margen y dónde no?</t>
  </si>
  <si>
    <t xml:space="preserve">N° proy</t>
  </si>
  <si>
    <t xml:space="preserve">Ingreso USD</t>
  </si>
  <si>
    <t xml:space="preserve">Costo Directo USD</t>
  </si>
  <si>
    <t xml:space="preserve">Margen Contrib. USD</t>
  </si>
  <si>
    <t xml:space="preserve">TOTAL cartera modelada</t>
  </si>
  <si>
    <t xml:space="preserve">E2) Margen de contribución por País de ORIGEN (costo atribuido al país del proyecto, no donde se carga contablemente). Ver hoja 05_ROI para el detalle del sesgo corregido.</t>
  </si>
  <si>
    <t xml:space="preserve">País (origen)</t>
  </si>
  <si>
    <t xml:space="preserve">LECTURA ESTRATÉGICA — ¿dónde le va bien a REDCO y dónde faltan márgenes?</t>
  </si>
  <si>
    <t xml:space="preserve">GEOGRAFÍA (dato duro, resultado operacional real 2025 — bloque A y Flujo Anual): Perú, Brasil y USA aportan margen positivo; CHILE es el foco de pérdida operacional (Resultado Op. −1,41 MUSD en 2025). Rusia genera horas sin cobro (efecto Seligdar).</t>
  </si>
  <si>
    <t xml:space="preserve">TIPO DE PRODUCTO / NIVEL (margen de contribución modelado, bloque E): REDCO gana buen margen en los estudios TEMPRANOS y de bajo costo variable — Estudio Conceptual/LOM (~67%), PEA (~62%) y Permisos/MEIA (~78%).</t>
  </si>
  <si>
    <t xml:space="preserve">Donde FALTAN márgenes: PFS (~2%) y Scoping (~5%) son casi break-even pese a facturar volumen alto — señal de sub-precio y/o sobre-ejecución de horas (HH real &gt; vendida). Consultoría/Due Diligence (~24%) también queda bajo el promedio (37%).</t>
  </si>
  <si>
    <t xml:space="preserve">IMPLICANCIA: el crecimiento en Adyacencia (FS e Ing. Básica, FEL3) tiene margen % menor (~30%) pero volumen alto; el Core temprano es más rentable en %. Revisar pricing/ejecución de PFS y Scoping es la palanca de margen más clara.</t>
  </si>
  <si>
    <t xml:space="preserve">VALIDACIÓN DE ALCANCE: este margen es de CONTRIBUCIÓN (ingreso − costo DIRECTO), PROYECTADO (modelo Edu, abr-dic 2025), sobre 42 proyectos. No incluye costos indirectos/administrativos ni es cierre contable. Sirve para comparar rentabilidad RELATIVA entre tipos de producto, no como P&amp;L final.</t>
  </si>
  <si>
    <t xml:space="preserve">ENTREGABLE 2 · Ventas por país y cliente (2023→2026 parcial)</t>
  </si>
  <si>
    <t xml:space="preserve">Definición de VENTA = 'Emitido USD' (devengo real del EDP). 'Proyectado USD' se descarta como principal (=0 en 2025). Contraste: Proyectado / Ingresado.</t>
  </si>
  <si>
    <t xml:space="preserve">A) Venta (Emitido USD) por País × Cliente × Año — top 10 clientes por país + resto</t>
  </si>
  <si>
    <t xml:space="preserve">Cliente</t>
  </si>
  <si>
    <t xml:space="preserve">2023</t>
  </si>
  <si>
    <t xml:space="preserve">2024</t>
  </si>
  <si>
    <t xml:space="preserve">2025</t>
  </si>
  <si>
    <t xml:space="preserve">2026 (parc.)</t>
  </si>
  <si>
    <t xml:space="preserve">Total 23-26</t>
  </si>
  <si>
    <t xml:space="preserve">% país</t>
  </si>
  <si>
    <t xml:space="preserve">CMP</t>
  </si>
  <si>
    <t xml:space="preserve">AMSA</t>
  </si>
  <si>
    <t xml:space="preserve">BHP</t>
  </si>
  <si>
    <t xml:space="preserve">Codelco</t>
  </si>
  <si>
    <t xml:space="preserve">Lundin</t>
  </si>
  <si>
    <t xml:space="preserve">Glencore</t>
  </si>
  <si>
    <t xml:space="preserve">Capstone Copper</t>
  </si>
  <si>
    <t xml:space="preserve">AngloAmerican</t>
  </si>
  <si>
    <t xml:space="preserve">Mitsubichi</t>
  </si>
  <si>
    <t xml:space="preserve">MEL</t>
  </si>
  <si>
    <t xml:space="preserve">Otros clientes (resto)</t>
  </si>
  <si>
    <t xml:space="preserve">TOTAL Chile</t>
  </si>
  <si>
    <t xml:space="preserve">Minsur</t>
  </si>
  <si>
    <t xml:space="preserve">CD Capitals</t>
  </si>
  <si>
    <t xml:space="preserve">Las Bambas</t>
  </si>
  <si>
    <t xml:space="preserve">Marcobre</t>
  </si>
  <si>
    <t xml:space="preserve">Sierra metals</t>
  </si>
  <si>
    <t xml:space="preserve">MiskiMayo</t>
  </si>
  <si>
    <t xml:space="preserve">Alpayana</t>
  </si>
  <si>
    <t xml:space="preserve">Emincar</t>
  </si>
  <si>
    <t xml:space="preserve">Raura</t>
  </si>
  <si>
    <t xml:space="preserve">TOTAL Perú</t>
  </si>
  <si>
    <t xml:space="preserve">Mosaic</t>
  </si>
  <si>
    <t xml:space="preserve">EroCopper</t>
  </si>
  <si>
    <t xml:space="preserve">AuraMinerals</t>
  </si>
  <si>
    <t xml:space="preserve">EQUINOX</t>
  </si>
  <si>
    <t xml:space="preserve">J&amp;F</t>
  </si>
  <si>
    <t xml:space="preserve">NEXA</t>
  </si>
  <si>
    <t xml:space="preserve">Taboca</t>
  </si>
  <si>
    <t xml:space="preserve">LHG</t>
  </si>
  <si>
    <t xml:space="preserve">CBMM</t>
  </si>
  <si>
    <t xml:space="preserve">TOTAL Brasil</t>
  </si>
  <si>
    <t xml:space="preserve">Ivanhoe</t>
  </si>
  <si>
    <t xml:space="preserve">ThreeCrowns</t>
  </si>
  <si>
    <t xml:space="preserve">McCarthy</t>
  </si>
  <si>
    <t xml:space="preserve">TwinMetals</t>
  </si>
  <si>
    <t xml:space="preserve">VP Mining</t>
  </si>
  <si>
    <t xml:space="preserve">Resolution</t>
  </si>
  <si>
    <t xml:space="preserve">Freeport</t>
  </si>
  <si>
    <t xml:space="preserve">EMX</t>
  </si>
  <si>
    <t xml:space="preserve">South32</t>
  </si>
  <si>
    <t xml:space="preserve">TOTAL USA</t>
  </si>
  <si>
    <t xml:space="preserve">Seligdar</t>
  </si>
  <si>
    <t xml:space="preserve">Polyus</t>
  </si>
  <si>
    <t xml:space="preserve">Otro</t>
  </si>
  <si>
    <t xml:space="preserve">Eurochem</t>
  </si>
  <si>
    <t xml:space="preserve">AtlasMining</t>
  </si>
  <si>
    <t xml:space="preserve">TOTAL Rusia</t>
  </si>
  <si>
    <t xml:space="preserve">BVI</t>
  </si>
  <si>
    <t xml:space="preserve">Debevoise&amp;Plimpton</t>
  </si>
  <si>
    <t xml:space="preserve">TOTAL BVI</t>
  </si>
  <si>
    <t xml:space="preserve">Canadá</t>
  </si>
  <si>
    <t xml:space="preserve">Seabridge Gold</t>
  </si>
  <si>
    <t xml:space="preserve">TOTAL Canadá</t>
  </si>
  <si>
    <t xml:space="preserve">B) Concentración de cartera por país (sobre venta Emitido total 23-26)</t>
  </si>
  <si>
    <t xml:space="preserve">Venta total 23-26 USD</t>
  </si>
  <si>
    <t xml:space="preserve">N° clientes (top+resto)</t>
  </si>
  <si>
    <t xml:space="preserve">% Top-1 cliente</t>
  </si>
  <si>
    <t xml:space="preserve">% Top-3 clientes</t>
  </si>
  <si>
    <t xml:space="preserve">C) Contraste de definición de 'venta' — consolidado por año (USD)</t>
  </si>
  <si>
    <t xml:space="preserve">Año</t>
  </si>
  <si>
    <t xml:space="preserve">Proyectado USD (intención)</t>
  </si>
  <si>
    <t xml:space="preserve">Emitido USD (VENTA usada)</t>
  </si>
  <si>
    <t xml:space="preserve">Facturado USD</t>
  </si>
  <si>
    <t xml:space="preserve">Ingresado USD (caja)</t>
  </si>
  <si>
    <t xml:space="preserve">2026</t>
  </si>
  <si>
    <t xml:space="preserve">D) TURNOVER del ciclo EdP por País — días promedio entre los 3 momentos (Emisión→Facturación→Ingreso). Rotación anual = 365 / días del ciclo total. Fuente: CicloEdP_2023_v1.</t>
  </si>
  <si>
    <t xml:space="preserve">N° EDP (ciclo)</t>
  </si>
  <si>
    <t xml:space="preserve">Días Emisión→Factura</t>
  </si>
  <si>
    <t xml:space="preserve">Días Factura→Ingreso</t>
  </si>
  <si>
    <t xml:space="preserve">Días Emisión→Ingreso (ciclo)</t>
  </si>
  <si>
    <t xml:space="preserve">Rotación anual (veces)</t>
  </si>
  <si>
    <t xml:space="preserve">TOTAL / promedio</t>
  </si>
  <si>
    <t xml:space="preserve">E) TURNOVER del ciclo EdP por Cliente (top 15 por venta Emitido). Días promedio por etapa + rotación anual.</t>
  </si>
  <si>
    <t xml:space="preserve">N° EDP</t>
  </si>
  <si>
    <t xml:space="preserve">Días Emis→Fact</t>
  </si>
  <si>
    <t xml:space="preserve">Días Fact→Ingr</t>
  </si>
  <si>
    <t xml:space="preserve">Ciclo Emis→Ingr (días)</t>
  </si>
  <si>
    <t xml:space="preserve">Rotación anual</t>
  </si>
  <si>
    <t xml:space="preserve">ENTREGABLE 3 · Flujo de caja histórico mensual</t>
  </si>
  <si>
    <t xml:space="preserve">Se separa DEVENGO (gestión: EDP/Factura/Ingreso) de CAJA REAL (movimientos). 2025 completo por entidad; 2024 solo cobros a caja (egresos/saldos 2024 no disponibles mensualmente).</t>
  </si>
  <si>
    <t xml:space="preserve">A) CAJA REAL 2025 — por entidad × mes (USD). Caja Inicial · Ingresos · Egresos · Caja Final. Fuente: 'Flujo Redco &lt;país&gt;'.</t>
  </si>
  <si>
    <t xml:space="preserve">Entidad</t>
  </si>
  <si>
    <t xml:space="preserve">Caja Inicial</t>
  </si>
  <si>
    <t xml:space="preserve">Ingresos (op+otros)</t>
  </si>
  <si>
    <t xml:space="preserve">Egresos (costos+admin+no op+cta cte)</t>
  </si>
  <si>
    <t xml:space="preserve">Caja Final</t>
  </si>
  <si>
    <t xml:space="preserve">Flujo Neto Mes</t>
  </si>
  <si>
    <t xml:space="preserve">Consolidado 2025 (suma de entidades) por mes</t>
  </si>
  <si>
    <t xml:space="preserve">Consolidado</t>
  </si>
  <si>
    <t xml:space="preserve">Ingresos</t>
  </si>
  <si>
    <t xml:space="preserve">Egresos</t>
  </si>
  <si>
    <t xml:space="preserve">B) CAJA REAL — Cobros (Ingresado USD por Fecha Ingreso) por País × Mes: 2024 vs 2025. Fuente: ledger EdP.</t>
  </si>
  <si>
    <t xml:space="preserve">Total año</t>
  </si>
  <si>
    <t xml:space="preserve">C) DEVENGO de gestión 2025 (consolidado mensual, USD) — NO es caja. Fuente: Resumen Forecast 25´.</t>
  </si>
  <si>
    <t xml:space="preserve">Concepto</t>
  </si>
  <si>
    <t xml:space="preserve">EDP</t>
  </si>
  <si>
    <t xml:space="preserve">Facturación</t>
  </si>
  <si>
    <t xml:space="preserve">Gasto</t>
  </si>
  <si>
    <t xml:space="preserve">Beneficio</t>
  </si>
  <si>
    <t xml:space="preserve">D) RESULTADO OPERACIONAL DE GESTIÓN 2024 (consolidado mensual, USD). Devengo (no caja bancaria). Fuente: 'Gastos a Diciembre 2024_v0.xlsx' hoja 'Beneficio'.</t>
  </si>
  <si>
    <t xml:space="preserve">Concepto 2024</t>
  </si>
  <si>
    <t xml:space="preserve">Gastos</t>
  </si>
  <si>
    <t xml:space="preserve">ENTREGABLE 4 · Rentabilidad por dotación / rol / proyecto / país   —   FOTO: DICIEMBRE 2025</t>
  </si>
  <si>
    <t xml:space="preserve">FOTO DE UN SOLO MES (dic-2025): única foto con horas reales por persona. NO es serie 2024/2025. Margen = ingreso atribuido − costo laboral atribuido (prorrateo por horas; aprox. gerencial, no ABC). Excluye viajes/terceros (sin traza persona/proyecto). Costo = snapshot payroll 2026 (proxy). Rol/país nómina = roster jun-2026.</t>
  </si>
  <si>
    <t xml:space="preserve">A) Detalle Persona × Proyecto (personas con identidad y costo resueltos). Ingreso atribuido = EDP proyecto dic-25 × (horas persona/horas proyecto).</t>
  </si>
  <si>
    <t xml:space="preserve">Persona</t>
  </si>
  <si>
    <t xml:space="preserve">Cargo</t>
  </si>
  <si>
    <t xml:space="preserve">Proyecto</t>
  </si>
  <si>
    <t xml:space="preserve">País Proyecto</t>
  </si>
  <si>
    <t xml:space="preserve">Horas Real</t>
  </si>
  <si>
    <t xml:space="preserve">Costo atribuido USD</t>
  </si>
  <si>
    <t xml:space="preserve">Ingreso atribuido USD</t>
  </si>
  <si>
    <t xml:space="preserve">Rentabilidad USD</t>
  </si>
  <si>
    <t xml:space="preserve">Alex Remolcoy</t>
  </si>
  <si>
    <t xml:space="preserve">Seligdar_Kyuchus</t>
  </si>
  <si>
    <t xml:space="preserve">Arnold Tadeo</t>
  </si>
  <si>
    <t xml:space="preserve">EQUINOX_Actualización Ing. Básica UG</t>
  </si>
  <si>
    <t xml:space="preserve">Benjamín Baeza</t>
  </si>
  <si>
    <t xml:space="preserve">AuraMinerals_Proyecto Paiol PFS UG</t>
  </si>
  <si>
    <t xml:space="preserve">EroCopper_Scoping Proyecto Furnas</t>
  </si>
  <si>
    <t xml:space="preserve">Cristian Alarcón</t>
  </si>
  <si>
    <t xml:space="preserve">Miskimayo_Evaluación Transporte en Mina</t>
  </si>
  <si>
    <t xml:space="preserve">Cristóbal Ventura</t>
  </si>
  <si>
    <t xml:space="preserve">Daniela Oyarzo</t>
  </si>
  <si>
    <t xml:space="preserve">AMSA_RIINO BC - Centinela</t>
  </si>
  <si>
    <t xml:space="preserve">Diego Muñoz</t>
  </si>
  <si>
    <t xml:space="preserve">AtlasMining_Ley de corte optima Malomyr</t>
  </si>
  <si>
    <t xml:space="preserve">Eduardo Cepeda</t>
  </si>
  <si>
    <t xml:space="preserve">Polyus_Olimpiada Cutback 5&amp;6</t>
  </si>
  <si>
    <t xml:space="preserve">Eduardo Morales</t>
  </si>
  <si>
    <t xml:space="preserve">Polyus_Evaluacion talud mina Blagodatny</t>
  </si>
  <si>
    <t xml:space="preserve">Edward Torres</t>
  </si>
  <si>
    <t xml:space="preserve">NEXA_Estudio Geomecánico AT y EP</t>
  </si>
  <si>
    <t xml:space="preserve">Enzo Ruiz</t>
  </si>
  <si>
    <t xml:space="preserve">Codelco_Formulación caso de negocio TBM</t>
  </si>
  <si>
    <t xml:space="preserve">Erick Sanhueza</t>
  </si>
  <si>
    <t xml:space="preserve">Gersson Rivera</t>
  </si>
  <si>
    <t xml:space="preserve">Gino Espinoza</t>
  </si>
  <si>
    <t xml:space="preserve">Ignacia Alvarez</t>
  </si>
  <si>
    <t xml:space="preserve">Ignacio Navarrete</t>
  </si>
  <si>
    <t xml:space="preserve">CORFO_Valorización Boquerón Chañar</t>
  </si>
  <si>
    <t xml:space="preserve">Resolution_General Review</t>
  </si>
  <si>
    <t xml:space="preserve">Isidora Figueroa</t>
  </si>
  <si>
    <t xml:space="preserve">AMSA_Mejoras Planificación Centinela</t>
  </si>
  <si>
    <t xml:space="preserve">Collahuasi_Valor Incorporación Chx.03</t>
  </si>
  <si>
    <t xml:space="preserve">Javier Salazar</t>
  </si>
  <si>
    <t xml:space="preserve">Jhonatan Huaynate</t>
  </si>
  <si>
    <t xml:space="preserve">Los Calatos_Resource Development Plan</t>
  </si>
  <si>
    <t xml:space="preserve">Joseph Livia</t>
  </si>
  <si>
    <t xml:space="preserve">Alpayana_Estudio de Sismicidad</t>
  </si>
  <si>
    <t xml:space="preserve">Juan Luis Pizarro</t>
  </si>
  <si>
    <t xml:space="preserve">Kevin Rios</t>
  </si>
  <si>
    <t xml:space="preserve">Martín Figueroa</t>
  </si>
  <si>
    <t xml:space="preserve">Lundin_Análisis Estratégico Caserones</t>
  </si>
  <si>
    <t xml:space="preserve">María Huamán</t>
  </si>
  <si>
    <t xml:space="preserve">Mateo Villanueva</t>
  </si>
  <si>
    <t xml:space="preserve">Matías Guerrero</t>
  </si>
  <si>
    <t xml:space="preserve">Nicolas Diaz Ramos</t>
  </si>
  <si>
    <t xml:space="preserve">Nicolás Ayarza</t>
  </si>
  <si>
    <t xml:space="preserve">Nicolás Sanzana</t>
  </si>
  <si>
    <t xml:space="preserve">Apoyo tecnico-comercial</t>
  </si>
  <si>
    <t xml:space="preserve">Pablo Quiero</t>
  </si>
  <si>
    <t xml:space="preserve">Rodrigo Andrae</t>
  </si>
  <si>
    <t xml:space="preserve">Valentina Ramos</t>
  </si>
  <si>
    <t xml:space="preserve">Glencore_Estrategia de Propiedades CMLB</t>
  </si>
  <si>
    <t xml:space="preserve">Victor Mohana</t>
  </si>
  <si>
    <t xml:space="preserve">TOTAL (resueltas)</t>
  </si>
  <si>
    <t xml:space="preserve">B) Agregado por Rol/Cargo</t>
  </si>
  <si>
    <t xml:space="preserve">Costo atribuido</t>
  </si>
  <si>
    <t xml:space="preserve">Ingreso atribuido</t>
  </si>
  <si>
    <t xml:space="preserve">Rentabilidad</t>
  </si>
  <si>
    <t xml:space="preserve">Geólogo Junior</t>
  </si>
  <si>
    <t xml:space="preserve">Ingenieria</t>
  </si>
  <si>
    <t xml:space="preserve">Ingeniero Estructural</t>
  </si>
  <si>
    <t xml:space="preserve">Ingeniero Junior de Proyectos</t>
  </si>
  <si>
    <t xml:space="preserve">Ingeniero Principal Senior</t>
  </si>
  <si>
    <t xml:space="preserve">Ingeniero de Proyectos</t>
  </si>
  <si>
    <t xml:space="preserve">Ingeniero de Proyectos Metalúrgico</t>
  </si>
  <si>
    <t xml:space="preserve">Modelador Numérico</t>
  </si>
  <si>
    <t xml:space="preserve">C) Agregado por País del proyecto</t>
  </si>
  <si>
    <t xml:space="preserve">Sin país</t>
  </si>
  <si>
    <t xml:space="preserve">D) Agregado por Proyecto (con EDP emitido dic-25)</t>
  </si>
  <si>
    <t xml:space="preserve">EDP emitido dic-25</t>
  </si>
  <si>
    <t xml:space="preserve">E) Agregado por Persona (+ holgura POM jun-2026 como proxy de dependencia de 'héroes')</t>
  </si>
  <si>
    <t xml:space="preserve">País nómina</t>
  </si>
  <si>
    <t xml:space="preserve">Horas Real dic-25</t>
  </si>
  <si>
    <t xml:space="preserve">Costo mes USD</t>
  </si>
  <si>
    <t xml:space="preserve">Ingreso atrib.</t>
  </si>
  <si>
    <t xml:space="preserve">Holgura POM (h)</t>
  </si>
  <si>
    <t xml:space="preserve">F) SIN IDENTIDAD/COSTO RESUELTO — 16 personas con horas reales dic-25 pero sin match en roster jun-2026 / payroll (posible rotación o externos). NO se les fuerza identidad.</t>
  </si>
  <si>
    <t xml:space="preserve">Profesional (HH)</t>
  </si>
  <si>
    <t xml:space="preserve">Match roster</t>
  </si>
  <si>
    <t xml:space="preserve">Costo / Rentab.</t>
  </si>
  <si>
    <t xml:space="preserve">Alvaro Cuevas</t>
  </si>
  <si>
    <t xml:space="preserve">N/D (ver detalle)</t>
  </si>
  <si>
    <t xml:space="preserve">N/D — sin costo laboral</t>
  </si>
  <si>
    <t xml:space="preserve">Branco Campos</t>
  </si>
  <si>
    <t xml:space="preserve">Cristobal Poblete</t>
  </si>
  <si>
    <t xml:space="preserve">Emilio Sánchez</t>
  </si>
  <si>
    <t xml:space="preserve">Fabian Parra</t>
  </si>
  <si>
    <t xml:space="preserve">Felipe Lira</t>
  </si>
  <si>
    <t xml:space="preserve">Gabriel Ojeda</t>
  </si>
  <si>
    <t xml:space="preserve">German Soto</t>
  </si>
  <si>
    <t xml:space="preserve">Gerson Alfaro</t>
  </si>
  <si>
    <t xml:space="preserve">José Pizarro Aranguiz</t>
  </si>
  <si>
    <t xml:space="preserve">Luis Flores</t>
  </si>
  <si>
    <t xml:space="preserve">Manuel Palomino</t>
  </si>
  <si>
    <t xml:space="preserve">Marcelo Mendoza</t>
  </si>
  <si>
    <t xml:space="preserve">Marco Lozada</t>
  </si>
  <si>
    <t xml:space="preserve">Miguel Cuadros</t>
  </si>
  <si>
    <t xml:space="preserve">Rodrigo Cori Córdova</t>
  </si>
  <si>
    <t xml:space="preserve">ROI · Retorno sobre costo por Año, Producto y País</t>
  </si>
  <si>
    <t xml:space="preserve">ROI = Beneficio / Costo (retorno por cada USD gastado). NO es ROE ni retorno sobre capital invertido: no hay balance/patrimonio/activos en las fuentes. Costos de país atribuidos al PAÍS DE ORIGEN del proyecto (no donde se cargan contablemente).</t>
  </si>
  <si>
    <t xml:space="preserve">A) ROI por AÑO (retorno sobre costo/gasto operacional). 2023 no tiene costo cargado (solo ingreso) → no calculable.</t>
  </si>
  <si>
    <t xml:space="preserve">Ingreso / Beneficio base</t>
  </si>
  <si>
    <t xml:space="preserve">Costo / Gasto USD</t>
  </si>
  <si>
    <t xml:space="preserve">ROI (Benef./Costo)</t>
  </si>
  <si>
    <t xml:space="preserve">Nota</t>
  </si>
  <si>
    <t xml:space="preserve">2024 = beneficio de gestión (Ingresos−Gastos); 2025 = resultado operacional (incl. admin). Bases levemente distintas.</t>
  </si>
  <si>
    <t xml:space="preserve">B) ROI por PRODUCTO / Nivel de Ingeniería = Margen contribución / Costo Directo (proyectado, modelo Edu). El más limpio (sin sesgo país).</t>
  </si>
  <si>
    <t xml:space="preserve">Margen USD</t>
  </si>
  <si>
    <t xml:space="preserve">ROI (Margen/Costo)</t>
  </si>
  <si>
    <t xml:space="preserve">C) ⭐ ROI por PAÍS — costos atribuidos al PAÍS DE ORIGEN del proyecto (resuelve el sesgo: proyectos regionales dejan de cargarse todos a Chile). Margen/Costo Directo, proyectado.</t>
  </si>
  <si>
    <t xml:space="preserve">País de origen</t>
  </si>
  <si>
    <t xml:space="preserve">ROI (origen)</t>
  </si>
  <si>
    <t xml:space="preserve">C2) CONTRASTE del sesgo — ROI operacional REAL 2025 'tal cual se carga contablemente' (Resultado Op./Costos Op., bloque A de E1). Chile absorbe la nómina regional → sale negativo.</t>
  </si>
  <si>
    <t xml:space="preserve">País (contable)</t>
  </si>
  <si>
    <t xml:space="preserve">Result. Op. USD</t>
  </si>
  <si>
    <t xml:space="preserve">Costos Op. USD</t>
  </si>
  <si>
    <t xml:space="preserve">ROI as-booked</t>
  </si>
  <si>
    <t xml:space="preserve">D) Alcance y definiciones</t>
  </si>
  <si>
    <t xml:space="preserve">ROI aquí = RETORNO SOBRE COSTO (Beneficio/Costo), NO retorno sobre capital/activos. Mide cuánto margen genera cada USD de costo.</t>
  </si>
  <si>
    <t xml:space="preserve">Bloques B y C usan margen de CONTRIBUCIÓN proyectado (Ingreso − Costo DIRECTO, modelo Edu abr-dic 2025, 42 proyectos); no incluyen costos indirectos/administrativos.</t>
  </si>
  <si>
    <t xml:space="preserve">Corrección de país (tu hallazgo): los costos se atribuyen al PAÍS DE ORIGEN del proyecto (col 'País Origen' de las hojas de proyecto), no al país donde se cargan contablemente (que concentra casi todo en Chile). Por eso Chile pasa de ROI −28% (as-booked, bloque C2) a ~59% (por origen, bloque C), y Perú/USA emergen como los más rentables.</t>
  </si>
  <si>
    <t xml:space="preserve">ROE = Utilidad neta / Patrimonio: NO calculable con las fuentes actuales (no hay balance ni patrimonio). Queda fuera de alcance hasta contar con el patrimonio contable por entidad/año.</t>
  </si>
  <si>
    <t xml:space="preserve">PUENTE DE IDENTIDAD (E4·Paso0) — une HH↔roster↔costo. Costo=snapshot mensual 2026 (proxy dic-2025). Roles=roster jun-2026.</t>
  </si>
  <si>
    <t xml:space="preserve">Profesional_HH</t>
  </si>
  <si>
    <t xml:space="preserve">Nombre_norm</t>
  </si>
  <si>
    <t xml:space="preserve">Match_Roster</t>
  </si>
  <si>
    <t xml:space="preserve">RUT_DNI</t>
  </si>
  <si>
    <t xml:space="preserve">Nombre_Roster</t>
  </si>
  <si>
    <t xml:space="preserve">Area</t>
  </si>
  <si>
    <t xml:space="preserve">Pais_Nomina</t>
  </si>
  <si>
    <t xml:space="preserve">Costo_USD_Mes</t>
  </si>
  <si>
    <t xml:space="preserve">Tipo_Costo</t>
  </si>
  <si>
    <t xml:space="preserve">Match_Costo</t>
  </si>
  <si>
    <t xml:space="preserve">Holgura_POM_Jun26</t>
  </si>
  <si>
    <t xml:space="preserve">Horas_POM_Jun26</t>
  </si>
  <si>
    <t xml:space="preserve">ALEX REMOLCOY</t>
  </si>
  <si>
    <t xml:space="preserve">Exacto (Nombre TEAMS)</t>
  </si>
  <si>
    <t xml:space="preserve">19.874.043-8</t>
  </si>
  <si>
    <t xml:space="preserve">Alex Damian Remolcoy Guenteo</t>
  </si>
  <si>
    <t xml:space="preserve">Contrato</t>
  </si>
  <si>
    <t xml:space="preserve">RUT (09_Personal)</t>
  </si>
  <si>
    <t xml:space="preserve">ALVARO CUEVAS</t>
  </si>
  <si>
    <t xml:space="preserve">Sin match en roster</t>
  </si>
  <si>
    <t xml:space="preserve">Sin costo</t>
  </si>
  <si>
    <t xml:space="preserve">ARNOLD TADEO</t>
  </si>
  <si>
    <t xml:space="preserve">75075850</t>
  </si>
  <si>
    <t xml:space="preserve">Arnold Isaias Tadeo Fabian</t>
  </si>
  <si>
    <t xml:space="preserve">INGENIERIA</t>
  </si>
  <si>
    <t xml:space="preserve">BENJAMIN BAEZA</t>
  </si>
  <si>
    <t xml:space="preserve">20.705.613-8</t>
  </si>
  <si>
    <t xml:space="preserve">Benjamin Ricardo Baeza Rios</t>
  </si>
  <si>
    <t xml:space="preserve">BRANCO CAMPOS</t>
  </si>
  <si>
    <t xml:space="preserve">CRISTIAN ALARCON</t>
  </si>
  <si>
    <t xml:space="preserve">19.135.730-2</t>
  </si>
  <si>
    <t xml:space="preserve">Cristian Adolfo Alarcon Martinez</t>
  </si>
  <si>
    <t xml:space="preserve">CRISTOBAL POBLETE</t>
  </si>
  <si>
    <t xml:space="preserve">CRISTOBAL VENTURA</t>
  </si>
  <si>
    <t xml:space="preserve">19.838.938-2</t>
  </si>
  <si>
    <t xml:space="preserve">Cristobal Ignacio Ventura Meneses</t>
  </si>
  <si>
    <t xml:space="preserve">DANIELA OYARZO</t>
  </si>
  <si>
    <t xml:space="preserve">18.756.364-K</t>
  </si>
  <si>
    <t xml:space="preserve">Daniela Siu Ying Oyarzo Escobar</t>
  </si>
  <si>
    <t xml:space="preserve">DIEGO MUNOZ</t>
  </si>
  <si>
    <t xml:space="preserve">19.958.057-4</t>
  </si>
  <si>
    <t xml:space="preserve">Diego Andrés Muñoz Álvarez</t>
  </si>
  <si>
    <t xml:space="preserve">EDUARDO CEPEDA</t>
  </si>
  <si>
    <t xml:space="preserve">18.988.438-9</t>
  </si>
  <si>
    <t xml:space="preserve">Eduardo Cepeda González</t>
  </si>
  <si>
    <t xml:space="preserve">Geotecnia</t>
  </si>
  <si>
    <t xml:space="preserve">EDUARDO MORALES</t>
  </si>
  <si>
    <t xml:space="preserve">14.123.628-8</t>
  </si>
  <si>
    <t xml:space="preserve">Eduardo Ignacio Morales Palma</t>
  </si>
  <si>
    <t xml:space="preserve">EDWARD TORRES</t>
  </si>
  <si>
    <t xml:space="preserve">72881217</t>
  </si>
  <si>
    <t xml:space="preserve">Edward Cristian Torres Callupe</t>
  </si>
  <si>
    <t xml:space="preserve">EMILIO SANCHEZ</t>
  </si>
  <si>
    <t xml:space="preserve">ENZO RUIZ</t>
  </si>
  <si>
    <t xml:space="preserve">19.852.351-8</t>
  </si>
  <si>
    <t xml:space="preserve">Enzo Franco Ruiz Romo</t>
  </si>
  <si>
    <t xml:space="preserve">ERICK SANHUEZA</t>
  </si>
  <si>
    <t xml:space="preserve">19.558.460-5</t>
  </si>
  <si>
    <t xml:space="preserve">Erick Nicolas Sanhueza Correa</t>
  </si>
  <si>
    <t xml:space="preserve">FABIAN PARRA</t>
  </si>
  <si>
    <t xml:space="preserve">FELIPE LIRA</t>
  </si>
  <si>
    <t xml:space="preserve">GABRIEL OJEDA</t>
  </si>
  <si>
    <t xml:space="preserve">GERMAN SOTO</t>
  </si>
  <si>
    <t xml:space="preserve">GERSON ALFARO</t>
  </si>
  <si>
    <t xml:space="preserve">GERSSON RIVERA</t>
  </si>
  <si>
    <t xml:space="preserve">18.685.971-5</t>
  </si>
  <si>
    <t xml:space="preserve">Gersson Alberto Rivera Abello</t>
  </si>
  <si>
    <t xml:space="preserve">GINO ESPINOZA</t>
  </si>
  <si>
    <t xml:space="preserve">73023479</t>
  </si>
  <si>
    <t xml:space="preserve">Gino Segundo Espinoza Guzman</t>
  </si>
  <si>
    <t xml:space="preserve">IGNACIA ALVAREZ</t>
  </si>
  <si>
    <t xml:space="preserve">20.096.296-6</t>
  </si>
  <si>
    <t xml:space="preserve">Ignacia Paz Álvarez Bahamondes</t>
  </si>
  <si>
    <t xml:space="preserve">IGNACIO NAVARRETE</t>
  </si>
  <si>
    <t xml:space="preserve">18.300.718-1</t>
  </si>
  <si>
    <t xml:space="preserve">Ignacio Alfonso Navarrete Cataldo</t>
  </si>
  <si>
    <t xml:space="preserve">ISIDORA FIGUEROA</t>
  </si>
  <si>
    <t xml:space="preserve">20.298.041-4</t>
  </si>
  <si>
    <t xml:space="preserve">Isidora Belén Figueroa Fernández</t>
  </si>
  <si>
    <t xml:space="preserve">JAVIER SALAZAR</t>
  </si>
  <si>
    <t xml:space="preserve">19.615.623-2</t>
  </si>
  <si>
    <t xml:space="preserve">Javier Ignacio Salazar Nuñez</t>
  </si>
  <si>
    <t xml:space="preserve">JHONATAN HUAYNATE</t>
  </si>
  <si>
    <t xml:space="preserve">72259733</t>
  </si>
  <si>
    <t xml:space="preserve">Jhonatan Richard Huaynate Meza</t>
  </si>
  <si>
    <t xml:space="preserve">JOSEPH LIVIA</t>
  </si>
  <si>
    <t xml:space="preserve">71130178</t>
  </si>
  <si>
    <t xml:space="preserve">Joseph Angel Livia Estrada</t>
  </si>
  <si>
    <t xml:space="preserve">JOSE PIZARRO ARANGUIZ</t>
  </si>
  <si>
    <t xml:space="preserve">JUAN LUIS PIZARRO</t>
  </si>
  <si>
    <t xml:space="preserve">8.638.456-6</t>
  </si>
  <si>
    <t xml:space="preserve">Juan Luis Pizarro Rojas</t>
  </si>
  <si>
    <t xml:space="preserve">KEVIN RIOS</t>
  </si>
  <si>
    <t xml:space="preserve">72621966</t>
  </si>
  <si>
    <t xml:space="preserve">Kevin Percy Rios Mori</t>
  </si>
  <si>
    <t xml:space="preserve">LUIS FLORES</t>
  </si>
  <si>
    <t xml:space="preserve">72550789</t>
  </si>
  <si>
    <t xml:space="preserve">Luis Miguel Flores Catacora</t>
  </si>
  <si>
    <t xml:space="preserve">MANUEL PALOMINO</t>
  </si>
  <si>
    <t xml:space="preserve">MARCELO MENDOZA</t>
  </si>
  <si>
    <t xml:space="preserve">MARCO LOZADA</t>
  </si>
  <si>
    <t xml:space="preserve">MARTIN FIGUEROA</t>
  </si>
  <si>
    <t xml:space="preserve">20.098.724-1</t>
  </si>
  <si>
    <t xml:space="preserve">Martin Alfonso Figueroa Perez</t>
  </si>
  <si>
    <t xml:space="preserve">MARIA HUAMAN</t>
  </si>
  <si>
    <t xml:space="preserve">75486869</t>
  </si>
  <si>
    <t xml:space="preserve">Maria Estefany Huaman Martin</t>
  </si>
  <si>
    <t xml:space="preserve">MATEO VILLANUEVA</t>
  </si>
  <si>
    <t xml:space="preserve">70032915</t>
  </si>
  <si>
    <t xml:space="preserve">Mateo Rolando Villanueva Panocca</t>
  </si>
  <si>
    <t xml:space="preserve">MATIAS GUERRERO</t>
  </si>
  <si>
    <t xml:space="preserve">20.242.304-3</t>
  </si>
  <si>
    <t xml:space="preserve">Matias Nicolas Guerrero Bonilla</t>
  </si>
  <si>
    <t xml:space="preserve">MIGUEL CUADROS</t>
  </si>
  <si>
    <t xml:space="preserve">20596127</t>
  </si>
  <si>
    <t xml:space="preserve">Miguel Angel  Cuadros Espinoza</t>
  </si>
  <si>
    <t xml:space="preserve">Ingeniero Senior de Proyectos Geomecanica</t>
  </si>
  <si>
    <t xml:space="preserve">NICOLAS DIAZ RAMOS</t>
  </si>
  <si>
    <t xml:space="preserve">Nombre (09_Personal)</t>
  </si>
  <si>
    <t xml:space="preserve">NICOLAS AYARZA</t>
  </si>
  <si>
    <t xml:space="preserve">19.307.382-4</t>
  </si>
  <si>
    <t xml:space="preserve">Nicolas Benjamin Ayarza Duarte</t>
  </si>
  <si>
    <t xml:space="preserve">NICOLAS SANZANA</t>
  </si>
  <si>
    <t xml:space="preserve">19.385.451-6</t>
  </si>
  <si>
    <t xml:space="preserve">Nicolás Roberto Sanzana Ghent</t>
  </si>
  <si>
    <t xml:space="preserve">PABLO QUIERO</t>
  </si>
  <si>
    <t xml:space="preserve">16.541.923-5</t>
  </si>
  <si>
    <t xml:space="preserve">Pablo Antonio Quiero Jaque</t>
  </si>
  <si>
    <t xml:space="preserve">RODRIGO ANDRAE</t>
  </si>
  <si>
    <t xml:space="preserve">10.810.445-7</t>
  </si>
  <si>
    <t xml:space="preserve">Rodrigo Antonio Andrae Rojas</t>
  </si>
  <si>
    <t xml:space="preserve">RODRIGO CORI CORDOVA</t>
  </si>
  <si>
    <t xml:space="preserve">VALENTINA RAMOS</t>
  </si>
  <si>
    <t xml:space="preserve">19.230.969-7</t>
  </si>
  <si>
    <t xml:space="preserve">Valentina Gabriela Ramos Oliver</t>
  </si>
  <si>
    <t xml:space="preserve">Recursos Minerales</t>
  </si>
  <si>
    <t xml:space="preserve">VICTOR MOHANA</t>
  </si>
  <si>
    <t xml:space="preserve">19.512.557-0</t>
  </si>
  <si>
    <t xml:space="preserve">Victor Joaquín Mohana Tapia</t>
  </si>
  <si>
    <t xml:space="preserve">STAGING — extraído tal cual de la fuente. No editar. Las hojas 01-04 leen de aquí por fórmulas.</t>
  </si>
  <si>
    <t xml:space="preserve">Pais</t>
  </si>
  <si>
    <t xml:space="preserve">Anio</t>
  </si>
  <si>
    <t xml:space="preserve">MesTxt</t>
  </si>
  <si>
    <t xml:space="preserve">Valor_USD</t>
  </si>
  <si>
    <t xml:space="preserve">Fuente_Archivo</t>
  </si>
  <si>
    <t xml:space="preserve">Fuente_Hoja</t>
  </si>
  <si>
    <t xml:space="preserve">INGRESOS OP</t>
  </si>
  <si>
    <t xml:space="preserve">202601_FLUJO REDCO 2025 - Cierre diciembre.xlsx</t>
  </si>
  <si>
    <t xml:space="preserve">Tabla datos unidades_Dic</t>
  </si>
  <si>
    <t xml:space="preserve">COSTOS OP</t>
  </si>
  <si>
    <t xml:space="preserve">STAGING — P&amp;L de gestión 2024 consolidado mensual (Ingresos/Gastos/Beneficio), kUSD→USD. Fuente: 'Gastos a Diciembre 2024_v0.xlsx' (Respaldos).</t>
  </si>
  <si>
    <t xml:space="preserve">Gastos a Diciembre 2024_v0.xlsx</t>
  </si>
  <si>
    <t xml:space="preserve">STAGING — Ingreso 2024 por país×mes (kUSD→USD). Fuente: 'Gastos a Diciembre 2024_v0.xlsx' hoja 'Ingresos para PPT_Dic'.</t>
  </si>
  <si>
    <t xml:space="preserve">Ingreso_USD</t>
  </si>
  <si>
    <t xml:space="preserve">Ingresos para PPT_Dic (EEUU→USA)</t>
  </si>
  <si>
    <t xml:space="preserve">STAGING — Nivel de Ingeniería nativo por proyecto (Monto Contrato USD). Fuente: 202601_Proyeccion_Ing+Modulos 1_Edu, hoja Dashboard. Alcance: 59 proyectos del modelo (cartera).</t>
  </si>
  <si>
    <t xml:space="preserve">Nivel_Ingenieria</t>
  </si>
  <si>
    <t xml:space="preserve">Clasif_Core</t>
  </si>
  <si>
    <t xml:space="preserve">Monto_Contrato_USD</t>
  </si>
  <si>
    <t xml:space="preserve">CMP: Estrategia Minera para MLC Brownfield</t>
  </si>
  <si>
    <t xml:space="preserve">202601_Proyeccion_Ing+Modulos 1_Edu.xlsx</t>
  </si>
  <si>
    <t xml:space="preserve">Dashboard (Nivel de Ingeniería)</t>
  </si>
  <si>
    <t xml:space="preserve">Spence: Analisis proyecto SCUT</t>
  </si>
  <si>
    <t xml:space="preserve">Resolution: MinePlan Review (Scoping)</t>
  </si>
  <si>
    <t xml:space="preserve">Twin Metals: Analisis integrado con Northmet</t>
  </si>
  <si>
    <t xml:space="preserve">FEL3 CNN</t>
  </si>
  <si>
    <t xml:space="preserve">Estudio de Factibilidad Mina Romeral UG - Acceso Mina SLS</t>
  </si>
  <si>
    <t xml:space="preserve">Cobre Panamá: Evaluación estratégica del activo</t>
  </si>
  <si>
    <t xml:space="preserve">Ferrobamba Scoping Study: Escenarios de sensibilidad</t>
  </si>
  <si>
    <t xml:space="preserve">Pre-PFS Twin Metals Birch Lake - Maturi</t>
  </si>
  <si>
    <t xml:space="preserve">Análisis Conceptual - Aura UG</t>
  </si>
  <si>
    <t xml:space="preserve">Los Calatos - Extensión (v3)</t>
  </si>
  <si>
    <t xml:space="preserve">Analisis Innovación Tecnologica Distrito Centinela</t>
  </si>
  <si>
    <t xml:space="preserve">Cerro Colorado: Diseño Cierre de Botaderos</t>
  </si>
  <si>
    <t xml:space="preserve">Analisis de Productividad Los Bronces</t>
  </si>
  <si>
    <t xml:space="preserve">Ingenieria implementacion HDD Los Bronces</t>
  </si>
  <si>
    <t xml:space="preserve">V MEIA San Rafael</t>
  </si>
  <si>
    <t xml:space="preserve">Fase 2 CTV: Modelamiento Recursos, Geomecanica y LOM actualizado</t>
  </si>
  <si>
    <t xml:space="preserve">Estrategia de Valor para Mina Cobriza</t>
  </si>
  <si>
    <t xml:space="preserve">PFS Ferrobamba UG (MEIA)</t>
  </si>
  <si>
    <t xml:space="preserve">BHP: Análisis de accesibilidad para MEL UG</t>
  </si>
  <si>
    <t xml:space="preserve">Resolution: Análisis de Proyecto Túnel 68L</t>
  </si>
  <si>
    <t xml:space="preserve">Cajati: Actualización Ingeniería P1</t>
  </si>
  <si>
    <t xml:space="preserve">LOM Integrado San Rafael: 2025</t>
  </si>
  <si>
    <t xml:space="preserve">Soporte Minero en Litigio OT - Gobierno Mongolia (Fase 2)</t>
  </si>
  <si>
    <t xml:space="preserve">Aura: Ingeniería Túnel de Exploraciones</t>
  </si>
  <si>
    <t xml:space="preserve">Los Calatos - DFS</t>
  </si>
  <si>
    <t xml:space="preserve">Ferrobamba PFS</t>
  </si>
  <si>
    <t xml:space="preserve">Caserones: Implementacion NSR en Corto Plazo</t>
  </si>
  <si>
    <t xml:space="preserve">Caserones: Análisis Estratégico</t>
  </si>
  <si>
    <t xml:space="preserve">QuinnEmanuel: OT Allegation</t>
  </si>
  <si>
    <t xml:space="preserve">DET: Ingeniería Perfil Sector Teniente 9</t>
  </si>
  <si>
    <t xml:space="preserve">Ingeniería Basica Sistema Manejo Materiales Candelaria</t>
  </si>
  <si>
    <t xml:space="preserve">PEA Proyecto Furnas</t>
  </si>
  <si>
    <t xml:space="preserve">Cerro Blanco: FS Minería + Ing Detalle componentes</t>
  </si>
  <si>
    <t xml:space="preserve">Scoping Study Algarrobo UG</t>
  </si>
  <si>
    <t xml:space="preserve">Soporte Romeral, construcción túnel exploratorio</t>
  </si>
  <si>
    <t xml:space="preserve">Servicios de geología y planificación (3 años)</t>
  </si>
  <si>
    <t xml:space="preserve">Evaluación de diferentes escenarios estrategicos (Cambio de producto)</t>
  </si>
  <si>
    <t xml:space="preserve">Optimización proceso LOM + Implementación SIMPLAN</t>
  </si>
  <si>
    <t xml:space="preserve">Servicio de Modelamiento Geotécnico Botaderos Parca</t>
  </si>
  <si>
    <t xml:space="preserve">Evaluación de cumplimiento de planes de corto plazo</t>
  </si>
  <si>
    <t xml:space="preserve">Actualización del Estudio Geomecánico</t>
  </si>
  <si>
    <t xml:space="preserve">Ing detalle infraestructura Mina</t>
  </si>
  <si>
    <t xml:space="preserve">Estudio Geomecánico de Interacción Block Caving – Chancado Primario</t>
  </si>
  <si>
    <t xml:space="preserve">Servicio de revisón independiente de infraestructura (relaves)</t>
  </si>
  <si>
    <t xml:space="preserve">Rockhaven Klaza Project (PFS)</t>
  </si>
  <si>
    <t xml:space="preserve">HILL OF VALUE AND OPTIMIZED CUT-OFF GRADE STRATEGY ANALYSIS</t>
  </si>
  <si>
    <t xml:space="preserve">Analisis de confiafilidad de plan + Entrenamiento de usuario</t>
  </si>
  <si>
    <t xml:space="preserve">Viabilidad Económica del proyecto</t>
  </si>
  <si>
    <t xml:space="preserve">Ingeniería perfil Clavelinas</t>
  </si>
  <si>
    <t xml:space="preserve">Ingeniería de factibilidad Cristina</t>
  </si>
  <si>
    <t xml:space="preserve">Conceptual Chalcobamba UG</t>
  </si>
  <si>
    <t xml:space="preserve">Ingeniería a nivel factibilidad de desarrollo y profundización de labores subterráneas segunda meiad</t>
  </si>
  <si>
    <t xml:space="preserve">Corto plazo</t>
  </si>
  <si>
    <t xml:space="preserve">Acompañamiento simplan Cajati</t>
  </si>
  <si>
    <t xml:space="preserve">Actualziación LOM</t>
  </si>
  <si>
    <t xml:space="preserve">Alpayana Estudio de Sismicidad</t>
  </si>
  <si>
    <t xml:space="preserve">Vale Gongo Soco</t>
  </si>
  <si>
    <t xml:space="preserve">STAGING — Margen de contribución por proyecto (Ingreso Proyectado − Costo Directo), ventana abr-dic 2025, con Nivel de Ingeniería. Fuente: hojas 'Ingreso Proyectado' + 'Costo Directo Proyectos' del modelo Edu. Proyectado, no real.</t>
  </si>
  <si>
    <t xml:space="preserve">Pais_Origen</t>
  </si>
  <si>
    <t xml:space="preserve">Pais_Contable</t>
  </si>
  <si>
    <t xml:space="preserve">Ingreso_Proy_USD</t>
  </si>
  <si>
    <t xml:space="preserve">Costo_Directo_USD</t>
  </si>
  <si>
    <t xml:space="preserve">Margen_Contrib_USD</t>
  </si>
  <si>
    <t xml:space="preserve">Ingreso Proyectado + Costo Directo Proyectos (col6=País Origen)</t>
  </si>
  <si>
    <t xml:space="preserve">STAGING — Flujo Anual por unidad 2025 (entidad×línea, USD).</t>
  </si>
  <si>
    <t xml:space="preserve">Linea</t>
  </si>
  <si>
    <t xml:space="preserve">CHILE</t>
  </si>
  <si>
    <t xml:space="preserve">Ingresos Op. pend.2024</t>
  </si>
  <si>
    <t xml:space="preserve">Flujo Anual por unidad 2025</t>
  </si>
  <si>
    <t xml:space="preserve">PERU</t>
  </si>
  <si>
    <t xml:space="preserve">BRASIL</t>
  </si>
  <si>
    <t xml:space="preserve">Ingresos Op. 2025</t>
  </si>
  <si>
    <t xml:space="preserve">Suma Ingresos 2025</t>
  </si>
  <si>
    <t xml:space="preserve">Sueldos Op.</t>
  </si>
  <si>
    <t xml:space="preserve">Honorarios Op.</t>
  </si>
  <si>
    <t xml:space="preserve">Gastos Op.</t>
  </si>
  <si>
    <t xml:space="preserve">Total Costos Op.</t>
  </si>
  <si>
    <t xml:space="preserve">Total Costos Admin.</t>
  </si>
  <si>
    <t xml:space="preserve">Resultado Operacional</t>
  </si>
  <si>
    <t xml:space="preserve">Saldo Inicial 01-01-25</t>
  </si>
  <si>
    <t xml:space="preserve">Saldo Caja Cierre 2025</t>
  </si>
  <si>
    <t xml:space="preserve">STAGING — Ledger CicloEdP_2023_v1 (701 filas). 'Venta'=Emitido USD (Proyectado=0 en 2025). Clasif producto = fase FEL del Código.</t>
  </si>
  <si>
    <t xml:space="preserve">N</t>
  </si>
  <si>
    <t xml:space="preserve">Codigo</t>
  </si>
  <si>
    <t xml:space="preserve">NombreTeams</t>
  </si>
  <si>
    <t xml:space="preserve">Proyectado_USD</t>
  </si>
  <si>
    <t xml:space="preserve">Anio_Emision</t>
  </si>
  <si>
    <t xml:space="preserve">Mes_Emision</t>
  </si>
  <si>
    <t xml:space="preserve">Emitido_USD</t>
  </si>
  <si>
    <t xml:space="preserve">Anio_Factura</t>
  </si>
  <si>
    <t xml:space="preserve">Mes_Factura</t>
  </si>
  <si>
    <t xml:space="preserve">Facturado_USD</t>
  </si>
  <si>
    <t xml:space="preserve">Anio_Ingreso</t>
  </si>
  <si>
    <t xml:space="preserve">Mes_Ingreso</t>
  </si>
  <si>
    <t xml:space="preserve">Ingresado_USD</t>
  </si>
  <si>
    <t xml:space="preserve">Fase</t>
  </si>
  <si>
    <t xml:space="preserve">Clasif_Producto</t>
  </si>
  <si>
    <t xml:space="preserve">Metodo_Clasif</t>
  </si>
  <si>
    <t xml:space="preserve">Servicio_Inferido_Texto</t>
  </si>
  <si>
    <t xml:space="preserve">Dias_Emision_Factura</t>
  </si>
  <si>
    <t xml:space="preserve">Dias_Factura_Ingreso</t>
  </si>
  <si>
    <t xml:space="preserve">Dias_Emision_Ingreso</t>
  </si>
  <si>
    <t xml:space="preserve">Strategy analysis for the Hermosa project</t>
  </si>
  <si>
    <t xml:space="preserve">Inferida por texto (OTR/sin código)</t>
  </si>
  <si>
    <t xml:space="preserve">Estrategia/Comercial</t>
  </si>
  <si>
    <t xml:space="preserve">00_Ciclo Mensual EdP 2023_v0.xlsx</t>
  </si>
  <si>
    <t xml:space="preserve">CicloEdP_2023_v1</t>
  </si>
  <si>
    <t xml:space="preserve">PE-MSR-UG-FEL03-008-A</t>
  </si>
  <si>
    <t xml:space="preserve">Actualización Lom Raura</t>
  </si>
  <si>
    <t xml:space="preserve">Actualizacion LOM Raura</t>
  </si>
  <si>
    <t xml:space="preserve">FEL03</t>
  </si>
  <si>
    <t xml:space="preserve">Código FEL</t>
  </si>
  <si>
    <t xml:space="preserve">Estudio FEL/PFS/PEA/LOM</t>
  </si>
  <si>
    <t xml:space="preserve">CH-CMP-OU-FEL00-001-A</t>
  </si>
  <si>
    <t xml:space="preserve">Adrianita -Raúl</t>
  </si>
  <si>
    <t xml:space="preserve">AARR</t>
  </si>
  <si>
    <t xml:space="preserve">FEL00</t>
  </si>
  <si>
    <t xml:space="preserve">Sin clasificar (texto)</t>
  </si>
  <si>
    <t xml:space="preserve">PE-MSR-OT-OTR00-009-A</t>
  </si>
  <si>
    <t xml:space="preserve">AESA Rendimientos</t>
  </si>
  <si>
    <t xml:space="preserve">Sistema de Gestion de Avances (AESA)</t>
  </si>
  <si>
    <t xml:space="preserve">OTR00</t>
  </si>
  <si>
    <t xml:space="preserve">PE-AES-UG-FEL00-203-A</t>
  </si>
  <si>
    <t xml:space="preserve">AESA_Construccion Rampas Mina Justa</t>
  </si>
  <si>
    <t xml:space="preserve">AESA</t>
  </si>
  <si>
    <t xml:space="preserve">CH-CMP-OT-FEL03-002-A</t>
  </si>
  <si>
    <t xml:space="preserve">Algarrobo</t>
  </si>
  <si>
    <t xml:space="preserve">PE-VLC-GM-FEL00-157-A</t>
  </si>
  <si>
    <t xml:space="preserve">Alpamarca_Estudio de Estabilidad Tajo</t>
  </si>
  <si>
    <t xml:space="preserve">Alpamarca</t>
  </si>
  <si>
    <t xml:space="preserve">Geomecánica/Estabilidad</t>
  </si>
  <si>
    <t xml:space="preserve">PE-ALP-GM-FEL00-156-A</t>
  </si>
  <si>
    <t xml:space="preserve">CH-AMS-CS-OTR00-075-A</t>
  </si>
  <si>
    <t xml:space="preserve">AMSA_Asesoria Centinela</t>
  </si>
  <si>
    <t xml:space="preserve">CH-AMS-OT-OTR00-108-A</t>
  </si>
  <si>
    <t xml:space="preserve">AMSA_Contrato Marco</t>
  </si>
  <si>
    <t xml:space="preserve">CH-AMS-CS-OTR00-063-A</t>
  </si>
  <si>
    <t xml:space="preserve">AMSA_Estandares Minimos</t>
  </si>
  <si>
    <t xml:space="preserve">CH-AMS-CS-OTR00-165-A</t>
  </si>
  <si>
    <t xml:space="preserve">Planificación/Diseño Minero</t>
  </si>
  <si>
    <t xml:space="preserve">CH-AMS-CS-OTR00-029-A</t>
  </si>
  <si>
    <t xml:space="preserve">AMSA_Planificacion</t>
  </si>
  <si>
    <t xml:space="preserve">AMSA_Planificación</t>
  </si>
  <si>
    <t xml:space="preserve">CH-AMS-OP-FEL00-171-A</t>
  </si>
  <si>
    <t xml:space="preserve">CH-AMS-CS-OTR00-116-A</t>
  </si>
  <si>
    <t xml:space="preserve">AMSA_Trade Off Tecnologico NGD</t>
  </si>
  <si>
    <t xml:space="preserve">CH-AAM-CS-OTR00-179-A</t>
  </si>
  <si>
    <t xml:space="preserve">Anglo_Production at Risk Mina Rio</t>
  </si>
  <si>
    <t xml:space="preserve">CH-AAM-CS-OTR00-146-A</t>
  </si>
  <si>
    <t xml:space="preserve">AngloAmerican_Análisis Productividad MLB</t>
  </si>
  <si>
    <t xml:space="preserve">CH-AAM-OT-FEL03-139-A</t>
  </si>
  <si>
    <t xml:space="preserve">AngloAmerican_Tecnología HDD</t>
  </si>
  <si>
    <t xml:space="preserve">Auditoría/Revisión/Peritaje</t>
  </si>
  <si>
    <t xml:space="preserve">RU-ATL-OP-FEL00-148-A</t>
  </si>
  <si>
    <t xml:space="preserve">BR-AUM-OU-FEL00-130-A</t>
  </si>
  <si>
    <t xml:space="preserve">AuraMinerals_Expansión Mina Paiol OP-UG</t>
  </si>
  <si>
    <t xml:space="preserve">BR-AUM-UG-FEL2A-181-A</t>
  </si>
  <si>
    <t xml:space="preserve">FEL2A</t>
  </si>
  <si>
    <t xml:space="preserve">CH-BSA-CS-OTR00-052-A</t>
  </si>
  <si>
    <t xml:space="preserve">Banco Santander_Yauricocha y Bolivar</t>
  </si>
  <si>
    <t xml:space="preserve">CH-BRR-CS-OTR00-195-A</t>
  </si>
  <si>
    <t xml:space="preserve">Barrick_Production at Risk Veladero</t>
  </si>
  <si>
    <t xml:space="preserve">Barrick</t>
  </si>
  <si>
    <t xml:space="preserve">CH-BHP-OP-OTR00-145-A</t>
  </si>
  <si>
    <t xml:space="preserve">BHP_Análisis LoA 2025 - SCUT</t>
  </si>
  <si>
    <t xml:space="preserve">CH-BHP-OP-FEL00-135-A</t>
  </si>
  <si>
    <t xml:space="preserve">BHP_Medidas de Cierre Botaderos</t>
  </si>
  <si>
    <t xml:space="preserve">CH-BHP-OP-FEL00-103-A</t>
  </si>
  <si>
    <t xml:space="preserve">BHP_Plan e Iniciativas LoA25-26</t>
  </si>
  <si>
    <t xml:space="preserve">CH-BHP-OP-OTR00-140-A</t>
  </si>
  <si>
    <t xml:space="preserve">BHP_Spence 2YB Analisys</t>
  </si>
  <si>
    <t xml:space="preserve">CH-BHP-UG-FEL01-074-A</t>
  </si>
  <si>
    <t xml:space="preserve">BHP_Tunel Exploratorio</t>
  </si>
  <si>
    <t xml:space="preserve">FEL01</t>
  </si>
  <si>
    <t xml:space="preserve">CH-BSC-UG-OTR00-073-A</t>
  </si>
  <si>
    <t xml:space="preserve">Boston_Inmaculada Hochschild</t>
  </si>
  <si>
    <t xml:space="preserve">CEOM</t>
  </si>
  <si>
    <t xml:space="preserve">CH-BSC-UG-OTR00-082-A</t>
  </si>
  <si>
    <t xml:space="preserve">Boston_Inmaculada Hochschild II</t>
  </si>
  <si>
    <t xml:space="preserve">CH-LUN-CS-OTR00-004-A</t>
  </si>
  <si>
    <t xml:space="preserve">Candelaria (Estandar y Planificacion)</t>
  </si>
  <si>
    <t xml:space="preserve">Candelaria Estandar</t>
  </si>
  <si>
    <t xml:space="preserve">CH-CCO-OP-FEL00-078-A</t>
  </si>
  <si>
    <t xml:space="preserve">Capstone Copper_Estimacion confiabilidad de planes</t>
  </si>
  <si>
    <t xml:space="preserve">CH-CCO-CS-FEL00-117-A</t>
  </si>
  <si>
    <t xml:space="preserve">Capstone Copper_Estudio Sierra Norte</t>
  </si>
  <si>
    <t xml:space="preserve">CH-CCO-CS-OTR00-159-A</t>
  </si>
  <si>
    <t xml:space="preserve">Capstone Copper_Production at Risk</t>
  </si>
  <si>
    <t xml:space="preserve">BR-CBM-CS-OTR00-164-A</t>
  </si>
  <si>
    <t xml:space="preserve">CBMM_SIMPLAN Initiatives Evaluation</t>
  </si>
  <si>
    <t xml:space="preserve">PE-CMC-CD-OTR00-118-A</t>
  </si>
  <si>
    <t xml:space="preserve">CMC_Capacitación DBS y SIMPLAN</t>
  </si>
  <si>
    <t xml:space="preserve">CMC</t>
  </si>
  <si>
    <t xml:space="preserve">CH-CMP-OU-FEL2A-033-A</t>
  </si>
  <si>
    <t xml:space="preserve">CMP - FEL 2A</t>
  </si>
  <si>
    <t xml:space="preserve">FEL 2A</t>
  </si>
  <si>
    <t xml:space="preserve">CH-CMP-CS-OTR00-006-A</t>
  </si>
  <si>
    <t xml:space="preserve">CMP Estandar Planificación</t>
  </si>
  <si>
    <t xml:space="preserve">CMP Estandar</t>
  </si>
  <si>
    <t xml:space="preserve">CH-CMP-OP-FEL00-155-A</t>
  </si>
  <si>
    <t xml:space="preserve">CMP_Actualización Casos de Negocios CNN</t>
  </si>
  <si>
    <t xml:space="preserve">CH-CMP-CS-FEL00-040-A</t>
  </si>
  <si>
    <t xml:space="preserve">CMP_CNN Update plan LOM</t>
  </si>
  <si>
    <t xml:space="preserve">CMP_CNN (Update plan LOM )</t>
  </si>
  <si>
    <t xml:space="preserve">CH-CMP-UG-OTR00-095-A</t>
  </si>
  <si>
    <t xml:space="preserve">CMP_Estrategia Crecimiento Tofo Norte</t>
  </si>
  <si>
    <t xml:space="preserve">CH-CMP-OP-OTR00-083-A</t>
  </si>
  <si>
    <t xml:space="preserve">CMP_LOM CNN 2024</t>
  </si>
  <si>
    <t xml:space="preserve">CH-CMP-OP-OTR00-084-A</t>
  </si>
  <si>
    <t xml:space="preserve">CMP_LOM MLC 2024</t>
  </si>
  <si>
    <t xml:space="preserve">CH-CMP-CS-FEL00-038-A</t>
  </si>
  <si>
    <t xml:space="preserve">CMP_Los Colorados Adelantamiento Planta</t>
  </si>
  <si>
    <t xml:space="preserve">CH-CMP-OP-FEL00-106-A</t>
  </si>
  <si>
    <t xml:space="preserve">CMP_Mejoras Operacionales CNN</t>
  </si>
  <si>
    <t xml:space="preserve">CH-CMP-OT-OTR00-107-A</t>
  </si>
  <si>
    <t xml:space="preserve">CMP_Nuevos alcances Algarrobo</t>
  </si>
  <si>
    <t xml:space="preserve">CH-CMP-OP-OTR00-096-A</t>
  </si>
  <si>
    <t xml:space="preserve">CMP_Plan minero base MLC</t>
  </si>
  <si>
    <t xml:space="preserve">CH-CMP-UG-FEL03-093-A</t>
  </si>
  <si>
    <t xml:space="preserve">CMP_Puesta en marcha SLS Romeral</t>
  </si>
  <si>
    <t xml:space="preserve">CH-CMP-OU-FEL2A-041-A</t>
  </si>
  <si>
    <t xml:space="preserve">CMP_Romeral Estabilización + UG PFS</t>
  </si>
  <si>
    <t xml:space="preserve">Romeral Estabilizado + PFS UG</t>
  </si>
  <si>
    <t xml:space="preserve">CH-COD-CS-OTR00-129-A</t>
  </si>
  <si>
    <t xml:space="preserve">Codelco_Actualización norma NCC-31</t>
  </si>
  <si>
    <t xml:space="preserve">CH-COD-CS-OTR00-193-A</t>
  </si>
  <si>
    <t xml:space="preserve">Codelco_Auditoria Recursos y Reservas</t>
  </si>
  <si>
    <t xml:space="preserve">CH-COD-OT-OTR00-030-A</t>
  </si>
  <si>
    <t xml:space="preserve">Codelco_Capacitacion Deswik DET</t>
  </si>
  <si>
    <t xml:space="preserve">Deswik DET</t>
  </si>
  <si>
    <t xml:space="preserve">CH-COD-UG-FEL00-037-A</t>
  </si>
  <si>
    <t xml:space="preserve">Codelco_Cluster Toki</t>
  </si>
  <si>
    <t xml:space="preserve">CH-COD-OP-FEL00-211-A</t>
  </si>
  <si>
    <t xml:space="preserve">Codelco_DET Rajo Sur</t>
  </si>
  <si>
    <t xml:space="preserve">CH-COD-UG-FEL01-039-A</t>
  </si>
  <si>
    <t xml:space="preserve">Codelco_Drenaje QT</t>
  </si>
  <si>
    <t xml:space="preserve">CH-COD-CS-OTR00-128-A</t>
  </si>
  <si>
    <t xml:space="preserve">Codelco_Estándar cierre topográfico</t>
  </si>
  <si>
    <t xml:space="preserve">CH-COD-UG-FEL01-031-A</t>
  </si>
  <si>
    <t xml:space="preserve">Codelco_Falla Oeste</t>
  </si>
  <si>
    <t xml:space="preserve">CH-COD-UG-FEL00-174-A</t>
  </si>
  <si>
    <t xml:space="preserve">CH-COD-OU-FEL00-112-A</t>
  </si>
  <si>
    <t xml:space="preserve">Codelco_Opciones vaciado mineral via OP</t>
  </si>
  <si>
    <t xml:space="preserve">CH-COD-UG-FEL01-032-A</t>
  </si>
  <si>
    <t xml:space="preserve">Codelco_Panel Central</t>
  </si>
  <si>
    <t xml:space="preserve">CH-COD-CS-OTR00-124-A</t>
  </si>
  <si>
    <t xml:space="preserve">Codelco_Prácticas de Planificación DMH</t>
  </si>
  <si>
    <t xml:space="preserve">CH-COL-CS-OTR00-180-A</t>
  </si>
  <si>
    <t xml:space="preserve">Collahuasi_Análisis Mine Compliance</t>
  </si>
  <si>
    <t xml:space="preserve">Collahuasi</t>
  </si>
  <si>
    <t xml:space="preserve">CH-COL-CS-OTR00-194-A</t>
  </si>
  <si>
    <t xml:space="preserve">Collahuasi_Mine Compliance 2026</t>
  </si>
  <si>
    <t xml:space="preserve">CH-COL-CS-OTR00-212-A</t>
  </si>
  <si>
    <t xml:space="preserve">Collahuasi_Mining Simulation Study</t>
  </si>
  <si>
    <t xml:space="preserve">Simulación/Modelamiento</t>
  </si>
  <si>
    <t xml:space="preserve">CH-COL-CS-OTR00-185-A</t>
  </si>
  <si>
    <t xml:space="preserve">PE-MSR-OT-OTR00-019-A</t>
  </si>
  <si>
    <t xml:space="preserve">Compilación de  R&amp;R</t>
  </si>
  <si>
    <t xml:space="preserve">Compilación R&amp;R Mina Justa</t>
  </si>
  <si>
    <t xml:space="preserve">Compilación R&amp;R Mina Pucamarca</t>
  </si>
  <si>
    <t xml:space="preserve">Compilación R&amp;R Mina Raura</t>
  </si>
  <si>
    <t xml:space="preserve">Compilación R&amp;R Mina San Rafael</t>
  </si>
  <si>
    <t xml:space="preserve">CH-CRF-CS-FEL00-169-A</t>
  </si>
  <si>
    <t xml:space="preserve">CORFO</t>
  </si>
  <si>
    <t xml:space="preserve">PE-COR-UG-FEL00-076-A</t>
  </si>
  <si>
    <t xml:space="preserve">Coripuno_Metodos de Minado</t>
  </si>
  <si>
    <t xml:space="preserve">Coripuno</t>
  </si>
  <si>
    <t xml:space="preserve">CH-CSH-OP-FEL00-034-A</t>
  </si>
  <si>
    <t xml:space="preserve">CSH_LOM Mina Guarello</t>
  </si>
  <si>
    <t xml:space="preserve">LOM Mina Guarello</t>
  </si>
  <si>
    <t xml:space="preserve">CSH</t>
  </si>
  <si>
    <t xml:space="preserve">CH-BHP-CD-OTR00-003-A</t>
  </si>
  <si>
    <t xml:space="preserve">Cuellos de botella del Plan 2YB - Spence</t>
  </si>
  <si>
    <t xml:space="preserve">Plan 2YB - Spence</t>
  </si>
  <si>
    <t xml:space="preserve">PE-MSR-UG-OTR00-003-C</t>
  </si>
  <si>
    <t xml:space="preserve">Desarrollo casos LOM UM Raura</t>
  </si>
  <si>
    <t xml:space="preserve">PE-SME-UG-OTR00-003-F</t>
  </si>
  <si>
    <t xml:space="preserve">Desarrollo del Plan de Minado</t>
  </si>
  <si>
    <t xml:space="preserve">PE-MSR-OT-OTR00-003-E</t>
  </si>
  <si>
    <t xml:space="preserve">Desarrollo plan LOM en Reservas</t>
  </si>
  <si>
    <t xml:space="preserve">CH-LUN-CS-OTR00-007-A</t>
  </si>
  <si>
    <t xml:space="preserve">Diagnóstico Operacional Candelaria</t>
  </si>
  <si>
    <t xml:space="preserve">Candelaria Diagnostico</t>
  </si>
  <si>
    <t xml:space="preserve">PE-BRO-GM-FEL00-191-A</t>
  </si>
  <si>
    <t xml:space="preserve">ElBrocal_Estudio Geomecanico Estabilidad</t>
  </si>
  <si>
    <t xml:space="preserve">El Brocal</t>
  </si>
  <si>
    <t xml:space="preserve">ElBrocal</t>
  </si>
  <si>
    <t xml:space="preserve">PE-ECR-UG-FEL00-188-A</t>
  </si>
  <si>
    <t xml:space="preserve">Emincar_Los Castellanos_UG</t>
  </si>
  <si>
    <t xml:space="preserve">OT-EMX-CS-OTR00-087-A</t>
  </si>
  <si>
    <t xml:space="preserve">EMX_Due Diligence de Chapi</t>
  </si>
  <si>
    <t xml:space="preserve">OT-EMX-CS-OTR00-091-A</t>
  </si>
  <si>
    <t xml:space="preserve">EMX_Metallurgical expert for review</t>
  </si>
  <si>
    <t xml:space="preserve">BR-EQG-UG-FEL03-172-A</t>
  </si>
  <si>
    <t xml:space="preserve">CH-ERG-GM-FEL00-186-A</t>
  </si>
  <si>
    <t xml:space="preserve">ERG_Parámetros estabilidad taludes</t>
  </si>
  <si>
    <t xml:space="preserve">ERG</t>
  </si>
  <si>
    <t xml:space="preserve">BR-ERC-UG-FEL00-152-A</t>
  </si>
  <si>
    <t xml:space="preserve">BR-ERC-GM-FEL00-208-A</t>
  </si>
  <si>
    <t xml:space="preserve">EroCopper_Surubim OP Mine</t>
  </si>
  <si>
    <t xml:space="preserve">CH-D&amp;P-CS-OTR00-137-A</t>
  </si>
  <si>
    <t xml:space="preserve">Estrategia Cobre Panama</t>
  </si>
  <si>
    <t xml:space="preserve">PE-BRO-OT-OTR00-003-D</t>
  </si>
  <si>
    <t xml:space="preserve">Estudio con Faja Transportadora</t>
  </si>
  <si>
    <t xml:space="preserve">Euclidea Consulting</t>
  </si>
  <si>
    <t xml:space="preserve">RU-ECH-UG-FEL00-081-A</t>
  </si>
  <si>
    <t xml:space="preserve">Eurochem_Himmelfarb Deposit</t>
  </si>
  <si>
    <t xml:space="preserve">OT-FNE-CS-OTR00-176-A</t>
  </si>
  <si>
    <t xml:space="preserve">FN_Oko West project review</t>
  </si>
  <si>
    <t xml:space="preserve">Franco Nevada</t>
  </si>
  <si>
    <t xml:space="preserve">OT-FPT-OU-FEL00-196-A</t>
  </si>
  <si>
    <t xml:space="preserve">Freeport_GBC Restart Strategy Services</t>
  </si>
  <si>
    <t xml:space="preserve">PE-GLE-OP-FEL2A-054-A</t>
  </si>
  <si>
    <t xml:space="preserve">Glencore_Coroccohuayco_OptimizacionLOM</t>
  </si>
  <si>
    <t xml:space="preserve">CH-GLE-CS-OTR00-183-A</t>
  </si>
  <si>
    <t xml:space="preserve">CH-GLE-CS-OTR00-094-A</t>
  </si>
  <si>
    <t xml:space="preserve">Glencore_MineHaul y MinePlan Lomas Bayas</t>
  </si>
  <si>
    <t xml:space="preserve">CH-GLE-CS-OTR00-199-A</t>
  </si>
  <si>
    <t xml:space="preserve">Glencore_Mining Simulation Mara</t>
  </si>
  <si>
    <t xml:space="preserve">OT-HCL-CS-OTR00-202-A</t>
  </si>
  <si>
    <t xml:space="preserve">Hecla_Lucky Friday Mine</t>
  </si>
  <si>
    <t xml:space="preserve">Hecla</t>
  </si>
  <si>
    <t xml:space="preserve">PE-HSI-GM-OTR00-217-A</t>
  </si>
  <si>
    <t xml:space="preserve">Highlander_Diagnóstico Geomecánico</t>
  </si>
  <si>
    <t xml:space="preserve">Highlander</t>
  </si>
  <si>
    <t xml:space="preserve">PE-HCS-UG-FEL00-190-A</t>
  </si>
  <si>
    <t xml:space="preserve">Hochschild_FS Metodos de Minado Tesoro</t>
  </si>
  <si>
    <t xml:space="preserve">Hochschild</t>
  </si>
  <si>
    <t xml:space="preserve">PE-HCS-UG-OTR00-204-A</t>
  </si>
  <si>
    <t xml:space="preserve">Hochschild_LOM UG Royropata</t>
  </si>
  <si>
    <t xml:space="preserve">PE-HUD-GM-FEL00-153-A</t>
  </si>
  <si>
    <t xml:space="preserve">Hudbay_Actualización Riesgo Sísmico</t>
  </si>
  <si>
    <t xml:space="preserve">Hudbay</t>
  </si>
  <si>
    <t xml:space="preserve">PE-HUD-GM-FEL00-206-A</t>
  </si>
  <si>
    <t xml:space="preserve">Hudbay_Ampliacion Peligro Sísmico</t>
  </si>
  <si>
    <t xml:space="preserve">PE-SME-UG-OTR00-021-A</t>
  </si>
  <si>
    <t xml:space="preserve">ITS Yauricocha</t>
  </si>
  <si>
    <t xml:space="preserve">Modificacion MEIA Yauricocha</t>
  </si>
  <si>
    <t xml:space="preserve">OT-IEL-UG-FEL2A-088-A</t>
  </si>
  <si>
    <t xml:space="preserve">IvanhoeElectric_Mine Planning Support</t>
  </si>
  <si>
    <t xml:space="preserve">OT-IEL-UG-FEL2A-060-A</t>
  </si>
  <si>
    <t xml:space="preserve">IvanhoeElectric_Santa-Cruz_PrePFS</t>
  </si>
  <si>
    <t xml:space="preserve">BR-J&amp;F-CS-OTR00-100-A</t>
  </si>
  <si>
    <t xml:space="preserve">J&amp;F_Autazes Due Diligence</t>
  </si>
  <si>
    <t xml:space="preserve">BR-J&amp;F-UG-FEL03-048-A</t>
  </si>
  <si>
    <t xml:space="preserve">J&amp;F_Urucrum_RecuperacionPilares</t>
  </si>
  <si>
    <t xml:space="preserve">PE-MMG-UG-FEL2A-143-A</t>
  </si>
  <si>
    <t xml:space="preserve">LasBambas_Ferrobamba PFS</t>
  </si>
  <si>
    <t xml:space="preserve">PE-MMG-OU-FEL00-022-A</t>
  </si>
  <si>
    <t xml:space="preserve">LasBambas_Ferrobamba_OP_UG</t>
  </si>
  <si>
    <t xml:space="preserve">LasBambas_Ferrobamba UG</t>
  </si>
  <si>
    <t xml:space="preserve">PE-MMG-UG-FEL00-136-A</t>
  </si>
  <si>
    <t xml:space="preserve">LasBambas_Ferrobambas UG Escenarios</t>
  </si>
  <si>
    <t xml:space="preserve">BR-LHG-UG-OTR00-161-A</t>
  </si>
  <si>
    <t xml:space="preserve">LHG_LOM Urucum</t>
  </si>
  <si>
    <t xml:space="preserve">CH-CMP-OP-FEL03-010-A</t>
  </si>
  <si>
    <t xml:space="preserve">LOM CNN 2023</t>
  </si>
  <si>
    <t xml:space="preserve">LOM CNN</t>
  </si>
  <si>
    <t xml:space="preserve">CH-CMP-OP-FEL03-011-A</t>
  </si>
  <si>
    <t xml:space="preserve">LOM MLC 2023</t>
  </si>
  <si>
    <t xml:space="preserve">LOM MLC</t>
  </si>
  <si>
    <t xml:space="preserve">CH-GLE-OP-FEL01-012-A</t>
  </si>
  <si>
    <t xml:space="preserve">Lomas Bayas - LoA24</t>
  </si>
  <si>
    <t xml:space="preserve">Lomas Bayas</t>
  </si>
  <si>
    <t xml:space="preserve">PE-CSC-OT-OTR00-198-A</t>
  </si>
  <si>
    <t xml:space="preserve">Los Calatos_DD-Support</t>
  </si>
  <si>
    <t xml:space="preserve">PE-CSC-CS-OTR00-192-A</t>
  </si>
  <si>
    <t xml:space="preserve">CH-LUN-CS-OTR00-154-A</t>
  </si>
  <si>
    <t xml:space="preserve">CH-LUN-CS-OTR00-069-A</t>
  </si>
  <si>
    <t xml:space="preserve">Lundin_Candelaria_EstudiosCugep</t>
  </si>
  <si>
    <t xml:space="preserve">CH-LUN-CS-OTR00-113-A</t>
  </si>
  <si>
    <t xml:space="preserve">Lundin_Gaps Planificación y Operación UG</t>
  </si>
  <si>
    <t xml:space="preserve">CH-LUN-OP-FEL00-110-A</t>
  </si>
  <si>
    <t xml:space="preserve">Lundin_Oportunidades mejoras Caserones</t>
  </si>
  <si>
    <t xml:space="preserve">CH-FLU-CD-OTR00-013-A</t>
  </si>
  <si>
    <t xml:space="preserve">MARA - Simulación Sistema Manejo Estéril</t>
  </si>
  <si>
    <t xml:space="preserve">MARA</t>
  </si>
  <si>
    <t xml:space="preserve">Fluor</t>
  </si>
  <si>
    <t xml:space="preserve">PE-MSR-OP-OTR00-024-A</t>
  </si>
  <si>
    <t xml:space="preserve">Marcobre - Minajusta</t>
  </si>
  <si>
    <t xml:space="preserve">Mina Justa</t>
  </si>
  <si>
    <t xml:space="preserve">PE-MAR-OU-FEL01-114-A</t>
  </si>
  <si>
    <t xml:space="preserve">Marcobre_Ingeniería de Perfil Achupallas</t>
  </si>
  <si>
    <t xml:space="preserve">OT-MCA-CS-OTR00-080-A</t>
  </si>
  <si>
    <t xml:space="preserve">McCarthy_Litigio Rio Tinto</t>
  </si>
  <si>
    <t xml:space="preserve">CH-MCI-OP-OTR00-089-A</t>
  </si>
  <si>
    <t xml:space="preserve">MCI_Mine Plan Review Los Bronces</t>
  </si>
  <si>
    <t xml:space="preserve">PE-COR-UG-FEL2A-035-A</t>
  </si>
  <si>
    <t xml:space="preserve">MEIA Coripuno</t>
  </si>
  <si>
    <t xml:space="preserve">CH-BHP-CD-OTR00-020-A</t>
  </si>
  <si>
    <t xml:space="preserve">Servicio Enoteca</t>
  </si>
  <si>
    <t xml:space="preserve">CH-MIN-CS-FEL00-209-A</t>
  </si>
  <si>
    <t xml:space="preserve">MineriaIman_PEA Proyecto Iman</t>
  </si>
  <si>
    <t xml:space="preserve">Minería Activa</t>
  </si>
  <si>
    <t xml:space="preserve">PE-MSR-CS-OTR00-090-A</t>
  </si>
  <si>
    <t xml:space="preserve">Minsur_Apoyo MEIA Raura</t>
  </si>
  <si>
    <t xml:space="preserve">PE-MSR-UG-OTR00-077-A</t>
  </si>
  <si>
    <t xml:space="preserve">Minsur_Apoyo Planificacion San Rafael</t>
  </si>
  <si>
    <t xml:space="preserve">PE-MSR-UG-OTR00-097-A</t>
  </si>
  <si>
    <t xml:space="preserve">Minsur_Evaluacion recursos marginales</t>
  </si>
  <si>
    <t xml:space="preserve">PE-MSR-CS-OTR00-163-A</t>
  </si>
  <si>
    <t xml:space="preserve">Minsur_Factibilidad Infraestructura Coreshack</t>
  </si>
  <si>
    <t xml:space="preserve">PE-MSR-UG-FEL03-036-A</t>
  </si>
  <si>
    <t xml:space="preserve">Minsur_Forecast_Budget24</t>
  </si>
  <si>
    <t xml:space="preserve">PE-MSR-GM-OTR00-109-A</t>
  </si>
  <si>
    <t xml:space="preserve">Minsur_Integracion Planeamiento Geomecanica</t>
  </si>
  <si>
    <t xml:space="preserve">PE-MSR-UG-OTR00-151-A</t>
  </si>
  <si>
    <t xml:space="preserve">Minsur_LOM Integrado San Rafael 2025</t>
  </si>
  <si>
    <t xml:space="preserve">PE-MSR-UG-OTR00-200-A</t>
  </si>
  <si>
    <t xml:space="preserve">Minsur_LOM Integrado San Rafael 2026</t>
  </si>
  <si>
    <t xml:space="preserve">PE-MSR-UG-FEL00-086-A</t>
  </si>
  <si>
    <t xml:space="preserve">Minsur_LOM San Rafael 2025</t>
  </si>
  <si>
    <t xml:space="preserve">PE-MSR-GM-OTR00-092-A</t>
  </si>
  <si>
    <t xml:space="preserve">Minsur_Mejoramiento datos geotecnicos SR</t>
  </si>
  <si>
    <t xml:space="preserve">PE-MSR-CS-OTR00-062-A</t>
  </si>
  <si>
    <t xml:space="preserve">Minsur_Ore Sorting Raura</t>
  </si>
  <si>
    <t xml:space="preserve">PE-MSR-UG-OTR00-220-A</t>
  </si>
  <si>
    <t xml:space="preserve">Minsur_Proceso adherencia Quenamari - SR</t>
  </si>
  <si>
    <t xml:space="preserve">PE-MSR-UG-FEL00-079-A</t>
  </si>
  <si>
    <t xml:space="preserve">Minsur_Rampa de acceso San German</t>
  </si>
  <si>
    <t xml:space="preserve">PE-MSR-UG-OTR00-134-A</t>
  </si>
  <si>
    <t xml:space="preserve">Minsur_Raura Análisis LOM25</t>
  </si>
  <si>
    <t xml:space="preserve">PE-MSR-UG-FEL00-142-A</t>
  </si>
  <si>
    <t xml:space="preserve">Minsur_San Rafael Estudio V MEIA</t>
  </si>
  <si>
    <t xml:space="preserve">PE-MSR-UG-OTR00-162-A</t>
  </si>
  <si>
    <t xml:space="preserve">Minsur_Soporte LOM 2025 Raura</t>
  </si>
  <si>
    <t xml:space="preserve">PE-MSR-UG-FEL00-071-A</t>
  </si>
  <si>
    <t xml:space="preserve">Minsur_Update LOM San Rafael</t>
  </si>
  <si>
    <t xml:space="preserve">PE-MMA-CS-OTR00-205-A</t>
  </si>
  <si>
    <t xml:space="preserve">Miskimayo_Actualizacion R&amp;R Mina Bayovar</t>
  </si>
  <si>
    <t xml:space="preserve">Miskimayo</t>
  </si>
  <si>
    <t xml:space="preserve">PE-MMA-OP-FEL00-182-A</t>
  </si>
  <si>
    <t xml:space="preserve">PE-MMA-OP-FEL00-047-A</t>
  </si>
  <si>
    <t xml:space="preserve">MiskiMayo_LOM</t>
  </si>
  <si>
    <t xml:space="preserve">BR-MOS-OP-FEL2A-102-A</t>
  </si>
  <si>
    <t xml:space="preserve">Mosaic_Actualizacion geotecnica OP</t>
  </si>
  <si>
    <t xml:space="preserve">BR-MOS-GM-FEL00-207-A</t>
  </si>
  <si>
    <t xml:space="preserve">Mosaic_Análisis de Estabilidad</t>
  </si>
  <si>
    <t xml:space="preserve">BR-MOS-OU-FEL03-026-A</t>
  </si>
  <si>
    <t xml:space="preserve">Mosaic_Cajati</t>
  </si>
  <si>
    <t xml:space="preserve">Cajati</t>
  </si>
  <si>
    <t xml:space="preserve">Cajati Optimización OP</t>
  </si>
  <si>
    <t xml:space="preserve">BR-MOS-OU-FEL03-147-A</t>
  </si>
  <si>
    <t xml:space="preserve">Mosaic_Cajati Business Case</t>
  </si>
  <si>
    <t xml:space="preserve">BR-MOS-OU-FEL00-197-A</t>
  </si>
  <si>
    <t xml:space="preserve">Mosaic_Cajati LOM Open Pit</t>
  </si>
  <si>
    <t xml:space="preserve">BR-MOS-CS-OTR00-115-A</t>
  </si>
  <si>
    <t xml:space="preserve">Mosaic_Secuencia Operaciones Cajati</t>
  </si>
  <si>
    <t xml:space="preserve">BR-MOS-UG-FEL01-028-A</t>
  </si>
  <si>
    <t xml:space="preserve">Mosaic_Taquari Vassouras</t>
  </si>
  <si>
    <t xml:space="preserve">Mosaic_Taquari Vassouras (Reembolsable)</t>
  </si>
  <si>
    <t xml:space="preserve">BR-MOS-UG-OTR00-098-A</t>
  </si>
  <si>
    <t xml:space="preserve">Mosaic_Taquari Vassouras Fase II</t>
  </si>
  <si>
    <t xml:space="preserve">BR-MOS-UG-FEL2A-064-A</t>
  </si>
  <si>
    <t xml:space="preserve">Mosaic_Taquari Vassouras Fase II CP</t>
  </si>
  <si>
    <t xml:space="preserve">PE-NEX-GM-FEL00-167-A</t>
  </si>
  <si>
    <t xml:space="preserve">BR-NEX-UG-FEL2A-027-A</t>
  </si>
  <si>
    <t xml:space="preserve">NEXA_FEL2 Aripuana</t>
  </si>
  <si>
    <t xml:space="preserve">PE-NEX-CS-OTR00-168-A</t>
  </si>
  <si>
    <t xml:space="preserve">NEXA_Peer Review Cerro Lindo</t>
  </si>
  <si>
    <t xml:space="preserve">RU-OTR-UG-FEL2A-015-A</t>
  </si>
  <si>
    <t xml:space="preserve">NorGold</t>
  </si>
  <si>
    <t xml:space="preserve">NordGold</t>
  </si>
  <si>
    <t xml:space="preserve">RU-OTR-GM-FEL01-016-A</t>
  </si>
  <si>
    <t xml:space="preserve">NORILSK1-FS</t>
  </si>
  <si>
    <t xml:space="preserve">Norilsk 1</t>
  </si>
  <si>
    <t xml:space="preserve">PE-OCP-CS-OTR00-138-A</t>
  </si>
  <si>
    <t xml:space="preserve">OCP_Análisis Estratégico Mina Cobriza</t>
  </si>
  <si>
    <t xml:space="preserve">OCP</t>
  </si>
  <si>
    <t xml:space="preserve">RU-OTR-GM-FEL01-017-A</t>
  </si>
  <si>
    <t xml:space="preserve">OKT-NFM-FS</t>
  </si>
  <si>
    <t xml:space="preserve">Oktyabrsky</t>
  </si>
  <si>
    <t xml:space="preserve">CH-AMS-OP-FEL01-014-A</t>
  </si>
  <si>
    <t xml:space="preserve">Pelambres</t>
  </si>
  <si>
    <t xml:space="preserve">MLP</t>
  </si>
  <si>
    <t xml:space="preserve">PE-CSC-UG-FEL2A-023-A</t>
  </si>
  <si>
    <t xml:space="preserve">PFS Los Calatos</t>
  </si>
  <si>
    <t xml:space="preserve">PE-CSC-UG-FEL2A-133-A</t>
  </si>
  <si>
    <t xml:space="preserve">PFS Los Calatos V3</t>
  </si>
  <si>
    <t xml:space="preserve">CH-LUN-GM-OTR00-005-A</t>
  </si>
  <si>
    <t xml:space="preserve">Pilares Mineros - Candelaria</t>
  </si>
  <si>
    <t xml:space="preserve">Candelaria Pilares</t>
  </si>
  <si>
    <t xml:space="preserve">CH-COD-UG-OTR00-003-B</t>
  </si>
  <si>
    <t xml:space="preserve">Planificación Minera Subterránea</t>
  </si>
  <si>
    <t xml:space="preserve">Planificacion Minera Subterranea</t>
  </si>
  <si>
    <t xml:space="preserve">RU-POL-OP-FEL00-149-A</t>
  </si>
  <si>
    <t xml:space="preserve">RU-POL-OP-FEL00-173-A</t>
  </si>
  <si>
    <t xml:space="preserve">CH-PUC-CS-OTR00-170-A</t>
  </si>
  <si>
    <t xml:space="preserve">PUCOBRE_Acompañamiento Reservas Tovaku</t>
  </si>
  <si>
    <t xml:space="preserve">PUCOBRE</t>
  </si>
  <si>
    <t xml:space="preserve">PE-MSR-UG-OTR00-042-A</t>
  </si>
  <si>
    <t xml:space="preserve">Raura Operativo</t>
  </si>
  <si>
    <t xml:space="preserve">Raura Modelo Operacional</t>
  </si>
  <si>
    <t xml:space="preserve">CH-CMP-OT-OTR00-025-A</t>
  </si>
  <si>
    <t xml:space="preserve">RDP</t>
  </si>
  <si>
    <t xml:space="preserve">OT-RES-CS-OTR00-178-A</t>
  </si>
  <si>
    <t xml:space="preserve">OT-RES-CS-OTR00-131-A</t>
  </si>
  <si>
    <t xml:space="preserve">Resolution_MinePlan Review</t>
  </si>
  <si>
    <t xml:space="preserve">OT-RES-CS-OTR00-150-A</t>
  </si>
  <si>
    <t xml:space="preserve">Resolution_UGC 68L Program</t>
  </si>
  <si>
    <t xml:space="preserve">CH-CMP-OP-OTR00-018-A</t>
  </si>
  <si>
    <t xml:space="preserve">Romeral</t>
  </si>
  <si>
    <t xml:space="preserve">PE-MSR-UG-OTR00-043-A</t>
  </si>
  <si>
    <t xml:space="preserve">San Rafael Contrato Marco</t>
  </si>
  <si>
    <t xml:space="preserve">PE-MSR-UG-OTR00-044-A</t>
  </si>
  <si>
    <t xml:space="preserve">San Rafael Gestión Operativa</t>
  </si>
  <si>
    <t xml:space="preserve">San Rafael Modelo Operacional</t>
  </si>
  <si>
    <t xml:space="preserve">PE-MSR-UG-OTR00-045-A</t>
  </si>
  <si>
    <t xml:space="preserve">San Rafael: Gestión del Corto Plazo</t>
  </si>
  <si>
    <t xml:space="preserve">Minsur_SIMPREP San Rafael</t>
  </si>
  <si>
    <t xml:space="preserve">CD-SGO-CS-OTR00-213-A</t>
  </si>
  <si>
    <t xml:space="preserve">SeabridgeGold_HoV analysis for the KSM</t>
  </si>
  <si>
    <t xml:space="preserve">RU-SEL-UG-FEL2A-072-A</t>
  </si>
  <si>
    <t xml:space="preserve">PE-SME-UG-FEL2A-046-A</t>
  </si>
  <si>
    <t xml:space="preserve">Sierra Metals_Plan de Minado MEIA</t>
  </si>
  <si>
    <t xml:space="preserve">Sierra Metals_Plan de Minado</t>
  </si>
  <si>
    <t xml:space="preserve">Sierra Metals</t>
  </si>
  <si>
    <t xml:space="preserve">PE-SME-CS-OTR00-099-A</t>
  </si>
  <si>
    <t xml:space="preserve">SierraMetals_Update MEIA Yauricocha</t>
  </si>
  <si>
    <t xml:space="preserve">OT-STH-CS-OTR00-201-A</t>
  </si>
  <si>
    <t xml:space="preserve">South32_Clark Project</t>
  </si>
  <si>
    <t xml:space="preserve">CH-BHP-OP-OTR00-085-A</t>
  </si>
  <si>
    <t xml:space="preserve">Spence_Confiabilidad Plan 2YB 2025</t>
  </si>
  <si>
    <t xml:space="preserve">PE-SPM-UG-FEL03-160-A</t>
  </si>
  <si>
    <t xml:space="preserve">SPM_FS Labores Subterraneas 2da MEIA</t>
  </si>
  <si>
    <t xml:space="preserve">Santander Peruvian</t>
  </si>
  <si>
    <t xml:space="preserve">SPM</t>
  </si>
  <si>
    <t xml:space="preserve">OT-STC-UG-FEL03-210-A</t>
  </si>
  <si>
    <t xml:space="preserve">Stantec_I80 Archimedes UG FS</t>
  </si>
  <si>
    <t xml:space="preserve">Stantec</t>
  </si>
  <si>
    <t xml:space="preserve">BR-TAB-OP-FEL00-158-A</t>
  </si>
  <si>
    <t xml:space="preserve">Taboca_Evaluación Mina Pitinga</t>
  </si>
  <si>
    <t xml:space="preserve">The Boston Consulting Group</t>
  </si>
  <si>
    <t xml:space="preserve">BCG</t>
  </si>
  <si>
    <t xml:space="preserve">OT-THC-CS-OTR00-122-A</t>
  </si>
  <si>
    <t xml:space="preserve">ThreeCrowns_Litigio Oyu Tolgoi</t>
  </si>
  <si>
    <t xml:space="preserve">OT-TWM-CS-FEL00-119-A</t>
  </si>
  <si>
    <t xml:space="preserve">Twin Metals_Pre PFS Birch Lake Maturi</t>
  </si>
  <si>
    <t xml:space="preserve">OT-TWM-CS-FEL00-141-A</t>
  </si>
  <si>
    <t xml:space="preserve">TwinMetals_Birch Lake Integration</t>
  </si>
  <si>
    <t xml:space="preserve">PE-VLC-GM-FEL00-166-A</t>
  </si>
  <si>
    <t xml:space="preserve">Volcan_Estudio Estabilidad Desmonteras</t>
  </si>
  <si>
    <t xml:space="preserve">Volcan</t>
  </si>
  <si>
    <t xml:space="preserve">Retenciones LOM Los Colorados</t>
  </si>
  <si>
    <t xml:space="preserve">Retenciones FEL 2A y Otros</t>
  </si>
  <si>
    <t xml:space="preserve">Retenciones AARR</t>
  </si>
  <si>
    <t xml:space="preserve">STAGING — Flujo de caja REAL 2025 por entidad×mes (componentes, USD). Fuente: hojas 'Flujo Redco &lt;país&gt;'.</t>
  </si>
  <si>
    <t xml:space="preserve">Componente</t>
  </si>
  <si>
    <t xml:space="preserve">Flujo Redco Chile</t>
  </si>
  <si>
    <t xml:space="preserve">Ingresos Op.</t>
  </si>
  <si>
    <t xml:space="preserve">Otros Ingresos</t>
  </si>
  <si>
    <t xml:space="preserve">Costos Op.</t>
  </si>
  <si>
    <t xml:space="preserve">Costos Admin.</t>
  </si>
  <si>
    <t xml:space="preserve">Activo</t>
  </si>
  <si>
    <t xml:space="preserve">Egresos No Op.</t>
  </si>
  <si>
    <t xml:space="preserve">Pagos Cta.Cte.</t>
  </si>
  <si>
    <t xml:space="preserve">Flujo Mensual</t>
  </si>
  <si>
    <t xml:space="preserve">Flujo Redco Perú</t>
  </si>
  <si>
    <t xml:space="preserve">Flujo Redco Brasil</t>
  </si>
  <si>
    <t xml:space="preserve">Flujo Redco USA</t>
  </si>
  <si>
    <t xml:space="preserve">Flujo Redco BVI</t>
  </si>
  <si>
    <t xml:space="preserve">STAGING — Devengo de gestión 2025 (Resumen Forecast 25´), kUSD→USD. NO es caja bancaria.</t>
  </si>
  <si>
    <t xml:space="preserve">Propuestas</t>
  </si>
  <si>
    <t xml:space="preserve">Resumen Forecast 25´</t>
  </si>
  <si>
    <t xml:space="preserve">Ventas</t>
  </si>
  <si>
    <t xml:space="preserve">STAGING — Cobros a caja (Ingresado USD por Fecha Ingreso) por país×mes, 2024 y 2025. Fuente: ledger EdP.</t>
  </si>
  <si>
    <t xml:space="preserve">Cobros_USD</t>
  </si>
  <si>
    <t xml:space="preserve">CicloEdP_2023_v1 (Fecha Ingreso)</t>
  </si>
  <si>
    <t xml:space="preserve">STAGING — Horas REALES dic-2025 por profesional×proyecto. Única foto de horas reales por persona.</t>
  </si>
  <si>
    <t xml:space="preserve">Profesional</t>
  </si>
  <si>
    <t xml:space="preserve">Horas_Real</t>
  </si>
  <si>
    <t xml:space="preserve">HH_EDP_Diciembre 2025.xlsx</t>
  </si>
  <si>
    <t xml:space="preserve">Listado de verificación (Tipo=Real, dic-2025)</t>
  </si>
  <si>
    <t xml:space="preserve">Gestión Comercial R+ y Confección prop</t>
  </si>
  <si>
    <t xml:space="preserve">STAGING — EDP emitido/facturado dic-2025 por proyecto (ingreso del proyecto para prorrateo E4).</t>
  </si>
  <si>
    <t xml:space="preserve">Pais_Proyecto</t>
  </si>
  <si>
    <t xml:space="preserve">EDP_Emitido_Dic25_USD</t>
  </si>
  <si>
    <t xml:space="preserve">Facturado_Dic25_USD</t>
  </si>
  <si>
    <t xml:space="preserve">Tiene_EDP_Dic25</t>
  </si>
  <si>
    <t xml:space="preserve">No (sin EDP emitido dic-25)</t>
  </si>
  <si>
    <t xml:space="preserve">CicloEdP_2023_v1 (Fecha Emisión dic-2025)</t>
  </si>
  <si>
    <t xml:space="preserve">Sí</t>
  </si>
  <si>
    <t xml:space="preserve">99 · Fuentes y transformaciones</t>
  </si>
  <si>
    <t xml:space="preserve">Cada archivo/hoja/campo usado, con el supuesto aplicado.</t>
  </si>
  <si>
    <t xml:space="preserve">#</t>
  </si>
  <si>
    <t xml:space="preserve">Entregable</t>
  </si>
  <si>
    <t xml:space="preserve">Archivo</t>
  </si>
  <si>
    <t xml:space="preserve">Hoja</t>
  </si>
  <si>
    <t xml:space="preserve">Campos usados</t>
  </si>
  <si>
    <t xml:space="preserve">Supuesto / transformación</t>
  </si>
  <si>
    <t xml:space="preserve">1</t>
  </si>
  <si>
    <t xml:space="preserve">E1 Rentabilidad</t>
  </si>
  <si>
    <t xml:space="preserve">País, Concepto (INGRESOS/COSTOS OP), 12 meses 2025</t>
  </si>
  <si>
    <t xml:space="preserve">Dato directo USD. 'COSTOS OP' incluye admin+activo (reconciliado con Resultado Op.)</t>
  </si>
  <si>
    <t xml:space="preserve">2</t>
  </si>
  <si>
    <t xml:space="preserve">Ingresos/Costos/Resultado Op. por entidad (anual)</t>
  </si>
  <si>
    <t xml:space="preserve">Verificación cruzada (Resultado Op. total 1.431.779 USD)</t>
  </si>
  <si>
    <t xml:space="preserve">3</t>
  </si>
  <si>
    <t xml:space="preserve">E1 (cruce)</t>
  </si>
  <si>
    <t xml:space="preserve">Flujo Caja</t>
  </si>
  <si>
    <t xml:space="preserve">Ingreso/Costos/Margen por país (abr-dic)</t>
  </si>
  <si>
    <t xml:space="preserve">Solo verificación cruzada (ventana abr-dic, modelo proyección): Chile −1.327.738, Perú +1.842.848, Brasil +1.050.508, USA +142.187</t>
  </si>
  <si>
    <t xml:space="preserve">4</t>
  </si>
  <si>
    <t xml:space="preserve">E1 Tipo producto / E2 Ventas / E4 ingreso</t>
  </si>
  <si>
    <t xml:space="preserve">Código, Cliente, País, Año, Proyectado/Emitido/Facturado/Ingresado USD + fechas</t>
  </si>
  <si>
    <t xml:space="preserve">VENTA=Emitido USD (Proyectado=0 en 2025). Tipo producto = fase FEL del Código. 701 filas (versión más completa vs. 628 en Archivos 2025).</t>
  </si>
  <si>
    <t xml:space="preserve">5</t>
  </si>
  <si>
    <t xml:space="preserve">E3 Flujo caja 2025</t>
  </si>
  <si>
    <t xml:space="preserve">Flujo Redco Chile/Perú/Brasil/USA/BVI</t>
  </si>
  <si>
    <t xml:space="preserve">Saldo inicial, Ingresos, Costos op/adm, Egresos no op, Pagos cta cte, Flujo mensual</t>
  </si>
  <si>
    <t xml:space="preserve">Componentes extraídos por etiqueta; Caja Final=Inicial+Ingresos−Egresos (reconcilia con Saldo Flujo Mensual)</t>
  </si>
  <si>
    <t xml:space="preserve">6</t>
  </si>
  <si>
    <t xml:space="preserve">E3 Devengo 2025</t>
  </si>
  <si>
    <t xml:space="preserve">EDP, Facturación, Ingresos, Gasto, Beneficio (mensual)</t>
  </si>
  <si>
    <t xml:space="preserve">kUSD→USD (×1000). Devengo de gestión, NO caja bancaria.</t>
  </si>
  <si>
    <t xml:space="preserve">7</t>
  </si>
  <si>
    <t xml:space="preserve">E3 Cobros 2024/2025</t>
  </si>
  <si>
    <t xml:space="preserve">Ingresado USD por Fecha Ingreso, País</t>
  </si>
  <si>
    <t xml:space="preserve">Cobros a caja por país×mes. 2024=8,28M / 2025=9,03M USD.</t>
  </si>
  <si>
    <t xml:space="preserve">8a</t>
  </si>
  <si>
    <t xml:space="preserve">E1/E3 P&amp;L 2024</t>
  </si>
  <si>
    <t xml:space="preserve">Respaldos/Gastos a Diciembre 2024_v0.xlsx</t>
  </si>
  <si>
    <t xml:space="preserve">Ingresos, Gastos, Beneficio (mensual)</t>
  </si>
  <si>
    <t xml:space="preserve">kUSD→USD. Resultado operacional de gestión 2024 consolidado (Ingresos 8,27M − Gastos 5,97M = Beneficio 2,31M). Devengo, no caja.</t>
  </si>
  <si>
    <t xml:space="preserve">8b</t>
  </si>
  <si>
    <t xml:space="preserve">E1 Ingreso 2024 país</t>
  </si>
  <si>
    <t xml:space="preserve">Ingresos para PPT_Dic</t>
  </si>
  <si>
    <t xml:space="preserve">Ingreso por país×mes (Chile/Perú/Brasil/Rusia/EEUU)</t>
  </si>
  <si>
    <t xml:space="preserve">kUSD→USD. EEUU→USA. Gasto 2024 por país solo disponible Chile/Brasil → margen 2024 solo consolidado.</t>
  </si>
  <si>
    <t xml:space="preserve">8c</t>
  </si>
  <si>
    <t xml:space="preserve">E1 Tipo producto (Nivel Ing.)</t>
  </si>
  <si>
    <t xml:space="preserve">Dashboard</t>
  </si>
  <si>
    <t xml:space="preserve">Nombre Proyecto, Nivel de Ingeniería, Monto Contrato USD</t>
  </si>
  <si>
    <t xml:space="preserve">Taxonomía NATIVA REDCO (8 niveles) mapeada a Core/Adyacencia. Alcance: 59 proyectos del modelo (cartera 20,86M). Cruce con ledger solo 15% → no se aplicó a todo el ledger.</t>
  </si>
  <si>
    <t xml:space="preserve">8d</t>
  </si>
  <si>
    <t xml:space="preserve">E1 Margen por Nivel Ing.</t>
  </si>
  <si>
    <t xml:space="preserve">Ingreso Proyectado + Costo Directo Proyectos</t>
  </si>
  <si>
    <t xml:space="preserve">Ingreso Proy. y Costo Directo por proyecto + Nivel Ing.</t>
  </si>
  <si>
    <t xml:space="preserve">Margen de CONTRIBUCIÓN (ingreso − costo directo) por proyecto → por Nivel de Ingeniería. Proyectado, ventana abr-dic 2025, 42 proyectos. No incluye indirectos.</t>
  </si>
  <si>
    <t xml:space="preserve">8e</t>
  </si>
  <si>
    <t xml:space="preserve">05 ROI (país/producto/año)</t>
  </si>
  <si>
    <t xml:space="preserve">col6=País ORIGEN, col7=país contable, Costo Directo, Nivel</t>
  </si>
  <si>
    <t xml:space="preserve">ROI=Benef./Costo. País por ORIGEN del proyecto (resuelve sesgo Chile). ROE NO calculable (sin patrimonio/balance).</t>
  </si>
  <si>
    <t xml:space="preserve">2b</t>
  </si>
  <si>
    <t xml:space="preserve">E2 Turnover ciclo EdP</t>
  </si>
  <si>
    <t xml:space="preserve">Fecha Emisión, Fecha Facturación, Fecha Ingreso</t>
  </si>
  <si>
    <t xml:space="preserve">Lags en días: Emisión→Factura, Factura→Ingreso, Emisión→Ingreso. Rotación anual = 365/ciclo. 662 de 700 EDP con ciclo completo. Por país y por cliente.</t>
  </si>
  <si>
    <t xml:space="preserve">8</t>
  </si>
  <si>
    <t xml:space="preserve">E3 (2024 neto contable)</t>
  </si>
  <si>
    <t xml:space="preserve">Respaldos/202512_FLUJO...definitivo diciembre_IM.xlsx</t>
  </si>
  <si>
    <t xml:space="preserve">UTILIDAD X AÑO</t>
  </si>
  <si>
    <t xml:space="preserve">Resultado M$ 2024</t>
  </si>
  <si>
    <t xml:space="preserve">Contexto: resultado neto anual 2024 ≈ −250.471 MCLP (RLI, base distinta). Uso declarado de Respaldos.</t>
  </si>
  <si>
    <t xml:space="preserve">9</t>
  </si>
  <si>
    <t xml:space="preserve">E4 Horas reales</t>
  </si>
  <si>
    <t xml:space="preserve">Listado de verificación</t>
  </si>
  <si>
    <t xml:space="preserve">Profesional, Horas_v2, Tipo=Real, Año/Mes</t>
  </si>
  <si>
    <t xml:space="preserve">Filtro Tipo=Real, dic-2025. 7.413 h reales, 49 profesionales, 24 proyectos.</t>
  </si>
  <si>
    <t xml:space="preserve">10</t>
  </si>
  <si>
    <t xml:space="preserve">E4 Rol/Cargo/País/Holgura</t>
  </si>
  <si>
    <t xml:space="preserve">04_POM Junio 2026.xlsx</t>
  </si>
  <si>
    <t xml:space="preserve">Listado Profesionales / Summary HH POM</t>
  </si>
  <si>
    <t xml:space="preserve">País, RUT/DNI, Nombre TEAMS, Área, Cargo; Horas vs 192, holgura</t>
  </si>
  <si>
    <t xml:space="preserve">Roster jun-2026 (proxy de rol para dic-2025). Holgura = proxy de dependencia de 'héroes'.</t>
  </si>
  <si>
    <t xml:space="preserve">11</t>
  </si>
  <si>
    <t xml:space="preserve">E4 Costo laboral</t>
  </si>
  <si>
    <t xml:space="preserve">05_Modelo_Flujo_de_Caja_REDCO...xlsm</t>
  </si>
  <si>
    <t xml:space="preserve">09_Personal_Contrato_HonFijo / 09B_Honorarios-Personal</t>
  </si>
  <si>
    <t xml:space="preserve">Nombre, RUT, Unidad/País, Gasto Empresa USD (mensual)</t>
  </si>
  <si>
    <t xml:space="preserve">Snapshot payroll 2026 como proxy mensual dic-2025. Honorarios = media mensual. Bonos (09A, fechados 2026) excluidos.</t>
  </si>
  <si>
    <t xml:space="preserve">12</t>
  </si>
  <si>
    <t xml:space="preserve">E4 Ingreso proyecto</t>
  </si>
  <si>
    <t xml:space="preserve">Emitido USD con Fecha Emisión en dic-2025, por proyecto</t>
  </si>
  <si>
    <t xml:space="preserve">Ingreso del proyecto para prorrateo. Proyectos sin EDP dic-25 → ingreso 0 (documentado).</t>
  </si>
  <si>
    <t xml:space="preserve">13</t>
  </si>
  <si>
    <t xml:space="preserve">E4 (verif. secundaria)</t>
  </si>
  <si>
    <t xml:space="preserve">Hoja2</t>
  </si>
  <si>
    <t xml:space="preserve">EDP POM/Real por proyecto</t>
  </si>
  <si>
    <t xml:space="preserve">Verificación cruzada del EDP por proyecto (caso Seligdar_Kyuchus EDP=0).</t>
  </si>
</sst>
</file>

<file path=xl/styles.xml><?xml version="1.0" encoding="utf-8"?>
<styleSheet xmlns="http://schemas.openxmlformats.org/spreadsheetml/2006/main">
  <numFmts count="6">
    <numFmt numFmtId="164" formatCode="General"/>
    <numFmt numFmtId="165" formatCode="#,##0;\(#,##0\);\-"/>
    <numFmt numFmtId="166" formatCode="0.0%;\(0.0%\);\-"/>
    <numFmt numFmtId="167" formatCode="#,##0"/>
    <numFmt numFmtId="168" formatCode="0.0"/>
    <numFmt numFmtId="169" formatCode="#,##0.0;\(#,##0.0\);\-"/>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1"/>
      <color rgb="FF1F3864"/>
      <name val="Arial"/>
      <family val="0"/>
      <charset val="1"/>
    </font>
    <font>
      <sz val="10"/>
      <color rgb="FF000000"/>
      <name val="Arial"/>
      <family val="0"/>
      <charset val="1"/>
    </font>
    <font>
      <b val="true"/>
      <sz val="15"/>
      <color rgb="FFFFFFFF"/>
      <name val="Arial"/>
      <family val="0"/>
      <charset val="1"/>
    </font>
    <font>
      <i val="true"/>
      <sz val="10"/>
      <color rgb="FF1F3864"/>
      <name val="Arial"/>
      <family val="0"/>
      <charset val="1"/>
    </font>
    <font>
      <b val="true"/>
      <sz val="10"/>
      <color rgb="FFFFFFFF"/>
      <name val="Arial"/>
      <family val="0"/>
      <charset val="1"/>
    </font>
    <font>
      <sz val="10"/>
      <color rgb="FF006100"/>
      <name val="Arial"/>
      <family val="0"/>
      <charset val="1"/>
    </font>
    <font>
      <b val="true"/>
      <sz val="10"/>
      <color rgb="FF000000"/>
      <name val="Arial"/>
      <family val="0"/>
      <charset val="1"/>
    </font>
    <font>
      <i val="true"/>
      <sz val="10"/>
      <color rgb="FF000000"/>
      <name val="Arial"/>
      <family val="0"/>
      <charset val="1"/>
    </font>
    <font>
      <i val="true"/>
      <sz val="9"/>
      <color rgb="FFC00000"/>
      <name val="Arial"/>
      <family val="0"/>
      <charset val="1"/>
    </font>
    <font>
      <i val="true"/>
      <sz val="9"/>
      <color rgb="FF000000"/>
      <name val="Arial"/>
      <family val="0"/>
      <charset val="1"/>
    </font>
    <font>
      <i val="true"/>
      <sz val="9"/>
      <color rgb="FF7F7F7F"/>
      <name val="Arial"/>
      <family val="0"/>
      <charset val="1"/>
    </font>
    <font>
      <b val="true"/>
      <sz val="9"/>
      <color rgb="FFFFFFFF"/>
      <name val="Arial"/>
      <family val="0"/>
      <charset val="1"/>
    </font>
    <font>
      <sz val="9"/>
      <color rgb="FF000000"/>
      <name val="Arial"/>
      <family val="0"/>
      <charset val="1"/>
    </font>
  </fonts>
  <fills count="8">
    <fill>
      <patternFill patternType="none"/>
    </fill>
    <fill>
      <patternFill patternType="gray125"/>
    </fill>
    <fill>
      <patternFill patternType="solid">
        <fgColor rgb="FFFFF2CC"/>
        <bgColor rgb="FFE2EFDA"/>
      </patternFill>
    </fill>
    <fill>
      <patternFill patternType="solid">
        <fgColor rgb="FF1F3864"/>
        <bgColor rgb="FF333333"/>
      </patternFill>
    </fill>
    <fill>
      <patternFill patternType="solid">
        <fgColor rgb="FF2E5496"/>
        <bgColor rgb="FF1F3864"/>
      </patternFill>
    </fill>
    <fill>
      <patternFill patternType="solid">
        <fgColor rgb="FFE2EFDA"/>
        <bgColor rgb="FFD6E0F0"/>
      </patternFill>
    </fill>
    <fill>
      <patternFill patternType="solid">
        <fgColor rgb="FFD6E0F0"/>
        <bgColor rgb="FFE2EFDA"/>
      </patternFill>
    </fill>
    <fill>
      <patternFill patternType="solid">
        <fgColor rgb="FFC00000"/>
        <bgColor rgb="FF8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3"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5" fontId="12" fillId="5" borderId="1" xfId="0" applyFont="true" applyBorder="true" applyAlignment="false" applyProtection="false">
      <alignment horizontal="general" vertical="bottom" textRotation="0" wrapText="false" indent="0" shrinkToFit="false"/>
      <protection locked="true" hidden="false"/>
    </xf>
    <xf numFmtId="166" fontId="12" fillId="5"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5" fontId="11" fillId="6"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12" fillId="6" borderId="1" xfId="0" applyFont="true" applyBorder="tru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7" fontId="11" fillId="5" borderId="1" xfId="0" applyFont="true" applyBorder="true" applyAlignment="false" applyProtection="false">
      <alignment horizontal="general" vertical="bottom" textRotation="0" wrapText="false" indent="0" shrinkToFit="false"/>
      <protection locked="true" hidden="false"/>
    </xf>
    <xf numFmtId="168" fontId="12" fillId="5" borderId="1" xfId="0" applyFont="true" applyBorder="true" applyAlignment="false" applyProtection="false">
      <alignment horizontal="general" vertical="bottom" textRotation="0" wrapText="false" indent="0" shrinkToFit="false"/>
      <protection locked="true" hidden="false"/>
    </xf>
    <xf numFmtId="164" fontId="8" fillId="7"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9" fontId="12" fillId="5"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5" fontId="18" fillId="0" borderId="1" xfId="0" applyFont="true" applyBorder="true" applyAlignment="false" applyProtection="false">
      <alignment horizontal="general" vertical="bottom" textRotation="0" wrapText="false" indent="0" shrinkToFit="false"/>
      <protection locked="true" hidden="false"/>
    </xf>
    <xf numFmtId="169" fontId="18"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D6E0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20"/>
  </cols>
  <sheetData>
    <row r="1" customFormat="false" ht="19.7"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27.75" hidden="false" customHeight="true" outlineLevel="0" collapsed="false">
      <c r="B5" s="4" t="s">
        <v>3</v>
      </c>
    </row>
    <row r="6" customFormat="false" ht="27.75" hidden="false" customHeight="true" outlineLevel="0" collapsed="false">
      <c r="B6" s="4" t="s">
        <v>4</v>
      </c>
    </row>
    <row r="7" customFormat="false" ht="27.75" hidden="false" customHeight="true" outlineLevel="0" collapsed="false">
      <c r="B7" s="4" t="s">
        <v>5</v>
      </c>
    </row>
    <row r="9" customFormat="false" ht="15" hidden="false" customHeight="false" outlineLevel="0" collapsed="false">
      <c r="B9" s="3" t="s">
        <v>6</v>
      </c>
    </row>
    <row r="10" customFormat="false" ht="15" hidden="false" customHeight="true" outlineLevel="0" collapsed="false">
      <c r="B10" s="4" t="s">
        <v>7</v>
      </c>
    </row>
    <row r="11" customFormat="false" ht="27.75" hidden="false" customHeight="true" outlineLevel="0" collapsed="false">
      <c r="B11" s="4" t="s">
        <v>8</v>
      </c>
    </row>
    <row r="12" customFormat="false" ht="27.75" hidden="false" customHeight="true" outlineLevel="0" collapsed="false">
      <c r="B12" s="4" t="s">
        <v>9</v>
      </c>
    </row>
    <row r="14" customFormat="false" ht="15" hidden="false" customHeight="false" outlineLevel="0" collapsed="false">
      <c r="B14" s="3" t="s">
        <v>10</v>
      </c>
    </row>
    <row r="15" customFormat="false" ht="27.75" hidden="false" customHeight="true" outlineLevel="0" collapsed="false">
      <c r="B15" s="4" t="s">
        <v>11</v>
      </c>
    </row>
    <row r="16" customFormat="false" ht="15" hidden="false" customHeight="true" outlineLevel="0" collapsed="false">
      <c r="B16" s="4" t="s">
        <v>12</v>
      </c>
    </row>
    <row r="17" customFormat="false" ht="15" hidden="false" customHeight="true" outlineLevel="0" collapsed="false">
      <c r="B17" s="4" t="s">
        <v>13</v>
      </c>
    </row>
    <row r="18" customFormat="false" ht="15" hidden="false" customHeight="true" outlineLevel="0" collapsed="false">
      <c r="B18" s="4" t="s">
        <v>14</v>
      </c>
    </row>
    <row r="19" customFormat="false" ht="15" hidden="false" customHeight="true" outlineLevel="0" collapsed="false">
      <c r="B19" s="4" t="s">
        <v>15</v>
      </c>
    </row>
    <row r="20" customFormat="false" ht="42" hidden="false" customHeight="true" outlineLevel="0" collapsed="false">
      <c r="B20" s="4" t="s">
        <v>16</v>
      </c>
    </row>
    <row r="21" customFormat="false" ht="69.75" hidden="false" customHeight="true" outlineLevel="0" collapsed="false">
      <c r="B21" s="4" t="s">
        <v>17</v>
      </c>
    </row>
    <row r="22" customFormat="false" ht="27.75" hidden="false" customHeight="true" outlineLevel="0" collapsed="false">
      <c r="B22" s="4" t="s">
        <v>18</v>
      </c>
    </row>
    <row r="24" customFormat="false" ht="15" hidden="false" customHeight="false" outlineLevel="0" collapsed="false">
      <c r="B24" s="3" t="s">
        <v>19</v>
      </c>
    </row>
    <row r="25" customFormat="false" ht="27.75" hidden="false" customHeight="true" outlineLevel="0" collapsed="false">
      <c r="B25" s="4" t="s">
        <v>20</v>
      </c>
    </row>
    <row r="26" customFormat="false" ht="27.75" hidden="false" customHeight="true" outlineLevel="0" collapsed="false">
      <c r="B26" s="4" t="s">
        <v>21</v>
      </c>
    </row>
    <row r="27" customFormat="false" ht="84" hidden="false" customHeight="true" outlineLevel="0" collapsed="false">
      <c r="B27" s="4" t="s">
        <v>22</v>
      </c>
    </row>
    <row r="29" customFormat="false" ht="15" hidden="false" customHeight="false" outlineLevel="0" collapsed="false">
      <c r="B29" s="3" t="s">
        <v>23</v>
      </c>
    </row>
    <row r="30" customFormat="false" ht="27.75" hidden="false" customHeight="true" outlineLevel="0" collapsed="false">
      <c r="B30" s="4" t="s">
        <v>24</v>
      </c>
    </row>
    <row r="31" customFormat="false" ht="55.5" hidden="false" customHeight="true" outlineLevel="0" collapsed="false">
      <c r="B31" s="4" t="s">
        <v>25</v>
      </c>
    </row>
    <row r="32" customFormat="false" ht="27.75" hidden="false" customHeight="true" outlineLevel="0" collapsed="false">
      <c r="B32" s="4" t="s">
        <v>26</v>
      </c>
    </row>
    <row r="34" customFormat="false" ht="15" hidden="false" customHeight="false" outlineLevel="0" collapsed="false">
      <c r="B34" s="3" t="s">
        <v>27</v>
      </c>
    </row>
    <row r="35" customFormat="false" ht="27.75" hidden="false" customHeight="true" outlineLevel="0" collapsed="false">
      <c r="B35" s="4" t="s">
        <v>28</v>
      </c>
    </row>
    <row r="36" customFormat="false" ht="27.75" hidden="false" customHeight="true" outlineLevel="0" collapsed="false">
      <c r="B36" s="4" t="s">
        <v>29</v>
      </c>
    </row>
    <row r="37" customFormat="false" ht="42" hidden="false" customHeight="true" outlineLevel="0" collapsed="false">
      <c r="B37" s="4" t="s">
        <v>30</v>
      </c>
    </row>
    <row r="38" customFormat="false" ht="42" hidden="false" customHeight="true" outlineLevel="0" collapsed="false">
      <c r="B38" s="4" t="s">
        <v>31</v>
      </c>
    </row>
    <row r="39" customFormat="false" ht="27.75" hidden="false" customHeight="true" outlineLevel="0" collapsed="false">
      <c r="B39" s="4" t="s">
        <v>32</v>
      </c>
    </row>
    <row r="40" customFormat="false" ht="55.5" hidden="false" customHeight="true" outlineLevel="0" collapsed="false">
      <c r="B40" s="4" t="s">
        <v>33</v>
      </c>
    </row>
    <row r="41" customFormat="false" ht="42" hidden="false" customHeight="true" outlineLevel="0" collapsed="false">
      <c r="B41" s="4" t="s">
        <v>34</v>
      </c>
    </row>
    <row r="42" customFormat="false" ht="27.75" hidden="false" customHeight="true" outlineLevel="0" collapsed="false">
      <c r="B42" s="4" t="s">
        <v>35</v>
      </c>
    </row>
    <row r="43" customFormat="false" ht="27.75" hidden="false" customHeight="true" outlineLevel="0" collapsed="false">
      <c r="B43" s="4" t="s">
        <v>36</v>
      </c>
    </row>
    <row r="45" customFormat="false" ht="15" hidden="false" customHeight="false" outlineLevel="0" collapsed="false">
      <c r="B45" s="3" t="s">
        <v>37</v>
      </c>
    </row>
    <row r="46" customFormat="false" ht="27.75" hidden="false" customHeight="true" outlineLevel="0" collapsed="false">
      <c r="B46" s="4"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4" min="3" style="0" width="22"/>
    <col collapsed="false" customWidth="true" hidden="false" outlineLevel="0" max="5" min="5" style="0" width="20"/>
    <col collapsed="false" customWidth="true" hidden="false" outlineLevel="0" max="6" min="6" style="0" width="12"/>
  </cols>
  <sheetData>
    <row r="1" customFormat="false" ht="25.5" hidden="false" customHeight="true" outlineLevel="0" collapsed="false">
      <c r="A1" s="5" t="s">
        <v>39</v>
      </c>
    </row>
    <row r="2" customFormat="false" ht="57.45" hidden="false" customHeight="false" outlineLevel="0" collapsed="false">
      <c r="A2" s="6" t="s">
        <v>40</v>
      </c>
    </row>
    <row r="4" customFormat="false" ht="52.2" hidden="false" customHeight="false" outlineLevel="0" collapsed="false">
      <c r="A4" s="3" t="s">
        <v>41</v>
      </c>
    </row>
    <row r="5" customFormat="false" ht="23.85" hidden="false" customHeight="false" outlineLevel="0" collapsed="false">
      <c r="A5" s="7" t="s">
        <v>42</v>
      </c>
      <c r="B5" s="7" t="s">
        <v>43</v>
      </c>
      <c r="C5" s="7" t="s">
        <v>44</v>
      </c>
      <c r="D5" s="7" t="s">
        <v>45</v>
      </c>
      <c r="E5" s="7" t="s">
        <v>46</v>
      </c>
      <c r="F5" s="7" t="s">
        <v>47</v>
      </c>
    </row>
    <row r="6" customFormat="false" ht="15" hidden="false" customHeight="false" outlineLevel="0" collapsed="false">
      <c r="A6" s="8" t="s">
        <v>48</v>
      </c>
      <c r="B6" s="8" t="s">
        <v>49</v>
      </c>
      <c r="C6" s="9" t="n">
        <f aca="false">SUMIFS('90_Origen_Rentab_2025'!$F$3:$F$122,'90_Origen_Rentab_2025'!$A$3:$A$122,$A6,'90_Origen_Rentab_2025'!$C$3:$C$122,1,'90_Origen_Rentab_2025'!$E$3:$E$122,"INGRESOS OP")</f>
        <v>362362.73</v>
      </c>
      <c r="D6" s="9" t="n">
        <f aca="false">SUMIFS('90_Origen_Rentab_2025'!$F$3:$F$122,'90_Origen_Rentab_2025'!$A$3:$A$122,$A6,'90_Origen_Rentab_2025'!$C$3:$C$122,1,'90_Origen_Rentab_2025'!$E$3:$E$122,"COSTOS OP")</f>
        <v>397276.65</v>
      </c>
      <c r="E6" s="10" t="n">
        <f aca="false">C6-D6</f>
        <v>-34913.92</v>
      </c>
      <c r="F6" s="11" t="n">
        <f aca="false">IF(C6=0,"-",E6/C6)</f>
        <v>-0.096350747771439</v>
      </c>
    </row>
    <row r="7" customFormat="false" ht="15" hidden="false" customHeight="false" outlineLevel="0" collapsed="false">
      <c r="A7" s="8" t="s">
        <v>48</v>
      </c>
      <c r="B7" s="8" t="s">
        <v>50</v>
      </c>
      <c r="C7" s="9" t="n">
        <f aca="false">SUMIFS('90_Origen_Rentab_2025'!$F$3:$F$122,'90_Origen_Rentab_2025'!$A$3:$A$122,$A7,'90_Origen_Rentab_2025'!$C$3:$C$122,2,'90_Origen_Rentab_2025'!$E$3:$E$122,"INGRESOS OP")</f>
        <v>547310.62</v>
      </c>
      <c r="D7" s="9" t="n">
        <f aca="false">SUMIFS('90_Origen_Rentab_2025'!$F$3:$F$122,'90_Origen_Rentab_2025'!$A$3:$A$122,$A7,'90_Origen_Rentab_2025'!$C$3:$C$122,2,'90_Origen_Rentab_2025'!$E$3:$E$122,"COSTOS OP")</f>
        <v>422126.64</v>
      </c>
      <c r="E7" s="10" t="n">
        <f aca="false">C7-D7</f>
        <v>125183.98</v>
      </c>
      <c r="F7" s="11" t="n">
        <f aca="false">IF(C7=0,"-",E7/C7)</f>
        <v>0.228725654912379</v>
      </c>
    </row>
    <row r="8" customFormat="false" ht="15" hidden="false" customHeight="false" outlineLevel="0" collapsed="false">
      <c r="A8" s="8" t="s">
        <v>48</v>
      </c>
      <c r="B8" s="8" t="s">
        <v>51</v>
      </c>
      <c r="C8" s="9" t="n">
        <f aca="false">SUMIFS('90_Origen_Rentab_2025'!$F$3:$F$122,'90_Origen_Rentab_2025'!$A$3:$A$122,$A8,'90_Origen_Rentab_2025'!$C$3:$C$122,3,'90_Origen_Rentab_2025'!$E$3:$E$122,"INGRESOS OP")</f>
        <v>389727.46</v>
      </c>
      <c r="D8" s="9" t="n">
        <f aca="false">SUMIFS('90_Origen_Rentab_2025'!$F$3:$F$122,'90_Origen_Rentab_2025'!$A$3:$A$122,$A8,'90_Origen_Rentab_2025'!$C$3:$C$122,3,'90_Origen_Rentab_2025'!$E$3:$E$122,"COSTOS OP")</f>
        <v>439899.18</v>
      </c>
      <c r="E8" s="10" t="n">
        <f aca="false">C8-D8</f>
        <v>-50171.72</v>
      </c>
      <c r="F8" s="11" t="n">
        <f aca="false">IF(C8=0,"-",E8/C8)</f>
        <v>-0.128735398834868</v>
      </c>
    </row>
    <row r="9" customFormat="false" ht="15" hidden="false" customHeight="false" outlineLevel="0" collapsed="false">
      <c r="A9" s="8" t="s">
        <v>48</v>
      </c>
      <c r="B9" s="8" t="s">
        <v>52</v>
      </c>
      <c r="C9" s="9" t="n">
        <f aca="false">SUMIFS('90_Origen_Rentab_2025'!$F$3:$F$122,'90_Origen_Rentab_2025'!$A$3:$A$122,$A9,'90_Origen_Rentab_2025'!$C$3:$C$122,4,'90_Origen_Rentab_2025'!$E$3:$E$122,"INGRESOS OP")</f>
        <v>237434.48</v>
      </c>
      <c r="D9" s="9" t="n">
        <f aca="false">SUMIFS('90_Origen_Rentab_2025'!$F$3:$F$122,'90_Origen_Rentab_2025'!$A$3:$A$122,$A9,'90_Origen_Rentab_2025'!$C$3:$C$122,4,'90_Origen_Rentab_2025'!$E$3:$E$122,"COSTOS OP")</f>
        <v>341507.35</v>
      </c>
      <c r="E9" s="10" t="n">
        <f aca="false">C9-D9</f>
        <v>-104072.87</v>
      </c>
      <c r="F9" s="11" t="n">
        <f aca="false">IF(C9=0,"-",E9/C9)</f>
        <v>-0.438322479532037</v>
      </c>
    </row>
    <row r="10" customFormat="false" ht="15" hidden="false" customHeight="false" outlineLevel="0" collapsed="false">
      <c r="A10" s="8" t="s">
        <v>48</v>
      </c>
      <c r="B10" s="8" t="s">
        <v>53</v>
      </c>
      <c r="C10" s="9" t="n">
        <f aca="false">SUMIFS('90_Origen_Rentab_2025'!$F$3:$F$122,'90_Origen_Rentab_2025'!$A$3:$A$122,$A10,'90_Origen_Rentab_2025'!$C$3:$C$122,5,'90_Origen_Rentab_2025'!$E$3:$E$122,"INGRESOS OP")</f>
        <v>272631.08</v>
      </c>
      <c r="D10" s="9" t="n">
        <f aca="false">SUMIFS('90_Origen_Rentab_2025'!$F$3:$F$122,'90_Origen_Rentab_2025'!$A$3:$A$122,$A10,'90_Origen_Rentab_2025'!$C$3:$C$122,5,'90_Origen_Rentab_2025'!$E$3:$E$122,"COSTOS OP")</f>
        <v>340134.8</v>
      </c>
      <c r="E10" s="10" t="n">
        <f aca="false">C10-D10</f>
        <v>-67503.72</v>
      </c>
      <c r="F10" s="11" t="n">
        <f aca="false">IF(C10=0,"-",E10/C10)</f>
        <v>-0.247600970512973</v>
      </c>
    </row>
    <row r="11" customFormat="false" ht="15" hidden="false" customHeight="false" outlineLevel="0" collapsed="false">
      <c r="A11" s="8" t="s">
        <v>48</v>
      </c>
      <c r="B11" s="8" t="s">
        <v>54</v>
      </c>
      <c r="C11" s="9" t="n">
        <f aca="false">SUMIFS('90_Origen_Rentab_2025'!$F$3:$F$122,'90_Origen_Rentab_2025'!$A$3:$A$122,$A11,'90_Origen_Rentab_2025'!$C$3:$C$122,6,'90_Origen_Rentab_2025'!$E$3:$E$122,"INGRESOS OP")</f>
        <v>277419.07</v>
      </c>
      <c r="D11" s="9" t="n">
        <f aca="false">SUMIFS('90_Origen_Rentab_2025'!$F$3:$F$122,'90_Origen_Rentab_2025'!$A$3:$A$122,$A11,'90_Origen_Rentab_2025'!$C$3:$C$122,6,'90_Origen_Rentab_2025'!$E$3:$E$122,"COSTOS OP")</f>
        <v>380566.17</v>
      </c>
      <c r="E11" s="10" t="n">
        <f aca="false">C11-D11</f>
        <v>-103147.1</v>
      </c>
      <c r="F11" s="11" t="n">
        <f aca="false">IF(C11=0,"-",E11/C11)</f>
        <v>-0.371809695706932</v>
      </c>
    </row>
    <row r="12" customFormat="false" ht="15" hidden="false" customHeight="false" outlineLevel="0" collapsed="false">
      <c r="A12" s="8" t="s">
        <v>48</v>
      </c>
      <c r="B12" s="8" t="s">
        <v>55</v>
      </c>
      <c r="C12" s="9" t="n">
        <f aca="false">SUMIFS('90_Origen_Rentab_2025'!$F$3:$F$122,'90_Origen_Rentab_2025'!$A$3:$A$122,$A12,'90_Origen_Rentab_2025'!$C$3:$C$122,7,'90_Origen_Rentab_2025'!$E$3:$E$122,"INGRESOS OP")</f>
        <v>475570.75</v>
      </c>
      <c r="D12" s="9" t="n">
        <f aca="false">SUMIFS('90_Origen_Rentab_2025'!$F$3:$F$122,'90_Origen_Rentab_2025'!$A$3:$A$122,$A12,'90_Origen_Rentab_2025'!$C$3:$C$122,7,'90_Origen_Rentab_2025'!$E$3:$E$122,"COSTOS OP")</f>
        <v>395727.19</v>
      </c>
      <c r="E12" s="10" t="n">
        <f aca="false">C12-D12</f>
        <v>79843.56</v>
      </c>
      <c r="F12" s="11" t="n">
        <f aca="false">IF(C12=0,"-",E12/C12)</f>
        <v>0.16788997220708</v>
      </c>
    </row>
    <row r="13" customFormat="false" ht="15" hidden="false" customHeight="false" outlineLevel="0" collapsed="false">
      <c r="A13" s="8" t="s">
        <v>48</v>
      </c>
      <c r="B13" s="8" t="s">
        <v>56</v>
      </c>
      <c r="C13" s="9" t="n">
        <f aca="false">SUMIFS('90_Origen_Rentab_2025'!$F$3:$F$122,'90_Origen_Rentab_2025'!$A$3:$A$122,$A13,'90_Origen_Rentab_2025'!$C$3:$C$122,8,'90_Origen_Rentab_2025'!$E$3:$E$122,"INGRESOS OP")</f>
        <v>151482.74</v>
      </c>
      <c r="D13" s="9" t="n">
        <f aca="false">SUMIFS('90_Origen_Rentab_2025'!$F$3:$F$122,'90_Origen_Rentab_2025'!$A$3:$A$122,$A13,'90_Origen_Rentab_2025'!$C$3:$C$122,8,'90_Origen_Rentab_2025'!$E$3:$E$122,"COSTOS OP")</f>
        <v>425248.91</v>
      </c>
      <c r="E13" s="10" t="n">
        <f aca="false">C13-D13</f>
        <v>-273766.17</v>
      </c>
      <c r="F13" s="11" t="n">
        <f aca="false">IF(C13=0,"-",E13/C13)</f>
        <v>-1.8072433202621</v>
      </c>
    </row>
    <row r="14" customFormat="false" ht="15" hidden="false" customHeight="false" outlineLevel="0" collapsed="false">
      <c r="A14" s="8" t="s">
        <v>48</v>
      </c>
      <c r="B14" s="8" t="s">
        <v>57</v>
      </c>
      <c r="C14" s="9" t="n">
        <f aca="false">SUMIFS('90_Origen_Rentab_2025'!$F$3:$F$122,'90_Origen_Rentab_2025'!$A$3:$A$122,$A14,'90_Origen_Rentab_2025'!$C$3:$C$122,9,'90_Origen_Rentab_2025'!$E$3:$E$122,"INGRESOS OP")</f>
        <v>297925.05</v>
      </c>
      <c r="D14" s="9" t="n">
        <f aca="false">SUMIFS('90_Origen_Rentab_2025'!$F$3:$F$122,'90_Origen_Rentab_2025'!$A$3:$A$122,$A14,'90_Origen_Rentab_2025'!$C$3:$C$122,9,'90_Origen_Rentab_2025'!$E$3:$E$122,"COSTOS OP")</f>
        <v>455871.33</v>
      </c>
      <c r="E14" s="10" t="n">
        <f aca="false">C14-D14</f>
        <v>-157946.28</v>
      </c>
      <c r="F14" s="11" t="n">
        <f aca="false">IF(C14=0,"-",E14/C14)</f>
        <v>-0.530154412997497</v>
      </c>
    </row>
    <row r="15" customFormat="false" ht="15" hidden="false" customHeight="false" outlineLevel="0" collapsed="false">
      <c r="A15" s="8" t="s">
        <v>48</v>
      </c>
      <c r="B15" s="8" t="s">
        <v>58</v>
      </c>
      <c r="C15" s="9" t="n">
        <f aca="false">SUMIFS('90_Origen_Rentab_2025'!$F$3:$F$122,'90_Origen_Rentab_2025'!$A$3:$A$122,$A15,'90_Origen_Rentab_2025'!$C$3:$C$122,10,'90_Origen_Rentab_2025'!$E$3:$E$122,"INGRESOS OP")</f>
        <v>158266.46</v>
      </c>
      <c r="D15" s="9" t="n">
        <f aca="false">SUMIFS('90_Origen_Rentab_2025'!$F$3:$F$122,'90_Origen_Rentab_2025'!$A$3:$A$122,$A15,'90_Origen_Rentab_2025'!$C$3:$C$122,10,'90_Origen_Rentab_2025'!$E$3:$E$122,"COSTOS OP")</f>
        <v>513185.66</v>
      </c>
      <c r="E15" s="10" t="n">
        <f aca="false">C15-D15</f>
        <v>-354919.2</v>
      </c>
      <c r="F15" s="11" t="n">
        <f aca="false">IF(C15=0,"-",E15/C15)</f>
        <v>-2.24254210272979</v>
      </c>
    </row>
    <row r="16" customFormat="false" ht="15" hidden="false" customHeight="false" outlineLevel="0" collapsed="false">
      <c r="A16" s="8" t="s">
        <v>48</v>
      </c>
      <c r="B16" s="8" t="s">
        <v>59</v>
      </c>
      <c r="C16" s="9" t="n">
        <f aca="false">SUMIFS('90_Origen_Rentab_2025'!$F$3:$F$122,'90_Origen_Rentab_2025'!$A$3:$A$122,$A16,'90_Origen_Rentab_2025'!$C$3:$C$122,11,'90_Origen_Rentab_2025'!$E$3:$E$122,"INGRESOS OP")</f>
        <v>248788.93</v>
      </c>
      <c r="D16" s="9" t="n">
        <f aca="false">SUMIFS('90_Origen_Rentab_2025'!$F$3:$F$122,'90_Origen_Rentab_2025'!$A$3:$A$122,$A16,'90_Origen_Rentab_2025'!$C$3:$C$122,11,'90_Origen_Rentab_2025'!$E$3:$E$122,"COSTOS OP")</f>
        <v>392218.11</v>
      </c>
      <c r="E16" s="10" t="n">
        <f aca="false">C16-D16</f>
        <v>-143429.18</v>
      </c>
      <c r="F16" s="11" t="n">
        <f aca="false">IF(C16=0,"-",E16/C16)</f>
        <v>-0.57650949340873</v>
      </c>
    </row>
    <row r="17" customFormat="false" ht="15" hidden="false" customHeight="false" outlineLevel="0" collapsed="false">
      <c r="A17" s="8" t="s">
        <v>48</v>
      </c>
      <c r="B17" s="8" t="s">
        <v>60</v>
      </c>
      <c r="C17" s="9" t="n">
        <f aca="false">SUMIFS('90_Origen_Rentab_2025'!$F$3:$F$122,'90_Origen_Rentab_2025'!$A$3:$A$122,$A17,'90_Origen_Rentab_2025'!$C$3:$C$122,12,'90_Origen_Rentab_2025'!$E$3:$E$122,"INGRESOS OP")</f>
        <v>173207.55</v>
      </c>
      <c r="D17" s="9" t="n">
        <f aca="false">SUMIFS('90_Origen_Rentab_2025'!$F$3:$F$122,'90_Origen_Rentab_2025'!$A$3:$A$122,$A17,'90_Origen_Rentab_2025'!$C$3:$C$122,12,'90_Origen_Rentab_2025'!$E$3:$E$122,"COSTOS OP")</f>
        <v>495505.54</v>
      </c>
      <c r="E17" s="10" t="n">
        <f aca="false">C17-D17</f>
        <v>-322297.99</v>
      </c>
      <c r="F17" s="11" t="n">
        <f aca="false">IF(C17=0,"-",E17/C17)</f>
        <v>-1.86076178549954</v>
      </c>
    </row>
    <row r="18" customFormat="false" ht="15" hidden="false" customHeight="false" outlineLevel="0" collapsed="false">
      <c r="A18" s="8" t="s">
        <v>61</v>
      </c>
      <c r="B18" s="8" t="s">
        <v>49</v>
      </c>
      <c r="C18" s="9" t="n">
        <f aca="false">SUMIFS('90_Origen_Rentab_2025'!$F$3:$F$122,'90_Origen_Rentab_2025'!$A$3:$A$122,$A18,'90_Origen_Rentab_2025'!$C$3:$C$122,1,'90_Origen_Rentab_2025'!$E$3:$E$122,"INGRESOS OP")</f>
        <v>123848</v>
      </c>
      <c r="D18" s="9" t="n">
        <f aca="false">SUMIFS('90_Origen_Rentab_2025'!$F$3:$F$122,'90_Origen_Rentab_2025'!$A$3:$A$122,$A18,'90_Origen_Rentab_2025'!$C$3:$C$122,1,'90_Origen_Rentab_2025'!$E$3:$E$122,"COSTOS OP")</f>
        <v>89462.85</v>
      </c>
      <c r="E18" s="10" t="n">
        <f aca="false">C18-D18</f>
        <v>34385.15</v>
      </c>
      <c r="F18" s="11" t="n">
        <f aca="false">IF(C18=0,"-",E18/C18)</f>
        <v>0.277639929591112</v>
      </c>
    </row>
    <row r="19" customFormat="false" ht="15" hidden="false" customHeight="false" outlineLevel="0" collapsed="false">
      <c r="A19" s="8" t="s">
        <v>61</v>
      </c>
      <c r="B19" s="8" t="s">
        <v>50</v>
      </c>
      <c r="C19" s="9" t="n">
        <f aca="false">SUMIFS('90_Origen_Rentab_2025'!$F$3:$F$122,'90_Origen_Rentab_2025'!$A$3:$A$122,$A19,'90_Origen_Rentab_2025'!$C$3:$C$122,2,'90_Origen_Rentab_2025'!$E$3:$E$122,"INGRESOS OP")</f>
        <v>62454</v>
      </c>
      <c r="D19" s="9" t="n">
        <f aca="false">SUMIFS('90_Origen_Rentab_2025'!$F$3:$F$122,'90_Origen_Rentab_2025'!$A$3:$A$122,$A19,'90_Origen_Rentab_2025'!$C$3:$C$122,2,'90_Origen_Rentab_2025'!$E$3:$E$122,"COSTOS OP")</f>
        <v>81597</v>
      </c>
      <c r="E19" s="10" t="n">
        <f aca="false">C19-D19</f>
        <v>-19143</v>
      </c>
      <c r="F19" s="11" t="n">
        <f aca="false">IF(C19=0,"-",E19/C19)</f>
        <v>-0.306513594005188</v>
      </c>
    </row>
    <row r="20" customFormat="false" ht="15" hidden="false" customHeight="false" outlineLevel="0" collapsed="false">
      <c r="A20" s="8" t="s">
        <v>61</v>
      </c>
      <c r="B20" s="8" t="s">
        <v>51</v>
      </c>
      <c r="C20" s="9" t="n">
        <f aca="false">SUMIFS('90_Origen_Rentab_2025'!$F$3:$F$122,'90_Origen_Rentab_2025'!$A$3:$A$122,$A20,'90_Origen_Rentab_2025'!$C$3:$C$122,3,'90_Origen_Rentab_2025'!$E$3:$E$122,"INGRESOS OP")</f>
        <v>105377</v>
      </c>
      <c r="D20" s="9" t="n">
        <f aca="false">SUMIFS('90_Origen_Rentab_2025'!$F$3:$F$122,'90_Origen_Rentab_2025'!$A$3:$A$122,$A20,'90_Origen_Rentab_2025'!$C$3:$C$122,3,'90_Origen_Rentab_2025'!$E$3:$E$122,"COSTOS OP")</f>
        <v>92755</v>
      </c>
      <c r="E20" s="10" t="n">
        <f aca="false">C20-D20</f>
        <v>12622</v>
      </c>
      <c r="F20" s="11" t="n">
        <f aca="false">IF(C20=0,"-",E20/C20)</f>
        <v>0.119779458515615</v>
      </c>
    </row>
    <row r="21" customFormat="false" ht="15" hidden="false" customHeight="false" outlineLevel="0" collapsed="false">
      <c r="A21" s="8" t="s">
        <v>61</v>
      </c>
      <c r="B21" s="8" t="s">
        <v>52</v>
      </c>
      <c r="C21" s="9" t="n">
        <f aca="false">SUMIFS('90_Origen_Rentab_2025'!$F$3:$F$122,'90_Origen_Rentab_2025'!$A$3:$A$122,$A21,'90_Origen_Rentab_2025'!$C$3:$C$122,4,'90_Origen_Rentab_2025'!$E$3:$E$122,"INGRESOS OP")</f>
        <v>110077</v>
      </c>
      <c r="D21" s="9" t="n">
        <f aca="false">SUMIFS('90_Origen_Rentab_2025'!$F$3:$F$122,'90_Origen_Rentab_2025'!$A$3:$A$122,$A21,'90_Origen_Rentab_2025'!$C$3:$C$122,4,'90_Origen_Rentab_2025'!$E$3:$E$122,"COSTOS OP")</f>
        <v>137672.3</v>
      </c>
      <c r="E21" s="10" t="n">
        <f aca="false">C21-D21</f>
        <v>-27595.3</v>
      </c>
      <c r="F21" s="11" t="n">
        <f aca="false">IF(C21=0,"-",E21/C21)</f>
        <v>-0.250690880020349</v>
      </c>
    </row>
    <row r="22" customFormat="false" ht="15" hidden="false" customHeight="false" outlineLevel="0" collapsed="false">
      <c r="A22" s="8" t="s">
        <v>61</v>
      </c>
      <c r="B22" s="8" t="s">
        <v>53</v>
      </c>
      <c r="C22" s="9" t="n">
        <f aca="false">SUMIFS('90_Origen_Rentab_2025'!$F$3:$F$122,'90_Origen_Rentab_2025'!$A$3:$A$122,$A22,'90_Origen_Rentab_2025'!$C$3:$C$122,5,'90_Origen_Rentab_2025'!$E$3:$E$122,"INGRESOS OP")</f>
        <v>142610</v>
      </c>
      <c r="D22" s="9" t="n">
        <f aca="false">SUMIFS('90_Origen_Rentab_2025'!$F$3:$F$122,'90_Origen_Rentab_2025'!$A$3:$A$122,$A22,'90_Origen_Rentab_2025'!$C$3:$C$122,5,'90_Origen_Rentab_2025'!$E$3:$E$122,"COSTOS OP")</f>
        <v>128924</v>
      </c>
      <c r="E22" s="10" t="n">
        <f aca="false">C22-D22</f>
        <v>13686</v>
      </c>
      <c r="F22" s="11" t="n">
        <f aca="false">IF(C22=0,"-",E22/C22)</f>
        <v>0.0959680246827011</v>
      </c>
    </row>
    <row r="23" customFormat="false" ht="15" hidden="false" customHeight="false" outlineLevel="0" collapsed="false">
      <c r="A23" s="8" t="s">
        <v>61</v>
      </c>
      <c r="B23" s="8" t="s">
        <v>54</v>
      </c>
      <c r="C23" s="9" t="n">
        <f aca="false">SUMIFS('90_Origen_Rentab_2025'!$F$3:$F$122,'90_Origen_Rentab_2025'!$A$3:$A$122,$A23,'90_Origen_Rentab_2025'!$C$3:$C$122,6,'90_Origen_Rentab_2025'!$E$3:$E$122,"INGRESOS OP")</f>
        <v>229588</v>
      </c>
      <c r="D23" s="9" t="n">
        <f aca="false">SUMIFS('90_Origen_Rentab_2025'!$F$3:$F$122,'90_Origen_Rentab_2025'!$A$3:$A$122,$A23,'90_Origen_Rentab_2025'!$C$3:$C$122,6,'90_Origen_Rentab_2025'!$E$3:$E$122,"COSTOS OP")</f>
        <v>167995</v>
      </c>
      <c r="E23" s="10" t="n">
        <f aca="false">C23-D23</f>
        <v>61593</v>
      </c>
      <c r="F23" s="11" t="n">
        <f aca="false">IF(C23=0,"-",E23/C23)</f>
        <v>0.268276216526996</v>
      </c>
    </row>
    <row r="24" customFormat="false" ht="15" hidden="false" customHeight="false" outlineLevel="0" collapsed="false">
      <c r="A24" s="8" t="s">
        <v>61</v>
      </c>
      <c r="B24" s="8" t="s">
        <v>55</v>
      </c>
      <c r="C24" s="9" t="n">
        <f aca="false">SUMIFS('90_Origen_Rentab_2025'!$F$3:$F$122,'90_Origen_Rentab_2025'!$A$3:$A$122,$A24,'90_Origen_Rentab_2025'!$C$3:$C$122,7,'90_Origen_Rentab_2025'!$E$3:$E$122,"INGRESOS OP")</f>
        <v>251702</v>
      </c>
      <c r="D24" s="9" t="n">
        <f aca="false">SUMIFS('90_Origen_Rentab_2025'!$F$3:$F$122,'90_Origen_Rentab_2025'!$A$3:$A$122,$A24,'90_Origen_Rentab_2025'!$C$3:$C$122,7,'90_Origen_Rentab_2025'!$E$3:$E$122,"COSTOS OP")</f>
        <v>199355</v>
      </c>
      <c r="E24" s="10" t="n">
        <f aca="false">C24-D24</f>
        <v>52347</v>
      </c>
      <c r="F24" s="11" t="n">
        <f aca="false">IF(C24=0,"-",E24/C24)</f>
        <v>0.207972125767773</v>
      </c>
    </row>
    <row r="25" customFormat="false" ht="15" hidden="false" customHeight="false" outlineLevel="0" collapsed="false">
      <c r="A25" s="8" t="s">
        <v>61</v>
      </c>
      <c r="B25" s="8" t="s">
        <v>56</v>
      </c>
      <c r="C25" s="9" t="n">
        <f aca="false">SUMIFS('90_Origen_Rentab_2025'!$F$3:$F$122,'90_Origen_Rentab_2025'!$A$3:$A$122,$A25,'90_Origen_Rentab_2025'!$C$3:$C$122,8,'90_Origen_Rentab_2025'!$E$3:$E$122,"INGRESOS OP")</f>
        <v>641573</v>
      </c>
      <c r="D25" s="9" t="n">
        <f aca="false">SUMIFS('90_Origen_Rentab_2025'!$F$3:$F$122,'90_Origen_Rentab_2025'!$A$3:$A$122,$A25,'90_Origen_Rentab_2025'!$C$3:$C$122,8,'90_Origen_Rentab_2025'!$E$3:$E$122,"COSTOS OP")</f>
        <v>225572</v>
      </c>
      <c r="E25" s="10" t="n">
        <f aca="false">C25-D25</f>
        <v>416001</v>
      </c>
      <c r="F25" s="11" t="n">
        <f aca="false">IF(C25=0,"-",E25/C25)</f>
        <v>0.648407897464513</v>
      </c>
    </row>
    <row r="26" customFormat="false" ht="15" hidden="false" customHeight="false" outlineLevel="0" collapsed="false">
      <c r="A26" s="8" t="s">
        <v>61</v>
      </c>
      <c r="B26" s="8" t="s">
        <v>57</v>
      </c>
      <c r="C26" s="9" t="n">
        <f aca="false">SUMIFS('90_Origen_Rentab_2025'!$F$3:$F$122,'90_Origen_Rentab_2025'!$A$3:$A$122,$A26,'90_Origen_Rentab_2025'!$C$3:$C$122,9,'90_Origen_Rentab_2025'!$E$3:$E$122,"INGRESOS OP")</f>
        <v>119133</v>
      </c>
      <c r="D26" s="9" t="n">
        <f aca="false">SUMIFS('90_Origen_Rentab_2025'!$F$3:$F$122,'90_Origen_Rentab_2025'!$A$3:$A$122,$A26,'90_Origen_Rentab_2025'!$C$3:$C$122,9,'90_Origen_Rentab_2025'!$E$3:$E$122,"COSTOS OP")</f>
        <v>127097</v>
      </c>
      <c r="E26" s="10" t="n">
        <f aca="false">C26-D26</f>
        <v>-7964</v>
      </c>
      <c r="F26" s="11" t="n">
        <f aca="false">IF(C26=0,"-",E26/C26)</f>
        <v>-0.0668496554271277</v>
      </c>
    </row>
    <row r="27" customFormat="false" ht="15" hidden="false" customHeight="false" outlineLevel="0" collapsed="false">
      <c r="A27" s="8" t="s">
        <v>61</v>
      </c>
      <c r="B27" s="8" t="s">
        <v>58</v>
      </c>
      <c r="C27" s="9" t="n">
        <f aca="false">SUMIFS('90_Origen_Rentab_2025'!$F$3:$F$122,'90_Origen_Rentab_2025'!$A$3:$A$122,$A27,'90_Origen_Rentab_2025'!$C$3:$C$122,10,'90_Origen_Rentab_2025'!$E$3:$E$122,"INGRESOS OP")</f>
        <v>265449</v>
      </c>
      <c r="D27" s="9" t="n">
        <f aca="false">SUMIFS('90_Origen_Rentab_2025'!$F$3:$F$122,'90_Origen_Rentab_2025'!$A$3:$A$122,$A27,'90_Origen_Rentab_2025'!$C$3:$C$122,10,'90_Origen_Rentab_2025'!$E$3:$E$122,"COSTOS OP")</f>
        <v>108174</v>
      </c>
      <c r="E27" s="10" t="n">
        <f aca="false">C27-D27</f>
        <v>157275</v>
      </c>
      <c r="F27" s="11" t="n">
        <f aca="false">IF(C27=0,"-",E27/C27)</f>
        <v>0.592486692358984</v>
      </c>
    </row>
    <row r="28" customFormat="false" ht="15" hidden="false" customHeight="false" outlineLevel="0" collapsed="false">
      <c r="A28" s="8" t="s">
        <v>61</v>
      </c>
      <c r="B28" s="8" t="s">
        <v>59</v>
      </c>
      <c r="C28" s="9" t="n">
        <f aca="false">SUMIFS('90_Origen_Rentab_2025'!$F$3:$F$122,'90_Origen_Rentab_2025'!$A$3:$A$122,$A28,'90_Origen_Rentab_2025'!$C$3:$C$122,11,'90_Origen_Rentab_2025'!$E$3:$E$122,"INGRESOS OP")</f>
        <v>96110</v>
      </c>
      <c r="D28" s="9" t="n">
        <f aca="false">SUMIFS('90_Origen_Rentab_2025'!$F$3:$F$122,'90_Origen_Rentab_2025'!$A$3:$A$122,$A28,'90_Origen_Rentab_2025'!$C$3:$C$122,11,'90_Origen_Rentab_2025'!$E$3:$E$122,"COSTOS OP")</f>
        <v>139137.64</v>
      </c>
      <c r="E28" s="10" t="n">
        <f aca="false">C28-D28</f>
        <v>-43027.64</v>
      </c>
      <c r="F28" s="11" t="n">
        <f aca="false">IF(C28=0,"-",E28/C28)</f>
        <v>-0.447691603371137</v>
      </c>
    </row>
    <row r="29" customFormat="false" ht="15" hidden="false" customHeight="false" outlineLevel="0" collapsed="false">
      <c r="A29" s="8" t="s">
        <v>61</v>
      </c>
      <c r="B29" s="8" t="s">
        <v>60</v>
      </c>
      <c r="C29" s="9" t="n">
        <f aca="false">SUMIFS('90_Origen_Rentab_2025'!$F$3:$F$122,'90_Origen_Rentab_2025'!$A$3:$A$122,$A29,'90_Origen_Rentab_2025'!$C$3:$C$122,12,'90_Origen_Rentab_2025'!$E$3:$E$122,"INGRESOS OP")</f>
        <v>269432</v>
      </c>
      <c r="D29" s="9" t="n">
        <f aca="false">SUMIFS('90_Origen_Rentab_2025'!$F$3:$F$122,'90_Origen_Rentab_2025'!$A$3:$A$122,$A29,'90_Origen_Rentab_2025'!$C$3:$C$122,12,'90_Origen_Rentab_2025'!$E$3:$E$122,"COSTOS OP")</f>
        <v>234121</v>
      </c>
      <c r="E29" s="10" t="n">
        <f aca="false">C29-D29</f>
        <v>35311</v>
      </c>
      <c r="F29" s="11" t="n">
        <f aca="false">IF(C29=0,"-",E29/C29)</f>
        <v>0.13105718697111</v>
      </c>
    </row>
    <row r="30" customFormat="false" ht="15" hidden="false" customHeight="false" outlineLevel="0" collapsed="false">
      <c r="A30" s="8" t="s">
        <v>62</v>
      </c>
      <c r="B30" s="8" t="s">
        <v>49</v>
      </c>
      <c r="C30" s="9" t="n">
        <f aca="false">SUMIFS('90_Origen_Rentab_2025'!$F$3:$F$122,'90_Origen_Rentab_2025'!$A$3:$A$122,$A30,'90_Origen_Rentab_2025'!$C$3:$C$122,1,'90_Origen_Rentab_2025'!$E$3:$E$122,"INGRESOS OP")</f>
        <v>80502</v>
      </c>
      <c r="D30" s="9" t="n">
        <f aca="false">SUMIFS('90_Origen_Rentab_2025'!$F$3:$F$122,'90_Origen_Rentab_2025'!$A$3:$A$122,$A30,'90_Origen_Rentab_2025'!$C$3:$C$122,1,'90_Origen_Rentab_2025'!$E$3:$E$122,"COSTOS OP")</f>
        <v>21023</v>
      </c>
      <c r="E30" s="10" t="n">
        <f aca="false">C30-D30</f>
        <v>59479</v>
      </c>
      <c r="F30" s="11" t="n">
        <f aca="false">IF(C30=0,"-",E30/C30)</f>
        <v>0.738851208665623</v>
      </c>
    </row>
    <row r="31" customFormat="false" ht="15" hidden="false" customHeight="false" outlineLevel="0" collapsed="false">
      <c r="A31" s="8" t="s">
        <v>62</v>
      </c>
      <c r="B31" s="8" t="s">
        <v>50</v>
      </c>
      <c r="C31" s="9" t="n">
        <f aca="false">SUMIFS('90_Origen_Rentab_2025'!$F$3:$F$122,'90_Origen_Rentab_2025'!$A$3:$A$122,$A31,'90_Origen_Rentab_2025'!$C$3:$C$122,2,'90_Origen_Rentab_2025'!$E$3:$E$122,"INGRESOS OP")</f>
        <v>59683</v>
      </c>
      <c r="D31" s="9" t="n">
        <f aca="false">SUMIFS('90_Origen_Rentab_2025'!$F$3:$F$122,'90_Origen_Rentab_2025'!$A$3:$A$122,$A31,'90_Origen_Rentab_2025'!$C$3:$C$122,2,'90_Origen_Rentab_2025'!$E$3:$E$122,"COSTOS OP")</f>
        <v>27812</v>
      </c>
      <c r="E31" s="10" t="n">
        <f aca="false">C31-D31</f>
        <v>31871</v>
      </c>
      <c r="F31" s="11" t="n">
        <f aca="false">IF(C31=0,"-",E31/C31)</f>
        <v>0.534004657942798</v>
      </c>
    </row>
    <row r="32" customFormat="false" ht="15" hidden="false" customHeight="false" outlineLevel="0" collapsed="false">
      <c r="A32" s="8" t="s">
        <v>62</v>
      </c>
      <c r="B32" s="8" t="s">
        <v>51</v>
      </c>
      <c r="C32" s="9" t="n">
        <f aca="false">SUMIFS('90_Origen_Rentab_2025'!$F$3:$F$122,'90_Origen_Rentab_2025'!$A$3:$A$122,$A32,'90_Origen_Rentab_2025'!$C$3:$C$122,3,'90_Origen_Rentab_2025'!$E$3:$E$122,"INGRESOS OP")</f>
        <v>96322</v>
      </c>
      <c r="D32" s="9" t="n">
        <f aca="false">SUMIFS('90_Origen_Rentab_2025'!$F$3:$F$122,'90_Origen_Rentab_2025'!$A$3:$A$122,$A32,'90_Origen_Rentab_2025'!$C$3:$C$122,3,'90_Origen_Rentab_2025'!$E$3:$E$122,"COSTOS OP")</f>
        <v>26425</v>
      </c>
      <c r="E32" s="10" t="n">
        <f aca="false">C32-D32</f>
        <v>69897</v>
      </c>
      <c r="F32" s="11" t="n">
        <f aca="false">IF(C32=0,"-",E32/C32)</f>
        <v>0.725659766200868</v>
      </c>
    </row>
    <row r="33" customFormat="false" ht="15" hidden="false" customHeight="false" outlineLevel="0" collapsed="false">
      <c r="A33" s="8" t="s">
        <v>62</v>
      </c>
      <c r="B33" s="8" t="s">
        <v>52</v>
      </c>
      <c r="C33" s="9" t="n">
        <f aca="false">SUMIFS('90_Origen_Rentab_2025'!$F$3:$F$122,'90_Origen_Rentab_2025'!$A$3:$A$122,$A33,'90_Origen_Rentab_2025'!$C$3:$C$122,4,'90_Origen_Rentab_2025'!$E$3:$E$122,"INGRESOS OP")</f>
        <v>97209.7</v>
      </c>
      <c r="D33" s="9" t="n">
        <f aca="false">SUMIFS('90_Origen_Rentab_2025'!$F$3:$F$122,'90_Origen_Rentab_2025'!$A$3:$A$122,$A33,'90_Origen_Rentab_2025'!$C$3:$C$122,4,'90_Origen_Rentab_2025'!$E$3:$E$122,"COSTOS OP")</f>
        <v>52004.4</v>
      </c>
      <c r="E33" s="10" t="n">
        <f aca="false">C33-D33</f>
        <v>45205.3</v>
      </c>
      <c r="F33" s="11" t="n">
        <f aca="false">IF(C33=0,"-",E33/C33)</f>
        <v>0.465028695696006</v>
      </c>
    </row>
    <row r="34" customFormat="false" ht="15" hidden="false" customHeight="false" outlineLevel="0" collapsed="false">
      <c r="A34" s="8" t="s">
        <v>62</v>
      </c>
      <c r="B34" s="8" t="s">
        <v>53</v>
      </c>
      <c r="C34" s="9" t="n">
        <f aca="false">SUMIFS('90_Origen_Rentab_2025'!$F$3:$F$122,'90_Origen_Rentab_2025'!$A$3:$A$122,$A34,'90_Origen_Rentab_2025'!$C$3:$C$122,5,'90_Origen_Rentab_2025'!$E$3:$E$122,"INGRESOS OP")</f>
        <v>37074</v>
      </c>
      <c r="D34" s="9" t="n">
        <f aca="false">SUMIFS('90_Origen_Rentab_2025'!$F$3:$F$122,'90_Origen_Rentab_2025'!$A$3:$A$122,$A34,'90_Origen_Rentab_2025'!$C$3:$C$122,5,'90_Origen_Rentab_2025'!$E$3:$E$122,"COSTOS OP")</f>
        <v>33329</v>
      </c>
      <c r="E34" s="10" t="n">
        <f aca="false">C34-D34</f>
        <v>3745</v>
      </c>
      <c r="F34" s="11" t="n">
        <f aca="false">IF(C34=0,"-",E34/C34)</f>
        <v>0.101014187840535</v>
      </c>
    </row>
    <row r="35" customFormat="false" ht="15" hidden="false" customHeight="false" outlineLevel="0" collapsed="false">
      <c r="A35" s="8" t="s">
        <v>62</v>
      </c>
      <c r="B35" s="8" t="s">
        <v>54</v>
      </c>
      <c r="C35" s="9" t="n">
        <f aca="false">SUMIFS('90_Origen_Rentab_2025'!$F$3:$F$122,'90_Origen_Rentab_2025'!$A$3:$A$122,$A35,'90_Origen_Rentab_2025'!$C$3:$C$122,6,'90_Origen_Rentab_2025'!$E$3:$E$122,"INGRESOS OP")</f>
        <v>66563</v>
      </c>
      <c r="D35" s="9" t="n">
        <f aca="false">SUMIFS('90_Origen_Rentab_2025'!$F$3:$F$122,'90_Origen_Rentab_2025'!$A$3:$A$122,$A35,'90_Origen_Rentab_2025'!$C$3:$C$122,6,'90_Origen_Rentab_2025'!$E$3:$E$122,"COSTOS OP")</f>
        <v>76286</v>
      </c>
      <c r="E35" s="10" t="n">
        <f aca="false">C35-D35</f>
        <v>-9723</v>
      </c>
      <c r="F35" s="11" t="n">
        <f aca="false">IF(C35=0,"-",E35/C35)</f>
        <v>-0.146072142181092</v>
      </c>
    </row>
    <row r="36" customFormat="false" ht="15" hidden="false" customHeight="false" outlineLevel="0" collapsed="false">
      <c r="A36" s="8" t="s">
        <v>62</v>
      </c>
      <c r="B36" s="8" t="s">
        <v>55</v>
      </c>
      <c r="C36" s="9" t="n">
        <f aca="false">SUMIFS('90_Origen_Rentab_2025'!$F$3:$F$122,'90_Origen_Rentab_2025'!$A$3:$A$122,$A36,'90_Origen_Rentab_2025'!$C$3:$C$122,7,'90_Origen_Rentab_2025'!$E$3:$E$122,"INGRESOS OP")</f>
        <v>47717</v>
      </c>
      <c r="D36" s="9" t="n">
        <f aca="false">SUMIFS('90_Origen_Rentab_2025'!$F$3:$F$122,'90_Origen_Rentab_2025'!$A$3:$A$122,$A36,'90_Origen_Rentab_2025'!$C$3:$C$122,7,'90_Origen_Rentab_2025'!$E$3:$E$122,"COSTOS OP")</f>
        <v>31019</v>
      </c>
      <c r="E36" s="10" t="n">
        <f aca="false">C36-D36</f>
        <v>16698</v>
      </c>
      <c r="F36" s="11" t="n">
        <f aca="false">IF(C36=0,"-",E36/C36)</f>
        <v>0.349938177169562</v>
      </c>
    </row>
    <row r="37" customFormat="false" ht="15" hidden="false" customHeight="false" outlineLevel="0" collapsed="false">
      <c r="A37" s="8" t="s">
        <v>62</v>
      </c>
      <c r="B37" s="8" t="s">
        <v>56</v>
      </c>
      <c r="C37" s="9" t="n">
        <f aca="false">SUMIFS('90_Origen_Rentab_2025'!$F$3:$F$122,'90_Origen_Rentab_2025'!$A$3:$A$122,$A37,'90_Origen_Rentab_2025'!$C$3:$C$122,8,'90_Origen_Rentab_2025'!$E$3:$E$122,"INGRESOS OP")</f>
        <v>119652</v>
      </c>
      <c r="D37" s="9" t="n">
        <f aca="false">SUMIFS('90_Origen_Rentab_2025'!$F$3:$F$122,'90_Origen_Rentab_2025'!$A$3:$A$122,$A37,'90_Origen_Rentab_2025'!$C$3:$C$122,8,'90_Origen_Rentab_2025'!$E$3:$E$122,"COSTOS OP")</f>
        <v>21475</v>
      </c>
      <c r="E37" s="10" t="n">
        <f aca="false">C37-D37</f>
        <v>98177</v>
      </c>
      <c r="F37" s="11" t="n">
        <f aca="false">IF(C37=0,"-",E37/C37)</f>
        <v>0.820521178083108</v>
      </c>
    </row>
    <row r="38" customFormat="false" ht="15" hidden="false" customHeight="false" outlineLevel="0" collapsed="false">
      <c r="A38" s="8" t="s">
        <v>62</v>
      </c>
      <c r="B38" s="8" t="s">
        <v>57</v>
      </c>
      <c r="C38" s="9" t="n">
        <f aca="false">SUMIFS('90_Origen_Rentab_2025'!$F$3:$F$122,'90_Origen_Rentab_2025'!$A$3:$A$122,$A38,'90_Origen_Rentab_2025'!$C$3:$C$122,9,'90_Origen_Rentab_2025'!$E$3:$E$122,"INGRESOS OP")</f>
        <v>203588</v>
      </c>
      <c r="D38" s="9" t="n">
        <f aca="false">SUMIFS('90_Origen_Rentab_2025'!$F$3:$F$122,'90_Origen_Rentab_2025'!$A$3:$A$122,$A38,'90_Origen_Rentab_2025'!$C$3:$C$122,9,'90_Origen_Rentab_2025'!$E$3:$E$122,"COSTOS OP")</f>
        <v>77323</v>
      </c>
      <c r="E38" s="10" t="n">
        <f aca="false">C38-D38</f>
        <v>126265</v>
      </c>
      <c r="F38" s="11" t="n">
        <f aca="false">IF(C38=0,"-",E38/C38)</f>
        <v>0.620198636461874</v>
      </c>
    </row>
    <row r="39" customFormat="false" ht="15" hidden="false" customHeight="false" outlineLevel="0" collapsed="false">
      <c r="A39" s="8" t="s">
        <v>62</v>
      </c>
      <c r="B39" s="8" t="s">
        <v>58</v>
      </c>
      <c r="C39" s="9" t="n">
        <f aca="false">SUMIFS('90_Origen_Rentab_2025'!$F$3:$F$122,'90_Origen_Rentab_2025'!$A$3:$A$122,$A39,'90_Origen_Rentab_2025'!$C$3:$C$122,10,'90_Origen_Rentab_2025'!$E$3:$E$122,"INGRESOS OP")</f>
        <v>325062</v>
      </c>
      <c r="D39" s="9" t="n">
        <f aca="false">SUMIFS('90_Origen_Rentab_2025'!$F$3:$F$122,'90_Origen_Rentab_2025'!$A$3:$A$122,$A39,'90_Origen_Rentab_2025'!$C$3:$C$122,10,'90_Origen_Rentab_2025'!$E$3:$E$122,"COSTOS OP")</f>
        <v>14049</v>
      </c>
      <c r="E39" s="10" t="n">
        <f aca="false">C39-D39</f>
        <v>311013</v>
      </c>
      <c r="F39" s="11" t="n">
        <f aca="false">IF(C39=0,"-",E39/C39)</f>
        <v>0.956780552633036</v>
      </c>
    </row>
    <row r="40" customFormat="false" ht="15" hidden="false" customHeight="false" outlineLevel="0" collapsed="false">
      <c r="A40" s="8" t="s">
        <v>62</v>
      </c>
      <c r="B40" s="8" t="s">
        <v>59</v>
      </c>
      <c r="C40" s="9" t="n">
        <f aca="false">SUMIFS('90_Origen_Rentab_2025'!$F$3:$F$122,'90_Origen_Rentab_2025'!$A$3:$A$122,$A40,'90_Origen_Rentab_2025'!$C$3:$C$122,11,'90_Origen_Rentab_2025'!$E$3:$E$122,"INGRESOS OP")</f>
        <v>239603</v>
      </c>
      <c r="D40" s="9" t="n">
        <f aca="false">SUMIFS('90_Origen_Rentab_2025'!$F$3:$F$122,'90_Origen_Rentab_2025'!$A$3:$A$122,$A40,'90_Origen_Rentab_2025'!$C$3:$C$122,11,'90_Origen_Rentab_2025'!$E$3:$E$122,"COSTOS OP")</f>
        <v>47971</v>
      </c>
      <c r="E40" s="10" t="n">
        <f aca="false">C40-D40</f>
        <v>191632</v>
      </c>
      <c r="F40" s="11" t="n">
        <f aca="false">IF(C40=0,"-",E40/C40)</f>
        <v>0.799789652049432</v>
      </c>
    </row>
    <row r="41" customFormat="false" ht="15" hidden="false" customHeight="false" outlineLevel="0" collapsed="false">
      <c r="A41" s="8" t="s">
        <v>62</v>
      </c>
      <c r="B41" s="8" t="s">
        <v>60</v>
      </c>
      <c r="C41" s="9" t="n">
        <f aca="false">SUMIFS('90_Origen_Rentab_2025'!$F$3:$F$122,'90_Origen_Rentab_2025'!$A$3:$A$122,$A41,'90_Origen_Rentab_2025'!$C$3:$C$122,12,'90_Origen_Rentab_2025'!$E$3:$E$122,"INGRESOS OP")</f>
        <v>224116.51</v>
      </c>
      <c r="D41" s="9" t="n">
        <f aca="false">SUMIFS('90_Origen_Rentab_2025'!$F$3:$F$122,'90_Origen_Rentab_2025'!$A$3:$A$122,$A41,'90_Origen_Rentab_2025'!$C$3:$C$122,12,'90_Origen_Rentab_2025'!$E$3:$E$122,"COSTOS OP")</f>
        <v>23001</v>
      </c>
      <c r="E41" s="10" t="n">
        <f aca="false">C41-D41</f>
        <v>201115.51</v>
      </c>
      <c r="F41" s="11" t="n">
        <f aca="false">IF(C41=0,"-",E41/C41)</f>
        <v>0.897370345451123</v>
      </c>
    </row>
    <row r="42" customFormat="false" ht="15" hidden="false" customHeight="false" outlineLevel="0" collapsed="false">
      <c r="A42" s="8" t="s">
        <v>63</v>
      </c>
      <c r="B42" s="8" t="s">
        <v>49</v>
      </c>
      <c r="C42" s="9" t="n">
        <f aca="false">SUMIFS('90_Origen_Rentab_2025'!$F$3:$F$122,'90_Origen_Rentab_2025'!$A$3:$A$122,$A42,'90_Origen_Rentab_2025'!$C$3:$C$122,1,'90_Origen_Rentab_2025'!$E$3:$E$122,"INGRESOS OP")</f>
        <v>150453</v>
      </c>
      <c r="D42" s="9" t="n">
        <f aca="false">SUMIFS('90_Origen_Rentab_2025'!$F$3:$F$122,'90_Origen_Rentab_2025'!$A$3:$A$122,$A42,'90_Origen_Rentab_2025'!$C$3:$C$122,1,'90_Origen_Rentab_2025'!$E$3:$E$122,"COSTOS OP")</f>
        <v>15</v>
      </c>
      <c r="E42" s="10" t="n">
        <f aca="false">C42-D42</f>
        <v>150438</v>
      </c>
      <c r="F42" s="11" t="n">
        <f aca="false">IF(C42=0,"-",E42/C42)</f>
        <v>0.999900301090706</v>
      </c>
    </row>
    <row r="43" customFormat="false" ht="15" hidden="false" customHeight="false" outlineLevel="0" collapsed="false">
      <c r="A43" s="8" t="s">
        <v>63</v>
      </c>
      <c r="B43" s="8" t="s">
        <v>50</v>
      </c>
      <c r="C43" s="9" t="n">
        <f aca="false">SUMIFS('90_Origen_Rentab_2025'!$F$3:$F$122,'90_Origen_Rentab_2025'!$A$3:$A$122,$A43,'90_Origen_Rentab_2025'!$C$3:$C$122,2,'90_Origen_Rentab_2025'!$E$3:$E$122,"INGRESOS OP")</f>
        <v>243465.21</v>
      </c>
      <c r="D43" s="9" t="n">
        <f aca="false">SUMIFS('90_Origen_Rentab_2025'!$F$3:$F$122,'90_Origen_Rentab_2025'!$A$3:$A$122,$A43,'90_Origen_Rentab_2025'!$C$3:$C$122,2,'90_Origen_Rentab_2025'!$E$3:$E$122,"COSTOS OP")</f>
        <v>2025</v>
      </c>
      <c r="E43" s="10" t="n">
        <f aca="false">C43-D43</f>
        <v>241440.21</v>
      </c>
      <c r="F43" s="11" t="n">
        <f aca="false">IF(C43=0,"-",E43/C43)</f>
        <v>0.991682589886251</v>
      </c>
    </row>
    <row r="44" customFormat="false" ht="15" hidden="false" customHeight="false" outlineLevel="0" collapsed="false">
      <c r="A44" s="8" t="s">
        <v>63</v>
      </c>
      <c r="B44" s="8" t="s">
        <v>51</v>
      </c>
      <c r="C44" s="9" t="n">
        <f aca="false">SUMIFS('90_Origen_Rentab_2025'!$F$3:$F$122,'90_Origen_Rentab_2025'!$A$3:$A$122,$A44,'90_Origen_Rentab_2025'!$C$3:$C$122,3,'90_Origen_Rentab_2025'!$E$3:$E$122,"INGRESOS OP")</f>
        <v>141526</v>
      </c>
      <c r="D44" s="9" t="n">
        <f aca="false">SUMIFS('90_Origen_Rentab_2025'!$F$3:$F$122,'90_Origen_Rentab_2025'!$A$3:$A$122,$A44,'90_Origen_Rentab_2025'!$C$3:$C$122,3,'90_Origen_Rentab_2025'!$E$3:$E$122,"COSTOS OP")</f>
        <v>58728</v>
      </c>
      <c r="E44" s="10" t="n">
        <f aca="false">C44-D44</f>
        <v>82798</v>
      </c>
      <c r="F44" s="11" t="n">
        <f aca="false">IF(C44=0,"-",E44/C44)</f>
        <v>0.585037378290915</v>
      </c>
    </row>
    <row r="45" customFormat="false" ht="15" hidden="false" customHeight="false" outlineLevel="0" collapsed="false">
      <c r="A45" s="8" t="s">
        <v>63</v>
      </c>
      <c r="B45" s="8" t="s">
        <v>52</v>
      </c>
      <c r="C45" s="9" t="n">
        <f aca="false">SUMIFS('90_Origen_Rentab_2025'!$F$3:$F$122,'90_Origen_Rentab_2025'!$A$3:$A$122,$A45,'90_Origen_Rentab_2025'!$C$3:$C$122,4,'90_Origen_Rentab_2025'!$E$3:$E$122,"INGRESOS OP")</f>
        <v>169200</v>
      </c>
      <c r="D45" s="9" t="n">
        <f aca="false">SUMIFS('90_Origen_Rentab_2025'!$F$3:$F$122,'90_Origen_Rentab_2025'!$A$3:$A$122,$A45,'90_Origen_Rentab_2025'!$C$3:$C$122,4,'90_Origen_Rentab_2025'!$E$3:$E$122,"COSTOS OP")</f>
        <v>9898</v>
      </c>
      <c r="E45" s="10" t="n">
        <f aca="false">C45-D45</f>
        <v>159302</v>
      </c>
      <c r="F45" s="11" t="n">
        <f aca="false">IF(C45=0,"-",E45/C45)</f>
        <v>0.941501182033097</v>
      </c>
    </row>
    <row r="46" customFormat="false" ht="15" hidden="false" customHeight="false" outlineLevel="0" collapsed="false">
      <c r="A46" s="8" t="s">
        <v>63</v>
      </c>
      <c r="B46" s="8" t="s">
        <v>53</v>
      </c>
      <c r="C46" s="9" t="n">
        <f aca="false">SUMIFS('90_Origen_Rentab_2025'!$F$3:$F$122,'90_Origen_Rentab_2025'!$A$3:$A$122,$A46,'90_Origen_Rentab_2025'!$C$3:$C$122,5,'90_Origen_Rentab_2025'!$E$3:$E$122,"INGRESOS OP")</f>
        <v>195090</v>
      </c>
      <c r="D46" s="9" t="n">
        <f aca="false">SUMIFS('90_Origen_Rentab_2025'!$F$3:$F$122,'90_Origen_Rentab_2025'!$A$3:$A$122,$A46,'90_Origen_Rentab_2025'!$C$3:$C$122,5,'90_Origen_Rentab_2025'!$E$3:$E$122,"COSTOS OP")</f>
        <v>47666</v>
      </c>
      <c r="E46" s="10" t="n">
        <f aca="false">C46-D46</f>
        <v>147424</v>
      </c>
      <c r="F46" s="11" t="n">
        <f aca="false">IF(C46=0,"-",E46/C46)</f>
        <v>0.755671741247629</v>
      </c>
    </row>
    <row r="47" customFormat="false" ht="15" hidden="false" customHeight="false" outlineLevel="0" collapsed="false">
      <c r="A47" s="8" t="s">
        <v>63</v>
      </c>
      <c r="B47" s="8" t="s">
        <v>54</v>
      </c>
      <c r="C47" s="9" t="n">
        <f aca="false">SUMIFS('90_Origen_Rentab_2025'!$F$3:$F$122,'90_Origen_Rentab_2025'!$A$3:$A$122,$A47,'90_Origen_Rentab_2025'!$C$3:$C$122,6,'90_Origen_Rentab_2025'!$E$3:$E$122,"INGRESOS OP")</f>
        <v>61796</v>
      </c>
      <c r="D47" s="9" t="n">
        <f aca="false">SUMIFS('90_Origen_Rentab_2025'!$F$3:$F$122,'90_Origen_Rentab_2025'!$A$3:$A$122,$A47,'90_Origen_Rentab_2025'!$C$3:$C$122,6,'90_Origen_Rentab_2025'!$E$3:$E$122,"COSTOS OP")</f>
        <v>4178</v>
      </c>
      <c r="E47" s="10" t="n">
        <f aca="false">C47-D47</f>
        <v>57618</v>
      </c>
      <c r="F47" s="11" t="n">
        <f aca="false">IF(C47=0,"-",E47/C47)</f>
        <v>0.932390445983559</v>
      </c>
    </row>
    <row r="48" customFormat="false" ht="15" hidden="false" customHeight="false" outlineLevel="0" collapsed="false">
      <c r="A48" s="8" t="s">
        <v>63</v>
      </c>
      <c r="B48" s="8" t="s">
        <v>55</v>
      </c>
      <c r="C48" s="9" t="n">
        <f aca="false">SUMIFS('90_Origen_Rentab_2025'!$F$3:$F$122,'90_Origen_Rentab_2025'!$A$3:$A$122,$A48,'90_Origen_Rentab_2025'!$C$3:$C$122,7,'90_Origen_Rentab_2025'!$E$3:$E$122,"INGRESOS OP")</f>
        <v>0</v>
      </c>
      <c r="D48" s="9" t="n">
        <f aca="false">SUMIFS('90_Origen_Rentab_2025'!$F$3:$F$122,'90_Origen_Rentab_2025'!$A$3:$A$122,$A48,'90_Origen_Rentab_2025'!$C$3:$C$122,7,'90_Origen_Rentab_2025'!$E$3:$E$122,"COSTOS OP")</f>
        <v>10017</v>
      </c>
      <c r="E48" s="10" t="n">
        <f aca="false">C48-D48</f>
        <v>-10017</v>
      </c>
      <c r="F48" s="11" t="str">
        <f aca="false">IF(C48=0,"-",E48/C48)</f>
        <v>-</v>
      </c>
    </row>
    <row r="49" customFormat="false" ht="15" hidden="false" customHeight="false" outlineLevel="0" collapsed="false">
      <c r="A49" s="8" t="s">
        <v>63</v>
      </c>
      <c r="B49" s="8" t="s">
        <v>56</v>
      </c>
      <c r="C49" s="9" t="n">
        <f aca="false">SUMIFS('90_Origen_Rentab_2025'!$F$3:$F$122,'90_Origen_Rentab_2025'!$A$3:$A$122,$A49,'90_Origen_Rentab_2025'!$C$3:$C$122,8,'90_Origen_Rentab_2025'!$E$3:$E$122,"INGRESOS OP")</f>
        <v>20000</v>
      </c>
      <c r="D49" s="9" t="n">
        <f aca="false">SUMIFS('90_Origen_Rentab_2025'!$F$3:$F$122,'90_Origen_Rentab_2025'!$A$3:$A$122,$A49,'90_Origen_Rentab_2025'!$C$3:$C$122,8,'90_Origen_Rentab_2025'!$E$3:$E$122,"COSTOS OP")</f>
        <v>1015</v>
      </c>
      <c r="E49" s="10" t="n">
        <f aca="false">C49-D49</f>
        <v>18985</v>
      </c>
      <c r="F49" s="11" t="n">
        <f aca="false">IF(C49=0,"-",E49/C49)</f>
        <v>0.94925</v>
      </c>
    </row>
    <row r="50" customFormat="false" ht="15" hidden="false" customHeight="false" outlineLevel="0" collapsed="false">
      <c r="A50" s="8" t="s">
        <v>63</v>
      </c>
      <c r="B50" s="8" t="s">
        <v>57</v>
      </c>
      <c r="C50" s="9" t="n">
        <f aca="false">SUMIFS('90_Origen_Rentab_2025'!$F$3:$F$122,'90_Origen_Rentab_2025'!$A$3:$A$122,$A50,'90_Origen_Rentab_2025'!$C$3:$C$122,9,'90_Origen_Rentab_2025'!$E$3:$E$122,"INGRESOS OP")</f>
        <v>0</v>
      </c>
      <c r="D50" s="9" t="n">
        <f aca="false">SUMIFS('90_Origen_Rentab_2025'!$F$3:$F$122,'90_Origen_Rentab_2025'!$A$3:$A$122,$A50,'90_Origen_Rentab_2025'!$C$3:$C$122,9,'90_Origen_Rentab_2025'!$E$3:$E$122,"COSTOS OP")</f>
        <v>1000</v>
      </c>
      <c r="E50" s="10" t="n">
        <f aca="false">C50-D50</f>
        <v>-1000</v>
      </c>
      <c r="F50" s="11" t="str">
        <f aca="false">IF(C50=0,"-",E50/C50)</f>
        <v>-</v>
      </c>
    </row>
    <row r="51" customFormat="false" ht="15" hidden="false" customHeight="false" outlineLevel="0" collapsed="false">
      <c r="A51" s="8" t="s">
        <v>63</v>
      </c>
      <c r="B51" s="8" t="s">
        <v>58</v>
      </c>
      <c r="C51" s="9" t="n">
        <f aca="false">SUMIFS('90_Origen_Rentab_2025'!$F$3:$F$122,'90_Origen_Rentab_2025'!$A$3:$A$122,$A51,'90_Origen_Rentab_2025'!$C$3:$C$122,10,'90_Origen_Rentab_2025'!$E$3:$E$122,"INGRESOS OP")</f>
        <v>45000</v>
      </c>
      <c r="D51" s="9" t="n">
        <f aca="false">SUMIFS('90_Origen_Rentab_2025'!$F$3:$F$122,'90_Origen_Rentab_2025'!$A$3:$A$122,$A51,'90_Origen_Rentab_2025'!$C$3:$C$122,10,'90_Origen_Rentab_2025'!$E$3:$E$122,"COSTOS OP")</f>
        <v>88411</v>
      </c>
      <c r="E51" s="10" t="n">
        <f aca="false">C51-D51</f>
        <v>-43411</v>
      </c>
      <c r="F51" s="11" t="n">
        <f aca="false">IF(C51=0,"-",E51/C51)</f>
        <v>-0.964688888888889</v>
      </c>
    </row>
    <row r="52" customFormat="false" ht="15" hidden="false" customHeight="false" outlineLevel="0" collapsed="false">
      <c r="A52" s="8" t="s">
        <v>63</v>
      </c>
      <c r="B52" s="8" t="s">
        <v>59</v>
      </c>
      <c r="C52" s="9" t="n">
        <f aca="false">SUMIFS('90_Origen_Rentab_2025'!$F$3:$F$122,'90_Origen_Rentab_2025'!$A$3:$A$122,$A52,'90_Origen_Rentab_2025'!$C$3:$C$122,11,'90_Origen_Rentab_2025'!$E$3:$E$122,"INGRESOS OP")</f>
        <v>0</v>
      </c>
      <c r="D52" s="9" t="n">
        <f aca="false">SUMIFS('90_Origen_Rentab_2025'!$F$3:$F$122,'90_Origen_Rentab_2025'!$A$3:$A$122,$A52,'90_Origen_Rentab_2025'!$C$3:$C$122,11,'90_Origen_Rentab_2025'!$E$3:$E$122,"COSTOS OP")</f>
        <v>1000</v>
      </c>
      <c r="E52" s="10" t="n">
        <f aca="false">C52-D52</f>
        <v>-1000</v>
      </c>
      <c r="F52" s="11" t="str">
        <f aca="false">IF(C52=0,"-",E52/C52)</f>
        <v>-</v>
      </c>
    </row>
    <row r="53" customFormat="false" ht="15" hidden="false" customHeight="false" outlineLevel="0" collapsed="false">
      <c r="A53" s="8" t="s">
        <v>63</v>
      </c>
      <c r="B53" s="8" t="s">
        <v>60</v>
      </c>
      <c r="C53" s="9" t="n">
        <f aca="false">SUMIFS('90_Origen_Rentab_2025'!$F$3:$F$122,'90_Origen_Rentab_2025'!$A$3:$A$122,$A53,'90_Origen_Rentab_2025'!$C$3:$C$122,12,'90_Origen_Rentab_2025'!$E$3:$E$122,"INGRESOS OP")</f>
        <v>178785</v>
      </c>
      <c r="D53" s="9" t="n">
        <f aca="false">SUMIFS('90_Origen_Rentab_2025'!$F$3:$F$122,'90_Origen_Rentab_2025'!$A$3:$A$122,$A53,'90_Origen_Rentab_2025'!$C$3:$C$122,12,'90_Origen_Rentab_2025'!$E$3:$E$122,"COSTOS OP")</f>
        <v>218410</v>
      </c>
      <c r="E53" s="10" t="n">
        <f aca="false">C53-D53</f>
        <v>-39625</v>
      </c>
      <c r="F53" s="11" t="n">
        <f aca="false">IF(C53=0,"-",E53/C53)</f>
        <v>-0.221634924630142</v>
      </c>
    </row>
    <row r="54" customFormat="false" ht="15" hidden="false" customHeight="false" outlineLevel="0" collapsed="false">
      <c r="A54" s="8" t="s">
        <v>64</v>
      </c>
      <c r="B54" s="8" t="s">
        <v>49</v>
      </c>
      <c r="C54" s="9" t="n">
        <f aca="false">SUMIFS('90_Origen_Rentab_2025'!$F$3:$F$122,'90_Origen_Rentab_2025'!$A$3:$A$122,$A54,'90_Origen_Rentab_2025'!$C$3:$C$122,1,'90_Origen_Rentab_2025'!$E$3:$E$122,"INGRESOS OP")</f>
        <v>0</v>
      </c>
      <c r="D54" s="9" t="n">
        <f aca="false">SUMIFS('90_Origen_Rentab_2025'!$F$3:$F$122,'90_Origen_Rentab_2025'!$A$3:$A$122,$A54,'90_Origen_Rentab_2025'!$C$3:$C$122,1,'90_Origen_Rentab_2025'!$E$3:$E$122,"COSTOS OP")</f>
        <v>14044</v>
      </c>
      <c r="E54" s="10" t="n">
        <f aca="false">C54-D54</f>
        <v>-14044</v>
      </c>
      <c r="F54" s="11" t="str">
        <f aca="false">IF(C54=0,"-",E54/C54)</f>
        <v>-</v>
      </c>
    </row>
    <row r="55" customFormat="false" ht="15" hidden="false" customHeight="false" outlineLevel="0" collapsed="false">
      <c r="A55" s="8" t="s">
        <v>64</v>
      </c>
      <c r="B55" s="8" t="s">
        <v>50</v>
      </c>
      <c r="C55" s="9" t="n">
        <f aca="false">SUMIFS('90_Origen_Rentab_2025'!$F$3:$F$122,'90_Origen_Rentab_2025'!$A$3:$A$122,$A55,'90_Origen_Rentab_2025'!$C$3:$C$122,2,'90_Origen_Rentab_2025'!$E$3:$E$122,"INGRESOS OP")</f>
        <v>21682</v>
      </c>
      <c r="D55" s="9" t="n">
        <f aca="false">SUMIFS('90_Origen_Rentab_2025'!$F$3:$F$122,'90_Origen_Rentab_2025'!$A$3:$A$122,$A55,'90_Origen_Rentab_2025'!$C$3:$C$122,2,'90_Origen_Rentab_2025'!$E$3:$E$122,"COSTOS OP")</f>
        <v>0</v>
      </c>
      <c r="E55" s="10" t="n">
        <f aca="false">C55-D55</f>
        <v>21682</v>
      </c>
      <c r="F55" s="11" t="n">
        <f aca="false">IF(C55=0,"-",E55/C55)</f>
        <v>1</v>
      </c>
    </row>
    <row r="56" customFormat="false" ht="15" hidden="false" customHeight="false" outlineLevel="0" collapsed="false">
      <c r="A56" s="8" t="s">
        <v>64</v>
      </c>
      <c r="B56" s="8" t="s">
        <v>51</v>
      </c>
      <c r="C56" s="9" t="n">
        <f aca="false">SUMIFS('90_Origen_Rentab_2025'!$F$3:$F$122,'90_Origen_Rentab_2025'!$A$3:$A$122,$A56,'90_Origen_Rentab_2025'!$C$3:$C$122,3,'90_Origen_Rentab_2025'!$E$3:$E$122,"INGRESOS OP")</f>
        <v>45478</v>
      </c>
      <c r="D56" s="9" t="n">
        <f aca="false">SUMIFS('90_Origen_Rentab_2025'!$F$3:$F$122,'90_Origen_Rentab_2025'!$A$3:$A$122,$A56,'90_Origen_Rentab_2025'!$C$3:$C$122,3,'90_Origen_Rentab_2025'!$E$3:$E$122,"COSTOS OP")</f>
        <v>0</v>
      </c>
      <c r="E56" s="10" t="n">
        <f aca="false">C56-D56</f>
        <v>45478</v>
      </c>
      <c r="F56" s="11" t="n">
        <f aca="false">IF(C56=0,"-",E56/C56)</f>
        <v>1</v>
      </c>
    </row>
    <row r="57" customFormat="false" ht="15" hidden="false" customHeight="false" outlineLevel="0" collapsed="false">
      <c r="A57" s="8" t="s">
        <v>64</v>
      </c>
      <c r="B57" s="8" t="s">
        <v>52</v>
      </c>
      <c r="C57" s="9" t="n">
        <f aca="false">SUMIFS('90_Origen_Rentab_2025'!$F$3:$F$122,'90_Origen_Rentab_2025'!$A$3:$A$122,$A57,'90_Origen_Rentab_2025'!$C$3:$C$122,4,'90_Origen_Rentab_2025'!$E$3:$E$122,"INGRESOS OP")</f>
        <v>0</v>
      </c>
      <c r="D57" s="9" t="n">
        <f aca="false">SUMIFS('90_Origen_Rentab_2025'!$F$3:$F$122,'90_Origen_Rentab_2025'!$A$3:$A$122,$A57,'90_Origen_Rentab_2025'!$C$3:$C$122,4,'90_Origen_Rentab_2025'!$E$3:$E$122,"COSTOS OP")</f>
        <v>14380</v>
      </c>
      <c r="E57" s="10" t="n">
        <f aca="false">C57-D57</f>
        <v>-14380</v>
      </c>
      <c r="F57" s="11" t="str">
        <f aca="false">IF(C57=0,"-",E57/C57)</f>
        <v>-</v>
      </c>
    </row>
    <row r="58" customFormat="false" ht="15" hidden="false" customHeight="false" outlineLevel="0" collapsed="false">
      <c r="A58" s="8" t="s">
        <v>64</v>
      </c>
      <c r="B58" s="8" t="s">
        <v>53</v>
      </c>
      <c r="C58" s="9" t="n">
        <f aca="false">SUMIFS('90_Origen_Rentab_2025'!$F$3:$F$122,'90_Origen_Rentab_2025'!$A$3:$A$122,$A58,'90_Origen_Rentab_2025'!$C$3:$C$122,5,'90_Origen_Rentab_2025'!$E$3:$E$122,"INGRESOS OP")</f>
        <v>0</v>
      </c>
      <c r="D58" s="9" t="n">
        <f aca="false">SUMIFS('90_Origen_Rentab_2025'!$F$3:$F$122,'90_Origen_Rentab_2025'!$A$3:$A$122,$A58,'90_Origen_Rentab_2025'!$C$3:$C$122,5,'90_Origen_Rentab_2025'!$E$3:$E$122,"COSTOS OP")</f>
        <v>16000</v>
      </c>
      <c r="E58" s="10" t="n">
        <f aca="false">C58-D58</f>
        <v>-16000</v>
      </c>
      <c r="F58" s="11" t="str">
        <f aca="false">IF(C58=0,"-",E58/C58)</f>
        <v>-</v>
      </c>
    </row>
    <row r="59" customFormat="false" ht="15" hidden="false" customHeight="false" outlineLevel="0" collapsed="false">
      <c r="A59" s="8" t="s">
        <v>64</v>
      </c>
      <c r="B59" s="8" t="s">
        <v>54</v>
      </c>
      <c r="C59" s="9" t="n">
        <f aca="false">SUMIFS('90_Origen_Rentab_2025'!$F$3:$F$122,'90_Origen_Rentab_2025'!$A$3:$A$122,$A59,'90_Origen_Rentab_2025'!$C$3:$C$122,6,'90_Origen_Rentab_2025'!$E$3:$E$122,"INGRESOS OP")</f>
        <v>172045</v>
      </c>
      <c r="D59" s="9" t="n">
        <f aca="false">SUMIFS('90_Origen_Rentab_2025'!$F$3:$F$122,'90_Origen_Rentab_2025'!$A$3:$A$122,$A59,'90_Origen_Rentab_2025'!$C$3:$C$122,6,'90_Origen_Rentab_2025'!$E$3:$E$122,"COSTOS OP")</f>
        <v>15094</v>
      </c>
      <c r="E59" s="10" t="n">
        <f aca="false">C59-D59</f>
        <v>156951</v>
      </c>
      <c r="F59" s="11" t="n">
        <f aca="false">IF(C59=0,"-",E59/C59)</f>
        <v>0.912267139411201</v>
      </c>
    </row>
    <row r="60" customFormat="false" ht="15" hidden="false" customHeight="false" outlineLevel="0" collapsed="false">
      <c r="A60" s="8" t="s">
        <v>64</v>
      </c>
      <c r="B60" s="8" t="s">
        <v>55</v>
      </c>
      <c r="C60" s="9" t="n">
        <f aca="false">SUMIFS('90_Origen_Rentab_2025'!$F$3:$F$122,'90_Origen_Rentab_2025'!$A$3:$A$122,$A60,'90_Origen_Rentab_2025'!$C$3:$C$122,7,'90_Origen_Rentab_2025'!$E$3:$E$122,"INGRESOS OP")</f>
        <v>0</v>
      </c>
      <c r="D60" s="9" t="n">
        <f aca="false">SUMIFS('90_Origen_Rentab_2025'!$F$3:$F$122,'90_Origen_Rentab_2025'!$A$3:$A$122,$A60,'90_Origen_Rentab_2025'!$C$3:$C$122,7,'90_Origen_Rentab_2025'!$E$3:$E$122,"COSTOS OP")</f>
        <v>5684.8</v>
      </c>
      <c r="E60" s="10" t="n">
        <f aca="false">C60-D60</f>
        <v>-5684.8</v>
      </c>
      <c r="F60" s="11" t="str">
        <f aca="false">IF(C60=0,"-",E60/C60)</f>
        <v>-</v>
      </c>
    </row>
    <row r="61" customFormat="false" ht="15" hidden="false" customHeight="false" outlineLevel="0" collapsed="false">
      <c r="A61" s="8" t="s">
        <v>64</v>
      </c>
      <c r="B61" s="8" t="s">
        <v>56</v>
      </c>
      <c r="C61" s="9" t="n">
        <f aca="false">SUMIFS('90_Origen_Rentab_2025'!$F$3:$F$122,'90_Origen_Rentab_2025'!$A$3:$A$122,$A61,'90_Origen_Rentab_2025'!$C$3:$C$122,8,'90_Origen_Rentab_2025'!$E$3:$E$122,"INGRESOS OP")</f>
        <v>99524</v>
      </c>
      <c r="D61" s="9" t="n">
        <f aca="false">SUMIFS('90_Origen_Rentab_2025'!$F$3:$F$122,'90_Origen_Rentab_2025'!$A$3:$A$122,$A61,'90_Origen_Rentab_2025'!$C$3:$C$122,8,'90_Origen_Rentab_2025'!$E$3:$E$122,"COSTOS OP")</f>
        <v>5684.8</v>
      </c>
      <c r="E61" s="10" t="n">
        <f aca="false">C61-D61</f>
        <v>93839.2</v>
      </c>
      <c r="F61" s="11" t="n">
        <f aca="false">IF(C61=0,"-",E61/C61)</f>
        <v>0.942880109320365</v>
      </c>
    </row>
    <row r="62" customFormat="false" ht="15" hidden="false" customHeight="false" outlineLevel="0" collapsed="false">
      <c r="A62" s="8" t="s">
        <v>64</v>
      </c>
      <c r="B62" s="8" t="s">
        <v>57</v>
      </c>
      <c r="C62" s="9" t="n">
        <f aca="false">SUMIFS('90_Origen_Rentab_2025'!$F$3:$F$122,'90_Origen_Rentab_2025'!$A$3:$A$122,$A62,'90_Origen_Rentab_2025'!$C$3:$C$122,9,'90_Origen_Rentab_2025'!$E$3:$E$122,"INGRESOS OP")</f>
        <v>0</v>
      </c>
      <c r="D62" s="9" t="n">
        <f aca="false">SUMIFS('90_Origen_Rentab_2025'!$F$3:$F$122,'90_Origen_Rentab_2025'!$A$3:$A$122,$A62,'90_Origen_Rentab_2025'!$C$3:$C$122,9,'90_Origen_Rentab_2025'!$E$3:$E$122,"COSTOS OP")</f>
        <v>5684.8</v>
      </c>
      <c r="E62" s="10" t="n">
        <f aca="false">C62-D62</f>
        <v>-5684.8</v>
      </c>
      <c r="F62" s="11" t="str">
        <f aca="false">IF(C62=0,"-",E62/C62)</f>
        <v>-</v>
      </c>
    </row>
    <row r="63" customFormat="false" ht="15" hidden="false" customHeight="false" outlineLevel="0" collapsed="false">
      <c r="A63" s="8" t="s">
        <v>64</v>
      </c>
      <c r="B63" s="8" t="s">
        <v>58</v>
      </c>
      <c r="C63" s="9" t="n">
        <f aca="false">SUMIFS('90_Origen_Rentab_2025'!$F$3:$F$122,'90_Origen_Rentab_2025'!$A$3:$A$122,$A63,'90_Origen_Rentab_2025'!$C$3:$C$122,10,'90_Origen_Rentab_2025'!$E$3:$E$122,"INGRESOS OP")</f>
        <v>0</v>
      </c>
      <c r="D63" s="9" t="n">
        <f aca="false">SUMIFS('90_Origen_Rentab_2025'!$F$3:$F$122,'90_Origen_Rentab_2025'!$A$3:$A$122,$A63,'90_Origen_Rentab_2025'!$C$3:$C$122,10,'90_Origen_Rentab_2025'!$E$3:$E$122,"COSTOS OP")</f>
        <v>5684.8</v>
      </c>
      <c r="E63" s="10" t="n">
        <f aca="false">C63-D63</f>
        <v>-5684.8</v>
      </c>
      <c r="F63" s="11" t="str">
        <f aca="false">IF(C63=0,"-",E63/C63)</f>
        <v>-</v>
      </c>
    </row>
    <row r="64" customFormat="false" ht="15" hidden="false" customHeight="false" outlineLevel="0" collapsed="false">
      <c r="A64" s="8" t="s">
        <v>64</v>
      </c>
      <c r="B64" s="8" t="s">
        <v>59</v>
      </c>
      <c r="C64" s="9" t="n">
        <f aca="false">SUMIFS('90_Origen_Rentab_2025'!$F$3:$F$122,'90_Origen_Rentab_2025'!$A$3:$A$122,$A64,'90_Origen_Rentab_2025'!$C$3:$C$122,11,'90_Origen_Rentab_2025'!$E$3:$E$122,"INGRESOS OP")</f>
        <v>0</v>
      </c>
      <c r="D64" s="9" t="n">
        <f aca="false">SUMIFS('90_Origen_Rentab_2025'!$F$3:$F$122,'90_Origen_Rentab_2025'!$A$3:$A$122,$A64,'90_Origen_Rentab_2025'!$C$3:$C$122,11,'90_Origen_Rentab_2025'!$E$3:$E$122,"COSTOS OP")</f>
        <v>5684.8</v>
      </c>
      <c r="E64" s="10" t="n">
        <f aca="false">C64-D64</f>
        <v>-5684.8</v>
      </c>
      <c r="F64" s="11" t="str">
        <f aca="false">IF(C64=0,"-",E64/C64)</f>
        <v>-</v>
      </c>
    </row>
    <row r="65" customFormat="false" ht="15" hidden="false" customHeight="false" outlineLevel="0" collapsed="false">
      <c r="A65" s="8" t="s">
        <v>64</v>
      </c>
      <c r="B65" s="8" t="s">
        <v>60</v>
      </c>
      <c r="C65" s="9" t="n">
        <f aca="false">SUMIFS('90_Origen_Rentab_2025'!$F$3:$F$122,'90_Origen_Rentab_2025'!$A$3:$A$122,$A65,'90_Origen_Rentab_2025'!$C$3:$C$122,12,'90_Origen_Rentab_2025'!$E$3:$E$122,"INGRESOS OP")</f>
        <v>0</v>
      </c>
      <c r="D65" s="9" t="n">
        <f aca="false">SUMIFS('90_Origen_Rentab_2025'!$F$3:$F$122,'90_Origen_Rentab_2025'!$A$3:$A$122,$A65,'90_Origen_Rentab_2025'!$C$3:$C$122,12,'90_Origen_Rentab_2025'!$E$3:$E$122,"COSTOS OP")</f>
        <v>5684.8</v>
      </c>
      <c r="E65" s="10" t="n">
        <f aca="false">C65-D65</f>
        <v>-5684.8</v>
      </c>
      <c r="F65" s="11" t="str">
        <f aca="false">IF(C65=0,"-",E65/C65)</f>
        <v>-</v>
      </c>
    </row>
    <row r="66" customFormat="false" ht="15" hidden="false" customHeight="false" outlineLevel="0" collapsed="false">
      <c r="A66" s="3" t="s">
        <v>65</v>
      </c>
    </row>
    <row r="67" customFormat="false" ht="15" hidden="false" customHeight="false" outlineLevel="0" collapsed="false">
      <c r="A67" s="7" t="s">
        <v>42</v>
      </c>
      <c r="B67" s="7"/>
      <c r="C67" s="7" t="s">
        <v>44</v>
      </c>
      <c r="D67" s="7" t="s">
        <v>66</v>
      </c>
      <c r="E67" s="7" t="s">
        <v>46</v>
      </c>
      <c r="F67" s="7" t="s">
        <v>47</v>
      </c>
    </row>
    <row r="68" customFormat="false" ht="15" hidden="false" customHeight="false" outlineLevel="0" collapsed="false">
      <c r="A68" s="8" t="s">
        <v>48</v>
      </c>
      <c r="B68" s="12"/>
      <c r="C68" s="9" t="n">
        <f aca="false">SUMIFS('90_Origen_Rentab_2025'!$F$3:$F$122,'90_Origen_Rentab_2025'!$A$3:$A$122,$A68,'90_Origen_Rentab_2025'!$E$3:$E$122,"INGRESOS OP")</f>
        <v>3592126.92</v>
      </c>
      <c r="D68" s="9" t="n">
        <f aca="false">SUMIFS('90_Origen_Rentab_2025'!$F$3:$F$122,'90_Origen_Rentab_2025'!$A$3:$A$122,$A68,'90_Origen_Rentab_2025'!$E$3:$E$122,"COSTOS OP")</f>
        <v>4999267.53</v>
      </c>
      <c r="E68" s="10" t="n">
        <f aca="false">C68-D68</f>
        <v>-1407140.61</v>
      </c>
      <c r="F68" s="11" t="n">
        <f aca="false">IF(C68=0,"-",E68/C68)</f>
        <v>-0.391729090129143</v>
      </c>
    </row>
    <row r="69" customFormat="false" ht="15" hidden="false" customHeight="false" outlineLevel="0" collapsed="false">
      <c r="A69" s="8" t="s">
        <v>61</v>
      </c>
      <c r="B69" s="12"/>
      <c r="C69" s="9" t="n">
        <f aca="false">SUMIFS('90_Origen_Rentab_2025'!$F$3:$F$122,'90_Origen_Rentab_2025'!$A$3:$A$122,$A69,'90_Origen_Rentab_2025'!$E$3:$E$122,"INGRESOS OP")</f>
        <v>2417353</v>
      </c>
      <c r="D69" s="9" t="n">
        <f aca="false">SUMIFS('90_Origen_Rentab_2025'!$F$3:$F$122,'90_Origen_Rentab_2025'!$A$3:$A$122,$A69,'90_Origen_Rentab_2025'!$E$3:$E$122,"COSTOS OP")</f>
        <v>1731862.79</v>
      </c>
      <c r="E69" s="10" t="n">
        <f aca="false">C69-D69</f>
        <v>685490.21</v>
      </c>
      <c r="F69" s="11" t="n">
        <f aca="false">IF(C69=0,"-",E69/C69)</f>
        <v>0.283570587332508</v>
      </c>
    </row>
    <row r="70" customFormat="false" ht="15" hidden="false" customHeight="false" outlineLevel="0" collapsed="false">
      <c r="A70" s="8" t="s">
        <v>62</v>
      </c>
      <c r="B70" s="12"/>
      <c r="C70" s="9" t="n">
        <f aca="false">SUMIFS('90_Origen_Rentab_2025'!$F$3:$F$122,'90_Origen_Rentab_2025'!$A$3:$A$122,$A70,'90_Origen_Rentab_2025'!$E$3:$E$122,"INGRESOS OP")</f>
        <v>1597092.21</v>
      </c>
      <c r="D70" s="9" t="n">
        <f aca="false">SUMIFS('90_Origen_Rentab_2025'!$F$3:$F$122,'90_Origen_Rentab_2025'!$A$3:$A$122,$A70,'90_Origen_Rentab_2025'!$E$3:$E$122,"COSTOS OP")</f>
        <v>451717.4</v>
      </c>
      <c r="E70" s="10" t="n">
        <f aca="false">C70-D70</f>
        <v>1145374.81</v>
      </c>
      <c r="F70" s="11" t="n">
        <f aca="false">IF(C70=0,"-",E70/C70)</f>
        <v>0.717162605157282</v>
      </c>
    </row>
    <row r="71" customFormat="false" ht="15" hidden="false" customHeight="false" outlineLevel="0" collapsed="false">
      <c r="A71" s="8" t="s">
        <v>63</v>
      </c>
      <c r="B71" s="12"/>
      <c r="C71" s="9" t="n">
        <f aca="false">SUMIFS('90_Origen_Rentab_2025'!$F$3:$F$122,'90_Origen_Rentab_2025'!$A$3:$A$122,$A71,'90_Origen_Rentab_2025'!$E$3:$E$122,"INGRESOS OP")</f>
        <v>1205315.21</v>
      </c>
      <c r="D71" s="9" t="n">
        <f aca="false">SUMIFS('90_Origen_Rentab_2025'!$F$3:$F$122,'90_Origen_Rentab_2025'!$A$3:$A$122,$A71,'90_Origen_Rentab_2025'!$E$3:$E$122,"COSTOS OP")</f>
        <v>442363</v>
      </c>
      <c r="E71" s="10" t="n">
        <f aca="false">C71-D71</f>
        <v>762952.21</v>
      </c>
      <c r="F71" s="11" t="n">
        <f aca="false">IF(C71=0,"-",E71/C71)</f>
        <v>0.632989780324767</v>
      </c>
    </row>
    <row r="72" customFormat="false" ht="15" hidden="false" customHeight="false" outlineLevel="0" collapsed="false">
      <c r="A72" s="8" t="s">
        <v>64</v>
      </c>
      <c r="B72" s="12"/>
      <c r="C72" s="9" t="n">
        <f aca="false">SUMIFS('90_Origen_Rentab_2025'!$F$3:$F$122,'90_Origen_Rentab_2025'!$A$3:$A$122,$A72,'90_Origen_Rentab_2025'!$E$3:$E$122,"INGRESOS OP")</f>
        <v>338729</v>
      </c>
      <c r="D72" s="9" t="n">
        <f aca="false">SUMIFS('90_Origen_Rentab_2025'!$F$3:$F$122,'90_Origen_Rentab_2025'!$A$3:$A$122,$A72,'90_Origen_Rentab_2025'!$E$3:$E$122,"COSTOS OP")</f>
        <v>93626.8</v>
      </c>
      <c r="E72" s="10" t="n">
        <f aca="false">C72-D72</f>
        <v>245102.2</v>
      </c>
      <c r="F72" s="11" t="n">
        <f aca="false">IF(C72=0,"-",E72/C72)</f>
        <v>0.72359378736394</v>
      </c>
    </row>
    <row r="73" customFormat="false" ht="15" hidden="false" customHeight="false" outlineLevel="0" collapsed="false">
      <c r="A73" s="13" t="s">
        <v>67</v>
      </c>
      <c r="B73" s="14"/>
      <c r="C73" s="15" t="n">
        <f aca="false">SUM(C68:C72)</f>
        <v>9150616.34</v>
      </c>
      <c r="D73" s="15" t="n">
        <f aca="false">SUM(D68:D72)</f>
        <v>7718837.52</v>
      </c>
      <c r="E73" s="15" t="n">
        <f aca="false">SUM(E68:E72)</f>
        <v>1431778.82</v>
      </c>
      <c r="F73" s="16" t="n">
        <f aca="false">IF(C73=0,"-",E73/C73)</f>
        <v>0.156468019945419</v>
      </c>
    </row>
    <row r="76" customFormat="false" ht="102.95" hidden="false" customHeight="false" outlineLevel="0" collapsed="false">
      <c r="A76" s="3" t="s">
        <v>68</v>
      </c>
    </row>
    <row r="77" customFormat="false" ht="15" hidden="false" customHeight="false" outlineLevel="0" collapsed="false">
      <c r="A77" s="7" t="s">
        <v>69</v>
      </c>
      <c r="B77" s="7" t="s">
        <v>70</v>
      </c>
      <c r="C77" s="7" t="s">
        <v>71</v>
      </c>
      <c r="D77" s="7" t="s">
        <v>46</v>
      </c>
      <c r="E77" s="7" t="s">
        <v>47</v>
      </c>
    </row>
    <row r="78" customFormat="false" ht="15" hidden="false" customHeight="false" outlineLevel="0" collapsed="false">
      <c r="A78" s="8" t="s">
        <v>49</v>
      </c>
      <c r="B78" s="9" t="n">
        <f aca="false">SUMIFS('90_Origen_PL2024'!$E$3:$E$38,'90_Origen_PL2024'!$D$3:$D$38,"Ingresos",'90_Origen_PL2024'!$B$3:$B$38,1)</f>
        <v>782472.65</v>
      </c>
      <c r="C78" s="9" t="n">
        <f aca="false">SUMIFS('90_Origen_PL2024'!$E$3:$E$38,'90_Origen_PL2024'!$D$3:$D$38,"Gastos",'90_Origen_PL2024'!$B$3:$B$38,1)</f>
        <v>688030.16</v>
      </c>
      <c r="D78" s="10" t="n">
        <f aca="false">B78-C78</f>
        <v>94442.49</v>
      </c>
      <c r="E78" s="11" t="n">
        <f aca="false">IF(B78=0,"-",D78/B78)</f>
        <v>0.120697496583427</v>
      </c>
    </row>
    <row r="79" customFormat="false" ht="15" hidden="false" customHeight="false" outlineLevel="0" collapsed="false">
      <c r="A79" s="8" t="s">
        <v>50</v>
      </c>
      <c r="B79" s="9" t="n">
        <f aca="false">SUMIFS('90_Origen_PL2024'!$E$3:$E$38,'90_Origen_PL2024'!$D$3:$D$38,"Ingresos",'90_Origen_PL2024'!$B$3:$B$38,2)</f>
        <v>579083.73</v>
      </c>
      <c r="C79" s="9" t="n">
        <f aca="false">SUMIFS('90_Origen_PL2024'!$E$3:$E$38,'90_Origen_PL2024'!$D$3:$D$38,"Gastos",'90_Origen_PL2024'!$B$3:$B$38,2)</f>
        <v>472255.04</v>
      </c>
      <c r="D79" s="10" t="n">
        <f aca="false">B79-C79</f>
        <v>106828.69</v>
      </c>
      <c r="E79" s="11" t="n">
        <f aca="false">IF(B79=0,"-",D79/B79)</f>
        <v>0.184478831757197</v>
      </c>
    </row>
    <row r="80" customFormat="false" ht="15" hidden="false" customHeight="false" outlineLevel="0" collapsed="false">
      <c r="A80" s="8" t="s">
        <v>51</v>
      </c>
      <c r="B80" s="9" t="n">
        <f aca="false">SUMIFS('90_Origen_PL2024'!$E$3:$E$38,'90_Origen_PL2024'!$D$3:$D$38,"Ingresos",'90_Origen_PL2024'!$B$3:$B$38,3)</f>
        <v>663711.77</v>
      </c>
      <c r="C80" s="9" t="n">
        <f aca="false">SUMIFS('90_Origen_PL2024'!$E$3:$E$38,'90_Origen_PL2024'!$D$3:$D$38,"Gastos",'90_Origen_PL2024'!$B$3:$B$38,3)</f>
        <v>437957.9</v>
      </c>
      <c r="D80" s="10" t="n">
        <f aca="false">B80-C80</f>
        <v>225753.87</v>
      </c>
      <c r="E80" s="11" t="n">
        <f aca="false">IF(B80=0,"-",D80/B80)</f>
        <v>0.340138415806608</v>
      </c>
    </row>
    <row r="81" customFormat="false" ht="15" hidden="false" customHeight="false" outlineLevel="0" collapsed="false">
      <c r="A81" s="8" t="s">
        <v>52</v>
      </c>
      <c r="B81" s="9" t="n">
        <f aca="false">SUMIFS('90_Origen_PL2024'!$E$3:$E$38,'90_Origen_PL2024'!$D$3:$D$38,"Ingresos",'90_Origen_PL2024'!$B$3:$B$38,4)</f>
        <v>492664.2</v>
      </c>
      <c r="C81" s="9" t="n">
        <f aca="false">SUMIFS('90_Origen_PL2024'!$E$3:$E$38,'90_Origen_PL2024'!$D$3:$D$38,"Gastos",'90_Origen_PL2024'!$B$3:$B$38,4)</f>
        <v>351009.4</v>
      </c>
      <c r="D81" s="10" t="n">
        <f aca="false">B81-C81</f>
        <v>141654.8</v>
      </c>
      <c r="E81" s="11" t="n">
        <f aca="false">IF(B81=0,"-",D81/B81)</f>
        <v>0.287528097231339</v>
      </c>
    </row>
    <row r="82" customFormat="false" ht="15" hidden="false" customHeight="false" outlineLevel="0" collapsed="false">
      <c r="A82" s="8" t="s">
        <v>53</v>
      </c>
      <c r="B82" s="9" t="n">
        <f aca="false">SUMIFS('90_Origen_PL2024'!$E$3:$E$38,'90_Origen_PL2024'!$D$3:$D$38,"Ingresos",'90_Origen_PL2024'!$B$3:$B$38,5)</f>
        <v>817072</v>
      </c>
      <c r="C82" s="9" t="n">
        <f aca="false">SUMIFS('90_Origen_PL2024'!$E$3:$E$38,'90_Origen_PL2024'!$D$3:$D$38,"Gastos",'90_Origen_PL2024'!$B$3:$B$38,5)</f>
        <v>522763.43</v>
      </c>
      <c r="D82" s="10" t="n">
        <f aca="false">B82-C82</f>
        <v>294308.57</v>
      </c>
      <c r="E82" s="11" t="n">
        <f aca="false">IF(B82=0,"-",D82/B82)</f>
        <v>0.360199064464331</v>
      </c>
    </row>
    <row r="83" customFormat="false" ht="15" hidden="false" customHeight="false" outlineLevel="0" collapsed="false">
      <c r="A83" s="8" t="s">
        <v>54</v>
      </c>
      <c r="B83" s="9" t="n">
        <f aca="false">SUMIFS('90_Origen_PL2024'!$E$3:$E$38,'90_Origen_PL2024'!$D$3:$D$38,"Ingresos",'90_Origen_PL2024'!$B$3:$B$38,6)</f>
        <v>398011</v>
      </c>
      <c r="C83" s="9" t="n">
        <f aca="false">SUMIFS('90_Origen_PL2024'!$E$3:$E$38,'90_Origen_PL2024'!$D$3:$D$38,"Gastos",'90_Origen_PL2024'!$B$3:$B$38,6)</f>
        <v>394836.49</v>
      </c>
      <c r="D83" s="10" t="n">
        <f aca="false">B83-C83</f>
        <v>3174.51000000001</v>
      </c>
      <c r="E83" s="11" t="n">
        <f aca="false">IF(B83=0,"-",D83/B83)</f>
        <v>0.00797593533847057</v>
      </c>
    </row>
    <row r="84" customFormat="false" ht="15" hidden="false" customHeight="false" outlineLevel="0" collapsed="false">
      <c r="A84" s="8" t="s">
        <v>55</v>
      </c>
      <c r="B84" s="9" t="n">
        <f aca="false">SUMIFS('90_Origen_PL2024'!$E$3:$E$38,'90_Origen_PL2024'!$D$3:$D$38,"Ingresos",'90_Origen_PL2024'!$B$3:$B$38,7)</f>
        <v>464298.77</v>
      </c>
      <c r="C84" s="9" t="n">
        <f aca="false">SUMIFS('90_Origen_PL2024'!$E$3:$E$38,'90_Origen_PL2024'!$D$3:$D$38,"Gastos",'90_Origen_PL2024'!$B$3:$B$38,7)</f>
        <v>526620.49</v>
      </c>
      <c r="D84" s="10" t="n">
        <f aca="false">B84-C84</f>
        <v>-62321.72</v>
      </c>
      <c r="E84" s="11" t="n">
        <f aca="false">IF(B84=0,"-",D84/B84)</f>
        <v>-0.134227622442334</v>
      </c>
    </row>
    <row r="85" customFormat="false" ht="15" hidden="false" customHeight="false" outlineLevel="0" collapsed="false">
      <c r="A85" s="8" t="s">
        <v>56</v>
      </c>
      <c r="B85" s="9" t="n">
        <f aca="false">SUMIFS('90_Origen_PL2024'!$E$3:$E$38,'90_Origen_PL2024'!$D$3:$D$38,"Ingresos",'90_Origen_PL2024'!$B$3:$B$38,8)</f>
        <v>672285.96</v>
      </c>
      <c r="C85" s="9" t="n">
        <f aca="false">SUMIFS('90_Origen_PL2024'!$E$3:$E$38,'90_Origen_PL2024'!$D$3:$D$38,"Gastos",'90_Origen_PL2024'!$B$3:$B$38,8)</f>
        <v>538310.08</v>
      </c>
      <c r="D85" s="10" t="n">
        <f aca="false">B85-C85</f>
        <v>133975.88</v>
      </c>
      <c r="E85" s="11" t="n">
        <f aca="false">IF(B85=0,"-",D85/B85)</f>
        <v>0.19928406656001</v>
      </c>
    </row>
    <row r="86" customFormat="false" ht="15" hidden="false" customHeight="false" outlineLevel="0" collapsed="false">
      <c r="A86" s="8" t="s">
        <v>57</v>
      </c>
      <c r="B86" s="9" t="n">
        <f aca="false">SUMIFS('90_Origen_PL2024'!$E$3:$E$38,'90_Origen_PL2024'!$D$3:$D$38,"Ingresos",'90_Origen_PL2024'!$B$3:$B$38,9)</f>
        <v>1311681</v>
      </c>
      <c r="C86" s="9" t="n">
        <f aca="false">SUMIFS('90_Origen_PL2024'!$E$3:$E$38,'90_Origen_PL2024'!$D$3:$D$38,"Gastos",'90_Origen_PL2024'!$B$3:$B$38,9)</f>
        <v>383777.24</v>
      </c>
      <c r="D86" s="10" t="n">
        <f aca="false">B86-C86</f>
        <v>927903.76</v>
      </c>
      <c r="E86" s="11" t="n">
        <f aca="false">IF(B86=0,"-",D86/B86)</f>
        <v>0.707415720743077</v>
      </c>
    </row>
    <row r="87" customFormat="false" ht="15" hidden="false" customHeight="false" outlineLevel="0" collapsed="false">
      <c r="A87" s="8" t="s">
        <v>58</v>
      </c>
      <c r="B87" s="9" t="n">
        <f aca="false">SUMIFS('90_Origen_PL2024'!$E$3:$E$38,'90_Origen_PL2024'!$D$3:$D$38,"Ingresos",'90_Origen_PL2024'!$B$3:$B$38,10)</f>
        <v>1003565.09</v>
      </c>
      <c r="C87" s="9" t="n">
        <f aca="false">SUMIFS('90_Origen_PL2024'!$E$3:$E$38,'90_Origen_PL2024'!$D$3:$D$38,"Gastos",'90_Origen_PL2024'!$B$3:$B$38,10)</f>
        <v>519012.89</v>
      </c>
      <c r="D87" s="10" t="n">
        <f aca="false">B87-C87</f>
        <v>484552.2</v>
      </c>
      <c r="E87" s="11" t="n">
        <f aca="false">IF(B87=0,"-",D87/B87)</f>
        <v>0.482830864513233</v>
      </c>
    </row>
    <row r="88" customFormat="false" ht="15" hidden="false" customHeight="false" outlineLevel="0" collapsed="false">
      <c r="A88" s="8" t="s">
        <v>59</v>
      </c>
      <c r="B88" s="9" t="n">
        <f aca="false">SUMIFS('90_Origen_PL2024'!$E$3:$E$38,'90_Origen_PL2024'!$D$3:$D$38,"Ingresos",'90_Origen_PL2024'!$B$3:$B$38,11)</f>
        <v>614740</v>
      </c>
      <c r="C88" s="9" t="n">
        <f aca="false">SUMIFS('90_Origen_PL2024'!$E$3:$E$38,'90_Origen_PL2024'!$D$3:$D$38,"Gastos",'90_Origen_PL2024'!$B$3:$B$38,11)</f>
        <v>452203.54</v>
      </c>
      <c r="D88" s="10" t="n">
        <f aca="false">B88-C88</f>
        <v>162536.46</v>
      </c>
      <c r="E88" s="11" t="n">
        <f aca="false">IF(B88=0,"-",D88/B88)</f>
        <v>0.264398705143638</v>
      </c>
    </row>
    <row r="89" customFormat="false" ht="15" hidden="false" customHeight="false" outlineLevel="0" collapsed="false">
      <c r="A89" s="8" t="s">
        <v>60</v>
      </c>
      <c r="B89" s="9" t="n">
        <f aca="false">SUMIFS('90_Origen_PL2024'!$E$3:$E$38,'90_Origen_PL2024'!$D$3:$D$38,"Ingresos",'90_Origen_PL2024'!$B$3:$B$38,12)</f>
        <v>475262</v>
      </c>
      <c r="C89" s="9" t="n">
        <f aca="false">SUMIFS('90_Origen_PL2024'!$E$3:$E$38,'90_Origen_PL2024'!$D$3:$D$38,"Gastos",'90_Origen_PL2024'!$B$3:$B$38,12)</f>
        <v>681066.38</v>
      </c>
      <c r="D89" s="10" t="n">
        <f aca="false">B89-C89</f>
        <v>-205804.38</v>
      </c>
      <c r="E89" s="11" t="n">
        <f aca="false">IF(B89=0,"-",D89/B89)</f>
        <v>-0.433033526770497</v>
      </c>
    </row>
    <row r="90" customFormat="false" ht="15" hidden="false" customHeight="false" outlineLevel="0" collapsed="false">
      <c r="A90" s="13" t="s">
        <v>72</v>
      </c>
      <c r="B90" s="15" t="n">
        <f aca="false">SUM(B78:B89)</f>
        <v>8274848.17</v>
      </c>
      <c r="C90" s="15" t="n">
        <f aca="false">SUM(C78:C89)</f>
        <v>5967843.04</v>
      </c>
      <c r="D90" s="15" t="n">
        <f aca="false">SUM(D78:D89)</f>
        <v>2307005.13</v>
      </c>
      <c r="E90" s="16" t="n">
        <f aca="false">IF(B90=0,"-",D90/B90)</f>
        <v>0.278797276107605</v>
      </c>
    </row>
    <row r="92" customFormat="false" ht="64.9" hidden="false" customHeight="false" outlineLevel="0" collapsed="false">
      <c r="A92" s="3" t="s">
        <v>73</v>
      </c>
    </row>
    <row r="93" customFormat="false" ht="23.85" hidden="false" customHeight="false" outlineLevel="0" collapsed="false">
      <c r="A93" s="7" t="s">
        <v>42</v>
      </c>
      <c r="B93" s="7" t="s">
        <v>74</v>
      </c>
      <c r="C93" s="7" t="s">
        <v>75</v>
      </c>
    </row>
    <row r="94" customFormat="false" ht="15" hidden="false" customHeight="false" outlineLevel="0" collapsed="false">
      <c r="A94" s="8" t="s">
        <v>48</v>
      </c>
      <c r="B94" s="9" t="n">
        <f aca="false">SUMIFS('90_Origen_Ing2024_Pais'!$E$3:$E$62,'90_Origen_Ing2024_Pais'!$A$3:$A$62,$A94)</f>
        <v>3370428.54</v>
      </c>
      <c r="C94" s="9" t="n">
        <f aca="false">SUMIFS('90_Origen_Ledger_EdP'!$K$3:$K$702,'90_Origen_Ledger_EdP'!$F$3:$F$702,$A94,'90_Origen_Ledger_EdP'!$I$3:$I$702,2024)</f>
        <v>3522359.47</v>
      </c>
    </row>
    <row r="95" customFormat="false" ht="15" hidden="false" customHeight="false" outlineLevel="0" collapsed="false">
      <c r="A95" s="8" t="s">
        <v>61</v>
      </c>
      <c r="B95" s="9" t="n">
        <f aca="false">SUMIFS('90_Origen_Ing2024_Pais'!$E$3:$E$62,'90_Origen_Ing2024_Pais'!$A$3:$A$62,$A95)</f>
        <v>2077901.26</v>
      </c>
      <c r="C95" s="9" t="n">
        <f aca="false">SUMIFS('90_Origen_Ledger_EdP'!$K$3:$K$702,'90_Origen_Ledger_EdP'!$F$3:$F$702,$A95,'90_Origen_Ledger_EdP'!$I$3:$I$702,2024)</f>
        <v>2105737.07</v>
      </c>
    </row>
    <row r="96" customFormat="false" ht="15" hidden="false" customHeight="false" outlineLevel="0" collapsed="false">
      <c r="A96" s="8" t="s">
        <v>62</v>
      </c>
      <c r="B96" s="9" t="n">
        <f aca="false">SUMIFS('90_Origen_Ing2024_Pais'!$E$3:$E$62,'90_Origen_Ing2024_Pais'!$A$3:$A$62,$A96)</f>
        <v>1210944.37</v>
      </c>
      <c r="C96" s="9" t="n">
        <f aca="false">SUMIFS('90_Origen_Ledger_EdP'!$K$3:$K$702,'90_Origen_Ledger_EdP'!$F$3:$F$702,$A96,'90_Origen_Ledger_EdP'!$I$3:$I$702,2024)</f>
        <v>1007708</v>
      </c>
    </row>
    <row r="97" customFormat="false" ht="15" hidden="false" customHeight="false" outlineLevel="0" collapsed="false">
      <c r="A97" s="8" t="s">
        <v>63</v>
      </c>
      <c r="B97" s="9" t="n">
        <f aca="false">SUMIFS('90_Origen_Ing2024_Pais'!$E$3:$E$62,'90_Origen_Ing2024_Pais'!$A$3:$A$62,$A97)</f>
        <v>1463474</v>
      </c>
      <c r="C97" s="9" t="n">
        <f aca="false">SUMIFS('90_Origen_Ledger_EdP'!$K$3:$K$702,'90_Origen_Ledger_EdP'!$F$3:$F$702,$A97,'90_Origen_Ledger_EdP'!$I$3:$I$702,2024)</f>
        <v>1563780</v>
      </c>
    </row>
    <row r="98" customFormat="false" ht="15" hidden="false" customHeight="false" outlineLevel="0" collapsed="false">
      <c r="A98" s="8" t="s">
        <v>76</v>
      </c>
      <c r="B98" s="9" t="n">
        <f aca="false">SUMIFS('90_Origen_Ing2024_Pais'!$E$3:$E$62,'90_Origen_Ing2024_Pais'!$A$3:$A$62,$A98)</f>
        <v>152100</v>
      </c>
      <c r="C98" s="9" t="n">
        <f aca="false">SUMIFS('90_Origen_Ledger_EdP'!$K$3:$K$702,'90_Origen_Ledger_EdP'!$F$3:$F$702,$A98,'90_Origen_Ledger_EdP'!$I$3:$I$702,2024)</f>
        <v>152100</v>
      </c>
    </row>
    <row r="99" customFormat="false" ht="15" hidden="false" customHeight="false" outlineLevel="0" collapsed="false">
      <c r="A99" s="13" t="s">
        <v>72</v>
      </c>
      <c r="B99" s="15" t="n">
        <f aca="false">SUM(B94:B98)</f>
        <v>8274848.17</v>
      </c>
      <c r="C99" s="15" t="n">
        <f aca="false">SUM(C94:C98)</f>
        <v>8351684.54</v>
      </c>
    </row>
    <row r="102" customFormat="false" ht="77.6" hidden="false" customHeight="false" outlineLevel="0" collapsed="false">
      <c r="A102" s="3" t="s">
        <v>77</v>
      </c>
    </row>
    <row r="103" customFormat="false" ht="15" hidden="false" customHeight="false" outlineLevel="0" collapsed="false">
      <c r="A103" s="7" t="s">
        <v>78</v>
      </c>
      <c r="B103" s="7" t="s">
        <v>79</v>
      </c>
      <c r="C103" s="7" t="s">
        <v>80</v>
      </c>
      <c r="D103" s="7" t="s">
        <v>81</v>
      </c>
      <c r="E103" s="7" t="s">
        <v>82</v>
      </c>
    </row>
    <row r="104" customFormat="false" ht="15" hidden="false" customHeight="false" outlineLevel="0" collapsed="false">
      <c r="A104" s="8" t="s">
        <v>83</v>
      </c>
      <c r="B104" s="9" t="n">
        <f aca="false">SUMIFS('90_Origen_Ledger_EdP'!$K$3:$K$702,'90_Origen_Ledger_EdP'!$S$3:$S$702,$A104,'90_Origen_Ledger_EdP'!$I$3:$I$702,2024)</f>
        <v>4290363.18</v>
      </c>
      <c r="C104" s="9" t="n">
        <f aca="false">SUMIFS('90_Origen_Ledger_EdP'!$K$3:$K$702,'90_Origen_Ledger_EdP'!$S$3:$S$702,$A104,'90_Origen_Ledger_EdP'!$I$3:$I$702,2025)</f>
        <v>4937055.10096226</v>
      </c>
      <c r="D104" s="10" t="n">
        <f aca="false">B104+C104</f>
        <v>9227418.28096226</v>
      </c>
      <c r="E104" s="11" t="n">
        <f aca="false">IF(SUM($D$104:$D$107)=0,0,D104/SUM($D$104:$D$107))</f>
        <v>0.516381134692169</v>
      </c>
    </row>
    <row r="105" customFormat="false" ht="15" hidden="false" customHeight="false" outlineLevel="0" collapsed="false">
      <c r="A105" s="8" t="s">
        <v>84</v>
      </c>
      <c r="B105" s="9" t="n">
        <f aca="false">SUMIFS('90_Origen_Ledger_EdP'!$K$3:$K$702,'90_Origen_Ledger_EdP'!$S$3:$S$702,$A105,'90_Origen_Ledger_EdP'!$I$3:$I$702,2024)</f>
        <v>1192308.36</v>
      </c>
      <c r="C105" s="9" t="n">
        <f aca="false">SUMIFS('90_Origen_Ledger_EdP'!$K$3:$K$702,'90_Origen_Ledger_EdP'!$S$3:$S$702,$A105,'90_Origen_Ledger_EdP'!$I$3:$I$702,2025)</f>
        <v>885028.33</v>
      </c>
      <c r="D105" s="10" t="n">
        <f aca="false">B105+C105</f>
        <v>2077336.69</v>
      </c>
      <c r="E105" s="11" t="n">
        <f aca="false">IF(SUM($D$104:$D$107)=0,0,D105/SUM($D$104:$D$107))</f>
        <v>0.11625109477621</v>
      </c>
    </row>
    <row r="106" customFormat="false" ht="15" hidden="false" customHeight="false" outlineLevel="0" collapsed="false">
      <c r="A106" s="8" t="s">
        <v>85</v>
      </c>
      <c r="B106" s="9" t="n">
        <f aca="false">SUMIFS('90_Origen_Ledger_EdP'!$K$3:$K$702,'90_Origen_Ledger_EdP'!$S$3:$S$702,$A106,'90_Origen_Ledger_EdP'!$I$3:$I$702,2024)</f>
        <v>2609891</v>
      </c>
      <c r="C106" s="9" t="n">
        <f aca="false">SUMIFS('90_Origen_Ledger_EdP'!$K$3:$K$702,'90_Origen_Ledger_EdP'!$S$3:$S$702,$A106,'90_Origen_Ledger_EdP'!$I$3:$I$702,2025)</f>
        <v>3281696.67</v>
      </c>
      <c r="D106" s="10" t="n">
        <f aca="false">B106+C106</f>
        <v>5891587.67</v>
      </c>
      <c r="E106" s="11" t="n">
        <f aca="false">IF(SUM($D$104:$D$107)=0,0,D106/SUM($D$104:$D$107))</f>
        <v>0.329702700532151</v>
      </c>
    </row>
    <row r="107" customFormat="false" ht="15" hidden="false" customHeight="false" outlineLevel="0" collapsed="false">
      <c r="A107" s="8" t="s">
        <v>86</v>
      </c>
      <c r="B107" s="9" t="n">
        <f aca="false">SUMIFS('90_Origen_Ledger_EdP'!$K$3:$K$702,'90_Origen_Ledger_EdP'!$S$3:$S$702,$A107,'90_Origen_Ledger_EdP'!$I$3:$I$702,2024)</f>
        <v>326282</v>
      </c>
      <c r="C107" s="9" t="n">
        <f aca="false">SUMIFS('90_Origen_Ledger_EdP'!$K$3:$K$702,'90_Origen_Ledger_EdP'!$S$3:$S$702,$A107,'90_Origen_Ledger_EdP'!$I$3:$I$702,2025)</f>
        <v>346770</v>
      </c>
      <c r="D107" s="10" t="n">
        <f aca="false">B107+C107</f>
        <v>673052</v>
      </c>
      <c r="E107" s="11" t="n">
        <f aca="false">IF(SUM($D$104:$D$107)=0,0,D107/SUM($D$104:$D$107))</f>
        <v>0.0376650699994701</v>
      </c>
    </row>
    <row r="108" customFormat="false" ht="15" hidden="false" customHeight="false" outlineLevel="0" collapsed="false">
      <c r="A108" s="13" t="s">
        <v>87</v>
      </c>
      <c r="B108" s="15" t="n">
        <f aca="false">SUM(B104:B107)</f>
        <v>8418844.54</v>
      </c>
      <c r="C108" s="15" t="n">
        <f aca="false">SUM(C104:C107)</f>
        <v>9450550.10096226</v>
      </c>
      <c r="D108" s="15" t="n">
        <f aca="false">SUM(D104:D107)</f>
        <v>17869394.6409623</v>
      </c>
      <c r="E108" s="16" t="n">
        <f aca="false">D108/D108</f>
        <v>1</v>
      </c>
    </row>
    <row r="111" customFormat="false" ht="115.65" hidden="false" customHeight="false" outlineLevel="0" collapsed="false">
      <c r="A111" s="3" t="s">
        <v>88</v>
      </c>
    </row>
    <row r="112" customFormat="false" ht="15" hidden="false" customHeight="false" outlineLevel="0" collapsed="false">
      <c r="A112" s="7" t="s">
        <v>89</v>
      </c>
      <c r="B112" s="7" t="s">
        <v>90</v>
      </c>
      <c r="C112" s="7" t="s">
        <v>91</v>
      </c>
      <c r="D112" s="7" t="s">
        <v>92</v>
      </c>
      <c r="E112" s="7" t="s">
        <v>93</v>
      </c>
    </row>
    <row r="113" customFormat="false" ht="15" hidden="false" customHeight="false" outlineLevel="0" collapsed="false">
      <c r="A113" s="8" t="s">
        <v>94</v>
      </c>
      <c r="B113" s="8" t="s">
        <v>95</v>
      </c>
      <c r="C113" s="17" t="n">
        <f aca="false">COUNTIFS('90_Origen_NivelIng_Edu'!$C$3:$C$61,$B113)</f>
        <v>13</v>
      </c>
      <c r="D113" s="9" t="n">
        <f aca="false">SUMIFS('90_Origen_NivelIng_Edu'!$E$3:$E$61,'90_Origen_NivelIng_Edu'!$C$3:$C$61,$B113)</f>
        <v>1928787.6</v>
      </c>
      <c r="E113" s="11" t="n">
        <f aca="false">IF(SUM($D$113:$D$120)=0,0,D113/SUM($D$113:$D$120))</f>
        <v>0.0924565122908004</v>
      </c>
    </row>
    <row r="114" customFormat="false" ht="15" hidden="false" customHeight="false" outlineLevel="0" collapsed="false">
      <c r="A114" s="8" t="s">
        <v>94</v>
      </c>
      <c r="B114" s="8" t="s">
        <v>96</v>
      </c>
      <c r="C114" s="17" t="n">
        <f aca="false">COUNTIFS('90_Origen_NivelIng_Edu'!$C$3:$C$61,$B114)</f>
        <v>10</v>
      </c>
      <c r="D114" s="9" t="n">
        <f aca="false">SUMIFS('90_Origen_NivelIng_Edu'!$E$3:$E$61,'90_Origen_NivelIng_Edu'!$C$3:$C$61,$B114)</f>
        <v>2450787.67</v>
      </c>
      <c r="E114" s="11" t="n">
        <f aca="false">IF(SUM($D$113:$D$120)=0,0,D114/SUM($D$113:$D$120))</f>
        <v>0.117478606941219</v>
      </c>
    </row>
    <row r="115" customFormat="false" ht="15" hidden="false" customHeight="false" outlineLevel="0" collapsed="false">
      <c r="A115" s="8" t="s">
        <v>94</v>
      </c>
      <c r="B115" s="8" t="s">
        <v>97</v>
      </c>
      <c r="C115" s="17" t="n">
        <f aca="false">COUNTIFS('90_Origen_NivelIng_Edu'!$C$3:$C$61,$B115)</f>
        <v>1</v>
      </c>
      <c r="D115" s="9" t="n">
        <f aca="false">SUMIFS('90_Origen_NivelIng_Edu'!$E$3:$E$61,'90_Origen_NivelIng_Edu'!$C$3:$C$61,$B115)</f>
        <v>490000</v>
      </c>
      <c r="E115" s="11" t="n">
        <f aca="false">IF(SUM($D$113:$D$120)=0,0,D115/SUM($D$113:$D$120))</f>
        <v>0.0234881699895272</v>
      </c>
    </row>
    <row r="116" customFormat="false" ht="15" hidden="false" customHeight="false" outlineLevel="0" collapsed="false">
      <c r="A116" s="8" t="s">
        <v>94</v>
      </c>
      <c r="B116" s="8" t="s">
        <v>98</v>
      </c>
      <c r="C116" s="17" t="n">
        <f aca="false">COUNTIFS('90_Origen_NivelIng_Edu'!$C$3:$C$61,$B116)</f>
        <v>5</v>
      </c>
      <c r="D116" s="9" t="n">
        <f aca="false">SUMIFS('90_Origen_NivelIng_Edu'!$E$3:$E$61,'90_Origen_NivelIng_Edu'!$C$3:$C$61,$B116)</f>
        <v>2998348.49</v>
      </c>
      <c r="E116" s="11" t="n">
        <f aca="false">IF(SUM($D$113:$D$120)=0,0,D116/SUM($D$113:$D$120))</f>
        <v>0.143725957185637</v>
      </c>
    </row>
    <row r="117" customFormat="false" ht="15" hidden="false" customHeight="false" outlineLevel="0" collapsed="false">
      <c r="A117" s="8" t="s">
        <v>94</v>
      </c>
      <c r="B117" s="8" t="s">
        <v>99</v>
      </c>
      <c r="C117" s="17" t="n">
        <f aca="false">COUNTIFS('90_Origen_NivelIng_Edu'!$C$3:$C$61,$B117)</f>
        <v>2</v>
      </c>
      <c r="D117" s="9" t="n">
        <f aca="false">SUMIFS('90_Origen_NivelIng_Edu'!$E$3:$E$61,'90_Origen_NivelIng_Edu'!$C$3:$C$61,$B117)</f>
        <v>110007</v>
      </c>
      <c r="E117" s="11" t="n">
        <f aca="false">IF(SUM($D$113:$D$120)=0,0,D117/SUM($D$113:$D$120))</f>
        <v>0.00527319003273045</v>
      </c>
    </row>
    <row r="118" customFormat="false" ht="15" hidden="false" customHeight="false" outlineLevel="0" collapsed="false">
      <c r="A118" s="8" t="s">
        <v>94</v>
      </c>
      <c r="B118" s="8" t="s">
        <v>100</v>
      </c>
      <c r="C118" s="17" t="n">
        <f aca="false">COUNTIFS('90_Origen_NivelIng_Edu'!$C$3:$C$61,$B118)</f>
        <v>15</v>
      </c>
      <c r="D118" s="9" t="n">
        <f aca="false">SUMIFS('90_Origen_NivelIng_Edu'!$E$3:$E$61,'90_Origen_NivelIng_Edu'!$C$3:$C$61,$B118)</f>
        <v>2942808</v>
      </c>
      <c r="E118" s="11" t="n">
        <f aca="false">IF(SUM($D$113:$D$120)=0,0,D118/SUM($D$113:$D$120))</f>
        <v>0.141063621531715</v>
      </c>
    </row>
    <row r="119" customFormat="false" ht="15" hidden="false" customHeight="false" outlineLevel="0" collapsed="false">
      <c r="A119" s="8" t="s">
        <v>101</v>
      </c>
      <c r="B119" s="8" t="s">
        <v>102</v>
      </c>
      <c r="C119" s="17" t="n">
        <f aca="false">COUNTIFS('90_Origen_NivelIng_Edu'!$C$3:$C$61,$B119)</f>
        <v>11</v>
      </c>
      <c r="D119" s="9" t="n">
        <f aca="false">SUMIFS('90_Origen_NivelIng_Edu'!$E$3:$E$61,'90_Origen_NivelIng_Edu'!$C$3:$C$61,$B119)</f>
        <v>9092795.88</v>
      </c>
      <c r="E119" s="11" t="n">
        <f aca="false">IF(SUM($D$113:$D$120)=0,0,D119/SUM($D$113:$D$120))</f>
        <v>0.435863541447985</v>
      </c>
    </row>
    <row r="120" customFormat="false" ht="15" hidden="false" customHeight="false" outlineLevel="0" collapsed="false">
      <c r="A120" s="8" t="s">
        <v>101</v>
      </c>
      <c r="B120" s="8" t="s">
        <v>103</v>
      </c>
      <c r="C120" s="17" t="n">
        <f aca="false">COUNTIFS('90_Origen_NivelIng_Edu'!$C$3:$C$61,$B120)</f>
        <v>2</v>
      </c>
      <c r="D120" s="9" t="n">
        <f aca="false">SUMIFS('90_Origen_NivelIng_Edu'!$E$3:$E$61,'90_Origen_NivelIng_Edu'!$C$3:$C$61,$B120)</f>
        <v>848031</v>
      </c>
      <c r="E120" s="11" t="n">
        <f aca="false">IF(SUM($D$113:$D$120)=0,0,D120/SUM($D$113:$D$120))</f>
        <v>0.0406504005803852</v>
      </c>
    </row>
    <row r="121" customFormat="false" ht="15" hidden="false" customHeight="false" outlineLevel="0" collapsed="false">
      <c r="A121" s="18" t="s">
        <v>104</v>
      </c>
      <c r="B121" s="19"/>
      <c r="C121" s="20" t="n">
        <f aca="false">COUNTIFS('90_Origen_NivelIng_Edu'!$D$3:$D$61,"Core (FEL 0-2B / consultoría)")</f>
        <v>46</v>
      </c>
      <c r="D121" s="21" t="n">
        <f aca="false">SUMIFS('90_Origen_NivelIng_Edu'!$E$3:$E$61,'90_Origen_NivelIng_Edu'!$D$3:$D$61,"Core (FEL 0-2B / consultoría)")</f>
        <v>10920738.76</v>
      </c>
      <c r="E121" s="22" t="n">
        <f aca="false">IF(SUM($D$113:$D$120)=0,0,D121/SUM($D$113:$D$120))</f>
        <v>0.52348605797163</v>
      </c>
    </row>
    <row r="122" customFormat="false" ht="15" hidden="false" customHeight="false" outlineLevel="0" collapsed="false">
      <c r="A122" s="18" t="s">
        <v>105</v>
      </c>
      <c r="B122" s="19"/>
      <c r="C122" s="20" t="n">
        <f aca="false">COUNTIFS('90_Origen_NivelIng_Edu'!$D$3:$D$61,"Adyacencia (FEL 3-4 / gestión op.)")</f>
        <v>13</v>
      </c>
      <c r="D122" s="21" t="n">
        <f aca="false">SUMIFS('90_Origen_NivelIng_Edu'!$E$3:$E$61,'90_Origen_NivelIng_Edu'!$D$3:$D$61,"Adyacencia (FEL 3-4 / gestión op.)")</f>
        <v>9940826.88</v>
      </c>
      <c r="E122" s="22" t="n">
        <f aca="false">IF(SUM($D$113:$D$120)=0,0,D122/SUM($D$113:$D$120))</f>
        <v>0.47651394202837</v>
      </c>
    </row>
    <row r="123" customFormat="false" ht="15" hidden="false" customHeight="false" outlineLevel="0" collapsed="false">
      <c r="A123" s="13" t="s">
        <v>106</v>
      </c>
      <c r="B123" s="14"/>
      <c r="C123" s="13" t="n">
        <f aca="false">SUM(C113:C120)</f>
        <v>59</v>
      </c>
      <c r="D123" s="15" t="n">
        <f aca="false">SUM(D113:D120)</f>
        <v>20861565.64</v>
      </c>
      <c r="E123" s="16" t="n">
        <v>1</v>
      </c>
    </row>
    <row r="126" customFormat="false" ht="102.95" hidden="false" customHeight="false" outlineLevel="0" collapsed="false">
      <c r="A126" s="3" t="s">
        <v>107</v>
      </c>
    </row>
    <row r="127" customFormat="false" ht="15" hidden="false" customHeight="false" outlineLevel="0" collapsed="false">
      <c r="A127" s="7" t="s">
        <v>90</v>
      </c>
      <c r="B127" s="7" t="s">
        <v>108</v>
      </c>
      <c r="C127" s="7" t="s">
        <v>109</v>
      </c>
      <c r="D127" s="7" t="s">
        <v>110</v>
      </c>
      <c r="E127" s="7" t="s">
        <v>111</v>
      </c>
      <c r="F127" s="7" t="s">
        <v>47</v>
      </c>
    </row>
    <row r="128" customFormat="false" ht="15" hidden="false" customHeight="false" outlineLevel="0" collapsed="false">
      <c r="A128" s="8" t="s">
        <v>103</v>
      </c>
      <c r="B128" s="17" t="n">
        <f aca="false">COUNTIFS('90_Origen_MargenNivel'!$D$3:$D$44,$A128)</f>
        <v>2</v>
      </c>
      <c r="C128" s="9" t="n">
        <f aca="false">SUMIFS('90_Origen_MargenNivel'!$E$3:$E$44,'90_Origen_MargenNivel'!$D$3:$D$44,$A128)</f>
        <v>624015.5</v>
      </c>
      <c r="D128" s="9" t="n">
        <f aca="false">SUMIFS('90_Origen_MargenNivel'!$F$3:$F$44,'90_Origen_MargenNivel'!$D$3:$D$44,$A128)</f>
        <v>135626.84</v>
      </c>
      <c r="E128" s="10" t="n">
        <f aca="false">C128-D128</f>
        <v>488388.66</v>
      </c>
      <c r="F128" s="11" t="n">
        <f aca="false">IF(C128=0,"-",E128/C128)</f>
        <v>0.782654693673475</v>
      </c>
    </row>
    <row r="129" customFormat="false" ht="15" hidden="false" customHeight="false" outlineLevel="0" collapsed="false">
      <c r="A129" s="8" t="s">
        <v>95</v>
      </c>
      <c r="B129" s="17" t="n">
        <f aca="false">COUNTIFS('90_Origen_MargenNivel'!$D$3:$D$44,$A129)</f>
        <v>8</v>
      </c>
      <c r="C129" s="9" t="n">
        <f aca="false">SUMIFS('90_Origen_MargenNivel'!$E$3:$E$44,'90_Origen_MargenNivel'!$D$3:$D$44,$A129)</f>
        <v>843510.49</v>
      </c>
      <c r="D129" s="9" t="n">
        <f aca="false">SUMIFS('90_Origen_MargenNivel'!$F$3:$F$44,'90_Origen_MargenNivel'!$D$3:$D$44,$A129)</f>
        <v>275994.16</v>
      </c>
      <c r="E129" s="10" t="n">
        <f aca="false">C129-D129</f>
        <v>567516.33</v>
      </c>
      <c r="F129" s="11" t="n">
        <f aca="false">IF(C129=0,"-",E129/C129)</f>
        <v>0.672802930998523</v>
      </c>
    </row>
    <row r="130" customFormat="false" ht="15" hidden="false" customHeight="false" outlineLevel="0" collapsed="false">
      <c r="A130" s="8" t="s">
        <v>97</v>
      </c>
      <c r="B130" s="17" t="n">
        <f aca="false">COUNTIFS('90_Origen_MargenNivel'!$D$3:$D$44,$A130)</f>
        <v>1</v>
      </c>
      <c r="C130" s="9" t="n">
        <f aca="false">SUMIFS('90_Origen_MargenNivel'!$E$3:$E$44,'90_Origen_MargenNivel'!$D$3:$D$44,$A130)</f>
        <v>420000</v>
      </c>
      <c r="D130" s="9" t="n">
        <f aca="false">SUMIFS('90_Origen_MargenNivel'!$F$3:$F$44,'90_Origen_MargenNivel'!$D$3:$D$44,$A130)</f>
        <v>160654.51</v>
      </c>
      <c r="E130" s="10" t="n">
        <f aca="false">C130-D130</f>
        <v>259345.49</v>
      </c>
      <c r="F130" s="11" t="n">
        <f aca="false">IF(C130=0,"-",E130/C130)</f>
        <v>0.617489261904762</v>
      </c>
    </row>
    <row r="131" customFormat="false" ht="15" hidden="false" customHeight="false" outlineLevel="0" collapsed="false">
      <c r="A131" s="8" t="s">
        <v>99</v>
      </c>
      <c r="B131" s="17" t="n">
        <f aca="false">COUNTIFS('90_Origen_MargenNivel'!$D$3:$D$44,$A131)</f>
        <v>2</v>
      </c>
      <c r="C131" s="9" t="n">
        <f aca="false">SUMIFS('90_Origen_MargenNivel'!$E$3:$E$44,'90_Origen_MargenNivel'!$D$3:$D$44,$A131)</f>
        <v>65406.33</v>
      </c>
      <c r="D131" s="9" t="n">
        <f aca="false">SUMIFS('90_Origen_MargenNivel'!$F$3:$F$44,'90_Origen_MargenNivel'!$D$3:$D$44,$A131)</f>
        <v>35999.24</v>
      </c>
      <c r="E131" s="10" t="n">
        <f aca="false">C131-D131</f>
        <v>29407.09</v>
      </c>
      <c r="F131" s="11" t="n">
        <f aca="false">IF(C131=0,"-",E131/C131)</f>
        <v>0.449606177261436</v>
      </c>
    </row>
    <row r="132" customFormat="false" ht="15" hidden="false" customHeight="false" outlineLevel="0" collapsed="false">
      <c r="A132" s="8" t="s">
        <v>102</v>
      </c>
      <c r="B132" s="17" t="n">
        <f aca="false">COUNTIFS('90_Origen_MargenNivel'!$D$3:$D$44,$A132)</f>
        <v>8</v>
      </c>
      <c r="C132" s="9" t="n">
        <f aca="false">SUMIFS('90_Origen_MargenNivel'!$E$3:$E$44,'90_Origen_MargenNivel'!$D$3:$D$44,$A132)</f>
        <v>1601315.62</v>
      </c>
      <c r="D132" s="9" t="n">
        <f aca="false">SUMIFS('90_Origen_MargenNivel'!$F$3:$F$44,'90_Origen_MargenNivel'!$D$3:$D$44,$A132)</f>
        <v>1113638.42</v>
      </c>
      <c r="E132" s="10" t="n">
        <f aca="false">C132-D132</f>
        <v>487677.2</v>
      </c>
      <c r="F132" s="11" t="n">
        <f aca="false">IF(C132=0,"-",E132/C132)</f>
        <v>0.304547831738505</v>
      </c>
    </row>
    <row r="133" customFormat="false" ht="15" hidden="false" customHeight="false" outlineLevel="0" collapsed="false">
      <c r="A133" s="8" t="s">
        <v>100</v>
      </c>
      <c r="B133" s="17" t="n">
        <f aca="false">COUNTIFS('90_Origen_MargenNivel'!$D$3:$D$44,$A133)</f>
        <v>9</v>
      </c>
      <c r="C133" s="9" t="n">
        <f aca="false">SUMIFS('90_Origen_MargenNivel'!$E$3:$E$44,'90_Origen_MargenNivel'!$D$3:$D$44,$A133)</f>
        <v>612986.57</v>
      </c>
      <c r="D133" s="9" t="n">
        <f aca="false">SUMIFS('90_Origen_MargenNivel'!$F$3:$F$44,'90_Origen_MargenNivel'!$D$3:$D$44,$A133)</f>
        <v>467114.32</v>
      </c>
      <c r="E133" s="10" t="n">
        <f aca="false">C133-D133</f>
        <v>145872.25</v>
      </c>
      <c r="F133" s="11" t="n">
        <f aca="false">IF(C133=0,"-",E133/C133)</f>
        <v>0.237969732354821</v>
      </c>
    </row>
    <row r="134" customFormat="false" ht="15" hidden="false" customHeight="false" outlineLevel="0" collapsed="false">
      <c r="A134" s="8" t="s">
        <v>96</v>
      </c>
      <c r="B134" s="17" t="n">
        <f aca="false">COUNTIFS('90_Origen_MargenNivel'!$D$3:$D$44,$A134)</f>
        <v>8</v>
      </c>
      <c r="C134" s="9" t="n">
        <f aca="false">SUMIFS('90_Origen_MargenNivel'!$E$3:$E$44,'90_Origen_MargenNivel'!$D$3:$D$44,$A134)</f>
        <v>869797.79</v>
      </c>
      <c r="D134" s="9" t="n">
        <f aca="false">SUMIFS('90_Origen_MargenNivel'!$F$3:$F$44,'90_Origen_MargenNivel'!$D$3:$D$44,$A134)</f>
        <v>826223.19</v>
      </c>
      <c r="E134" s="10" t="n">
        <f aca="false">C134-D134</f>
        <v>43574.6000000001</v>
      </c>
      <c r="F134" s="11" t="n">
        <f aca="false">IF(C134=0,"-",E134/C134)</f>
        <v>0.0500973910269421</v>
      </c>
    </row>
    <row r="135" customFormat="false" ht="15" hidden="false" customHeight="false" outlineLevel="0" collapsed="false">
      <c r="A135" s="8" t="s">
        <v>98</v>
      </c>
      <c r="B135" s="17" t="n">
        <f aca="false">COUNTIFS('90_Origen_MargenNivel'!$D$3:$D$44,$A135)</f>
        <v>4</v>
      </c>
      <c r="C135" s="9" t="n">
        <f aca="false">SUMIFS('90_Origen_MargenNivel'!$E$3:$E$44,'90_Origen_MargenNivel'!$D$3:$D$44,$A135)</f>
        <v>437440.77</v>
      </c>
      <c r="D135" s="9" t="n">
        <f aca="false">SUMIFS('90_Origen_MargenNivel'!$F$3:$F$44,'90_Origen_MargenNivel'!$D$3:$D$44,$A135)</f>
        <v>427805.79</v>
      </c>
      <c r="E135" s="10" t="n">
        <f aca="false">C135-D135</f>
        <v>9634.98000000004</v>
      </c>
      <c r="F135" s="11" t="n">
        <f aca="false">IF(C135=0,"-",E135/C135)</f>
        <v>0.0220257933434052</v>
      </c>
    </row>
    <row r="136" customFormat="false" ht="15" hidden="false" customHeight="false" outlineLevel="0" collapsed="false">
      <c r="A136" s="13" t="s">
        <v>112</v>
      </c>
      <c r="B136" s="13" t="n">
        <f aca="false">SUM(B128:B135)</f>
        <v>42</v>
      </c>
      <c r="C136" s="15" t="n">
        <f aca="false">SUM(C128:C135)</f>
        <v>5474473.07</v>
      </c>
      <c r="D136" s="15" t="n">
        <f aca="false">SUM(D128:D135)</f>
        <v>3443056.47</v>
      </c>
      <c r="E136" s="15" t="n">
        <f aca="false">SUM(E128:E135)</f>
        <v>2031416.6</v>
      </c>
      <c r="F136" s="16" t="n">
        <f aca="false">IF(C136=0,"-",E136/C136)</f>
        <v>0.37107070836317</v>
      </c>
    </row>
    <row r="138" customFormat="false" ht="90.25" hidden="false" customHeight="false" outlineLevel="0" collapsed="false">
      <c r="A138" s="3" t="s">
        <v>113</v>
      </c>
    </row>
    <row r="139" customFormat="false" ht="15" hidden="false" customHeight="false" outlineLevel="0" collapsed="false">
      <c r="A139" s="7" t="s">
        <v>114</v>
      </c>
      <c r="B139" s="7" t="s">
        <v>109</v>
      </c>
      <c r="C139" s="7" t="s">
        <v>110</v>
      </c>
      <c r="D139" s="7" t="s">
        <v>111</v>
      </c>
      <c r="E139" s="7" t="s">
        <v>47</v>
      </c>
    </row>
    <row r="140" customFormat="false" ht="15" hidden="false" customHeight="false" outlineLevel="0" collapsed="false">
      <c r="A140" s="8" t="s">
        <v>62</v>
      </c>
      <c r="B140" s="9" t="n">
        <f aca="false">SUMIFS('90_Origen_MargenNivel'!$E$3:$E$44,'90_Origen_MargenNivel'!$B$3:$B$44,$A140)</f>
        <v>1348473.97</v>
      </c>
      <c r="C140" s="9" t="n">
        <f aca="false">SUMIFS('90_Origen_MargenNivel'!$F$3:$F$44,'90_Origen_MargenNivel'!$B$3:$B$44,$A140)</f>
        <v>1133866.19</v>
      </c>
      <c r="D140" s="10" t="n">
        <f aca="false">B140-C140</f>
        <v>214607.78</v>
      </c>
      <c r="E140" s="11" t="n">
        <f aca="false">IF(B140=0,"-",D140/B140)</f>
        <v>0.159148626354278</v>
      </c>
    </row>
    <row r="141" customFormat="false" ht="15" hidden="false" customHeight="false" outlineLevel="0" collapsed="false">
      <c r="A141" s="8" t="s">
        <v>48</v>
      </c>
      <c r="B141" s="9" t="n">
        <f aca="false">SUMIFS('90_Origen_MargenNivel'!$E$3:$E$44,'90_Origen_MargenNivel'!$B$3:$B$44,$A141)</f>
        <v>1795848.77</v>
      </c>
      <c r="C141" s="9" t="n">
        <f aca="false">SUMIFS('90_Origen_MargenNivel'!$F$3:$F$44,'90_Origen_MargenNivel'!$B$3:$B$44,$A141)</f>
        <v>1127397.44</v>
      </c>
      <c r="D141" s="10" t="n">
        <f aca="false">B141-C141</f>
        <v>668451.33</v>
      </c>
      <c r="E141" s="11" t="n">
        <f aca="false">IF(B141=0,"-",D141/B141)</f>
        <v>0.372220278882392</v>
      </c>
    </row>
    <row r="142" customFormat="false" ht="15" hidden="false" customHeight="false" outlineLevel="0" collapsed="false">
      <c r="A142" s="8" t="s">
        <v>61</v>
      </c>
      <c r="B142" s="9" t="n">
        <f aca="false">SUMIFS('90_Origen_MargenNivel'!$E$3:$E$44,'90_Origen_MargenNivel'!$B$3:$B$44,$A142)</f>
        <v>1878464.93</v>
      </c>
      <c r="C142" s="9" t="n">
        <f aca="false">SUMIFS('90_Origen_MargenNivel'!$F$3:$F$44,'90_Origen_MargenNivel'!$B$3:$B$44,$A142)</f>
        <v>951511.39</v>
      </c>
      <c r="D142" s="10" t="n">
        <f aca="false">B142-C142</f>
        <v>926953.54</v>
      </c>
      <c r="E142" s="11" t="n">
        <f aca="false">IF(B142=0,"-",D142/B142)</f>
        <v>0.493463319541451</v>
      </c>
    </row>
    <row r="143" customFormat="false" ht="15" hidden="false" customHeight="false" outlineLevel="0" collapsed="false">
      <c r="A143" s="8" t="s">
        <v>63</v>
      </c>
      <c r="B143" s="9" t="n">
        <f aca="false">SUMIFS('90_Origen_MargenNivel'!$E$3:$E$44,'90_Origen_MargenNivel'!$B$3:$B$44,$A143)</f>
        <v>451685.4</v>
      </c>
      <c r="C143" s="9" t="n">
        <f aca="false">SUMIFS('90_Origen_MargenNivel'!$F$3:$F$44,'90_Origen_MargenNivel'!$B$3:$B$44,$A143)</f>
        <v>230281.45</v>
      </c>
      <c r="D143" s="10" t="n">
        <f aca="false">B143-C143</f>
        <v>221403.95</v>
      </c>
      <c r="E143" s="11" t="n">
        <f aca="false">IF(B143=0,"-",D143/B143)</f>
        <v>0.49017291681334</v>
      </c>
    </row>
    <row r="145" customFormat="false" ht="39.55" hidden="false" customHeight="false" outlineLevel="0" collapsed="false">
      <c r="A145" s="3" t="s">
        <v>115</v>
      </c>
    </row>
    <row r="146" customFormat="false" ht="42" hidden="false" customHeight="true" outlineLevel="0" collapsed="false">
      <c r="A146" s="23" t="s">
        <v>116</v>
      </c>
      <c r="B146" s="23"/>
      <c r="C146" s="23"/>
      <c r="D146" s="23"/>
      <c r="E146" s="23"/>
      <c r="F146" s="23"/>
    </row>
    <row r="147" customFormat="false" ht="42" hidden="false" customHeight="true" outlineLevel="0" collapsed="false">
      <c r="A147" s="23" t="s">
        <v>117</v>
      </c>
      <c r="B147" s="23"/>
      <c r="C147" s="23"/>
      <c r="D147" s="23"/>
      <c r="E147" s="23"/>
      <c r="F147" s="23"/>
    </row>
    <row r="148" customFormat="false" ht="42" hidden="false" customHeight="true" outlineLevel="0" collapsed="false">
      <c r="A148" s="23" t="s">
        <v>118</v>
      </c>
      <c r="B148" s="23"/>
      <c r="C148" s="23"/>
      <c r="D148" s="23"/>
      <c r="E148" s="23"/>
      <c r="F148" s="23"/>
    </row>
    <row r="149" customFormat="false" ht="42" hidden="false" customHeight="true" outlineLevel="0" collapsed="false">
      <c r="A149" s="23" t="s">
        <v>119</v>
      </c>
      <c r="B149" s="23"/>
      <c r="C149" s="23"/>
      <c r="D149" s="23"/>
      <c r="E149" s="23"/>
      <c r="F149" s="23"/>
    </row>
    <row r="150" customFormat="false" ht="55.5" hidden="false" customHeight="true" outlineLevel="0" collapsed="false">
      <c r="A150" s="23" t="s">
        <v>120</v>
      </c>
      <c r="B150" s="23"/>
      <c r="C150" s="23"/>
      <c r="D150" s="23"/>
      <c r="E150" s="23"/>
      <c r="F150" s="23"/>
    </row>
  </sheetData>
  <mergeCells count="5">
    <mergeCell ref="A146:F146"/>
    <mergeCell ref="A147:F147"/>
    <mergeCell ref="A148:F148"/>
    <mergeCell ref="A149:F149"/>
    <mergeCell ref="A150:F1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3"/>
    <col collapsed="false" customWidth="true" hidden="false" outlineLevel="0" max="3" min="3" style="0" width="11"/>
    <col collapsed="false" customWidth="true" hidden="false" outlineLevel="0" max="5" min="4" style="0" width="16"/>
    <col collapsed="false" customWidth="true" hidden="false" outlineLevel="0" max="6" min="6" style="0" width="18"/>
    <col collapsed="false" customWidth="true" hidden="false" outlineLevel="0" max="7" min="7" style="0" width="16"/>
    <col collapsed="false" customWidth="true" hidden="false" outlineLevel="0" max="8" min="8" style="0" width="10"/>
  </cols>
  <sheetData>
    <row r="1" customFormat="false" ht="25.5" hidden="false" customHeight="true" outlineLevel="0" collapsed="false">
      <c r="A1" s="5" t="s">
        <v>121</v>
      </c>
    </row>
    <row r="2" customFormat="false" ht="79.85" hidden="false" customHeight="false" outlineLevel="0" collapsed="false">
      <c r="A2" s="6" t="s">
        <v>122</v>
      </c>
    </row>
    <row r="4" customFormat="false" ht="64.9" hidden="false" customHeight="false" outlineLevel="0" collapsed="false">
      <c r="A4" s="3" t="s">
        <v>123</v>
      </c>
    </row>
    <row r="5" customFormat="false" ht="15" hidden="false" customHeight="false" outlineLevel="0" collapsed="false">
      <c r="A5" s="7" t="s">
        <v>42</v>
      </c>
      <c r="B5" s="7" t="s">
        <v>124</v>
      </c>
      <c r="C5" s="7" t="s">
        <v>125</v>
      </c>
      <c r="D5" s="7" t="s">
        <v>126</v>
      </c>
      <c r="E5" s="7" t="s">
        <v>127</v>
      </c>
      <c r="F5" s="7" t="s">
        <v>128</v>
      </c>
      <c r="G5" s="7" t="s">
        <v>129</v>
      </c>
      <c r="H5" s="7" t="s">
        <v>130</v>
      </c>
    </row>
    <row r="6" customFormat="false" ht="15" hidden="false" customHeight="false" outlineLevel="0" collapsed="false">
      <c r="A6" s="8" t="s">
        <v>48</v>
      </c>
      <c r="B6" s="8" t="s">
        <v>131</v>
      </c>
      <c r="C6" s="9" t="n">
        <f aca="false">SUMIFS('90_Origen_Ledger_EdP'!$K$3:$K$702,'90_Origen_Ledger_EdP'!$F$3:$F$702,$A6,'90_Origen_Ledger_EdP'!$E$3:$E$702,$B6,'90_Origen_Ledger_EdP'!$G$3:$G$702,2023)</f>
        <v>2283982.5956875</v>
      </c>
      <c r="D6" s="9" t="n">
        <f aca="false">SUMIFS('90_Origen_Ledger_EdP'!$K$3:$K$702,'90_Origen_Ledger_EdP'!$F$3:$F$702,$A6,'90_Origen_Ledger_EdP'!$E$3:$E$702,$B6,'90_Origen_Ledger_EdP'!$G$3:$G$702,2024)</f>
        <v>1652260.53</v>
      </c>
      <c r="E6" s="9" t="n">
        <f aca="false">SUMIFS('90_Origen_Ledger_EdP'!$K$3:$K$702,'90_Origen_Ledger_EdP'!$F$3:$F$702,$A6,'90_Origen_Ledger_EdP'!$E$3:$E$702,$B6,'90_Origen_Ledger_EdP'!$G$3:$G$702,2025)</f>
        <v>423425</v>
      </c>
      <c r="F6" s="9" t="n">
        <f aca="false">SUMIFS('90_Origen_Ledger_EdP'!$K$3:$K$702,'90_Origen_Ledger_EdP'!$F$3:$F$702,$A6,'90_Origen_Ledger_EdP'!$E$3:$E$702,$B6,'90_Origen_Ledger_EdP'!$G$3:$G$702,2026)</f>
        <v>0</v>
      </c>
      <c r="G6" s="10" t="n">
        <f aca="false">SUM(C6:F6)</f>
        <v>4359668.1256875</v>
      </c>
      <c r="H6" s="24" t="n">
        <f aca="false">IF($G$17=0,"-",G6/$G$17)</f>
        <v>0.362975030815547</v>
      </c>
    </row>
    <row r="7" customFormat="false" ht="15" hidden="false" customHeight="false" outlineLevel="0" collapsed="false">
      <c r="A7" s="8" t="s">
        <v>48</v>
      </c>
      <c r="B7" s="8" t="s">
        <v>132</v>
      </c>
      <c r="C7" s="9" t="n">
        <f aca="false">SUMIFS('90_Origen_Ledger_EdP'!$K$3:$K$702,'90_Origen_Ledger_EdP'!$F$3:$F$702,$A7,'90_Origen_Ledger_EdP'!$E$3:$E$702,$B7,'90_Origen_Ledger_EdP'!$G$3:$G$702,2023)</f>
        <v>765922.76125</v>
      </c>
      <c r="D7" s="9" t="n">
        <f aca="false">SUMIFS('90_Origen_Ledger_EdP'!$K$3:$K$702,'90_Origen_Ledger_EdP'!$F$3:$F$702,$A7,'90_Origen_Ledger_EdP'!$E$3:$E$702,$B7,'90_Origen_Ledger_EdP'!$G$3:$G$702,2024)</f>
        <v>390618</v>
      </c>
      <c r="E7" s="9" t="n">
        <f aca="false">SUMIFS('90_Origen_Ledger_EdP'!$K$3:$K$702,'90_Origen_Ledger_EdP'!$F$3:$F$702,$A7,'90_Origen_Ledger_EdP'!$E$3:$E$702,$B7,'90_Origen_Ledger_EdP'!$G$3:$G$702,2025)</f>
        <v>375534.67</v>
      </c>
      <c r="F7" s="9" t="n">
        <f aca="false">SUMIFS('90_Origen_Ledger_EdP'!$K$3:$K$702,'90_Origen_Ledger_EdP'!$F$3:$F$702,$A7,'90_Origen_Ledger_EdP'!$E$3:$E$702,$B7,'90_Origen_Ledger_EdP'!$G$3:$G$702,2026)</f>
        <v>23913</v>
      </c>
      <c r="G7" s="10" t="n">
        <f aca="false">SUM(C7:F7)</f>
        <v>1555988.43125</v>
      </c>
      <c r="H7" s="24" t="n">
        <f aca="false">IF($G$17=0,"-",G7/$G$17)</f>
        <v>0.129547693195692</v>
      </c>
    </row>
    <row r="8" customFormat="false" ht="15" hidden="false" customHeight="false" outlineLevel="0" collapsed="false">
      <c r="A8" s="8" t="s">
        <v>48</v>
      </c>
      <c r="B8" s="8" t="s">
        <v>133</v>
      </c>
      <c r="C8" s="9" t="n">
        <f aca="false">SUMIFS('90_Origen_Ledger_EdP'!$K$3:$K$702,'90_Origen_Ledger_EdP'!$F$3:$F$702,$A8,'90_Origen_Ledger_EdP'!$E$3:$E$702,$B8,'90_Origen_Ledger_EdP'!$G$3:$G$702,2023)</f>
        <v>50688.3225</v>
      </c>
      <c r="D8" s="9" t="n">
        <f aca="false">SUMIFS('90_Origen_Ledger_EdP'!$K$3:$K$702,'90_Origen_Ledger_EdP'!$F$3:$F$702,$A8,'90_Origen_Ledger_EdP'!$E$3:$E$702,$B8,'90_Origen_Ledger_EdP'!$G$3:$G$702,2024)</f>
        <v>116314</v>
      </c>
      <c r="E8" s="9" t="n">
        <f aca="false">SUMIFS('90_Origen_Ledger_EdP'!$K$3:$K$702,'90_Origen_Ledger_EdP'!$F$3:$F$702,$A8,'90_Origen_Ledger_EdP'!$E$3:$E$702,$B8,'90_Origen_Ledger_EdP'!$G$3:$G$702,2025)</f>
        <v>1153726.44</v>
      </c>
      <c r="F8" s="9" t="n">
        <f aca="false">SUMIFS('90_Origen_Ledger_EdP'!$K$3:$K$702,'90_Origen_Ledger_EdP'!$F$3:$F$702,$A8,'90_Origen_Ledger_EdP'!$E$3:$E$702,$B8,'90_Origen_Ledger_EdP'!$G$3:$G$702,2026)</f>
        <v>0</v>
      </c>
      <c r="G8" s="10" t="n">
        <f aca="false">SUM(C8:F8)</f>
        <v>1320728.7625</v>
      </c>
      <c r="H8" s="24" t="n">
        <f aca="false">IF($G$17=0,"-",G8/$G$17)</f>
        <v>0.109960563383897</v>
      </c>
    </row>
    <row r="9" customFormat="false" ht="15" hidden="false" customHeight="false" outlineLevel="0" collapsed="false">
      <c r="A9" s="8" t="s">
        <v>48</v>
      </c>
      <c r="B9" s="8" t="s">
        <v>134</v>
      </c>
      <c r="C9" s="9" t="n">
        <f aca="false">SUMIFS('90_Origen_Ledger_EdP'!$K$3:$K$702,'90_Origen_Ledger_EdP'!$F$3:$F$702,$A9,'90_Origen_Ledger_EdP'!$E$3:$E$702,$B9,'90_Origen_Ledger_EdP'!$G$3:$G$702,2023)</f>
        <v>349598</v>
      </c>
      <c r="D9" s="9" t="n">
        <f aca="false">SUMIFS('90_Origen_Ledger_EdP'!$K$3:$K$702,'90_Origen_Ledger_EdP'!$F$3:$F$702,$A9,'90_Origen_Ledger_EdP'!$E$3:$E$702,$B9,'90_Origen_Ledger_EdP'!$G$3:$G$702,2024)</f>
        <v>289901</v>
      </c>
      <c r="E9" s="9" t="n">
        <f aca="false">SUMIFS('90_Origen_Ledger_EdP'!$K$3:$K$702,'90_Origen_Ledger_EdP'!$F$3:$F$702,$A9,'90_Origen_Ledger_EdP'!$E$3:$E$702,$B9,'90_Origen_Ledger_EdP'!$G$3:$G$702,2025)</f>
        <v>125926.752</v>
      </c>
      <c r="F9" s="9" t="n">
        <f aca="false">SUMIFS('90_Origen_Ledger_EdP'!$K$3:$K$702,'90_Origen_Ledger_EdP'!$F$3:$F$702,$A9,'90_Origen_Ledger_EdP'!$E$3:$E$702,$B9,'90_Origen_Ledger_EdP'!$G$3:$G$702,2026)</f>
        <v>292487</v>
      </c>
      <c r="G9" s="10" t="n">
        <f aca="false">SUM(C9:F9)</f>
        <v>1057912.752</v>
      </c>
      <c r="H9" s="24" t="n">
        <f aca="false">IF($G$17=0,"-",G9/$G$17)</f>
        <v>0.0880791616900439</v>
      </c>
    </row>
    <row r="10" customFormat="false" ht="15" hidden="false" customHeight="false" outlineLevel="0" collapsed="false">
      <c r="A10" s="8" t="s">
        <v>48</v>
      </c>
      <c r="B10" s="8" t="s">
        <v>135</v>
      </c>
      <c r="C10" s="9" t="n">
        <f aca="false">SUMIFS('90_Origen_Ledger_EdP'!$K$3:$K$702,'90_Origen_Ledger_EdP'!$F$3:$F$702,$A10,'90_Origen_Ledger_EdP'!$E$3:$E$702,$B10,'90_Origen_Ledger_EdP'!$G$3:$G$702,2023)</f>
        <v>390540.16</v>
      </c>
      <c r="D10" s="9" t="n">
        <f aca="false">SUMIFS('90_Origen_Ledger_EdP'!$K$3:$K$702,'90_Origen_Ledger_EdP'!$F$3:$F$702,$A10,'90_Origen_Ledger_EdP'!$E$3:$E$702,$B10,'90_Origen_Ledger_EdP'!$G$3:$G$702,2024)</f>
        <v>313105.94</v>
      </c>
      <c r="E10" s="9" t="n">
        <f aca="false">SUMIFS('90_Origen_Ledger_EdP'!$K$3:$K$702,'90_Origen_Ledger_EdP'!$F$3:$F$702,$A10,'90_Origen_Ledger_EdP'!$E$3:$E$702,$B10,'90_Origen_Ledger_EdP'!$G$3:$G$702,2025)</f>
        <v>299270</v>
      </c>
      <c r="F10" s="9" t="n">
        <f aca="false">SUMIFS('90_Origen_Ledger_EdP'!$K$3:$K$702,'90_Origen_Ledger_EdP'!$F$3:$F$702,$A10,'90_Origen_Ledger_EdP'!$E$3:$E$702,$B10,'90_Origen_Ledger_EdP'!$G$3:$G$702,2026)</f>
        <v>0</v>
      </c>
      <c r="G10" s="10" t="n">
        <f aca="false">SUM(C10:F10)</f>
        <v>1002916.1</v>
      </c>
      <c r="H10" s="24" t="n">
        <f aca="false">IF($G$17=0,"-",G10/$G$17)</f>
        <v>0.0835002784175232</v>
      </c>
    </row>
    <row r="11" customFormat="false" ht="15" hidden="false" customHeight="false" outlineLevel="0" collapsed="false">
      <c r="A11" s="8" t="s">
        <v>48</v>
      </c>
      <c r="B11" s="8" t="s">
        <v>136</v>
      </c>
      <c r="C11" s="9" t="n">
        <f aca="false">SUMIFS('90_Origen_Ledger_EdP'!$K$3:$K$702,'90_Origen_Ledger_EdP'!$F$3:$F$702,$A11,'90_Origen_Ledger_EdP'!$E$3:$E$702,$B11,'90_Origen_Ledger_EdP'!$G$3:$G$702,2023)</f>
        <v>258540.53</v>
      </c>
      <c r="D11" s="9" t="n">
        <f aca="false">SUMIFS('90_Origen_Ledger_EdP'!$K$3:$K$702,'90_Origen_Ledger_EdP'!$F$3:$F$702,$A11,'90_Origen_Ledger_EdP'!$E$3:$E$702,$B11,'90_Origen_Ledger_EdP'!$G$3:$G$702,2024)</f>
        <v>0</v>
      </c>
      <c r="E11" s="9" t="n">
        <f aca="false">SUMIFS('90_Origen_Ledger_EdP'!$K$3:$K$702,'90_Origen_Ledger_EdP'!$F$3:$F$702,$A11,'90_Origen_Ledger_EdP'!$E$3:$E$702,$B11,'90_Origen_Ledger_EdP'!$G$3:$G$702,2025)</f>
        <v>198640</v>
      </c>
      <c r="F11" s="9" t="n">
        <f aca="false">SUMIFS('90_Origen_Ledger_EdP'!$K$3:$K$702,'90_Origen_Ledger_EdP'!$F$3:$F$702,$A11,'90_Origen_Ledger_EdP'!$E$3:$E$702,$B11,'90_Origen_Ledger_EdP'!$G$3:$G$702,2026)</f>
        <v>186828</v>
      </c>
      <c r="G11" s="10" t="n">
        <f aca="false">SUM(C11:F11)</f>
        <v>644008.53</v>
      </c>
      <c r="H11" s="24" t="n">
        <f aca="false">IF($G$17=0,"-",G11/$G$17)</f>
        <v>0.0536185345496596</v>
      </c>
    </row>
    <row r="12" customFormat="false" ht="15" hidden="false" customHeight="false" outlineLevel="0" collapsed="false">
      <c r="A12" s="8" t="s">
        <v>48</v>
      </c>
      <c r="B12" s="8" t="s">
        <v>137</v>
      </c>
      <c r="C12" s="9" t="n">
        <f aca="false">SUMIFS('90_Origen_Ledger_EdP'!$K$3:$K$702,'90_Origen_Ledger_EdP'!$F$3:$F$702,$A12,'90_Origen_Ledger_EdP'!$E$3:$E$702,$B12,'90_Origen_Ledger_EdP'!$G$3:$G$702,2023)</f>
        <v>0</v>
      </c>
      <c r="D12" s="9" t="n">
        <f aca="false">SUMIFS('90_Origen_Ledger_EdP'!$K$3:$K$702,'90_Origen_Ledger_EdP'!$F$3:$F$702,$A12,'90_Origen_Ledger_EdP'!$E$3:$E$702,$B12,'90_Origen_Ledger_EdP'!$G$3:$G$702,2024)</f>
        <v>354849</v>
      </c>
      <c r="E12" s="9" t="n">
        <f aca="false">SUMIFS('90_Origen_Ledger_EdP'!$K$3:$K$702,'90_Origen_Ledger_EdP'!$F$3:$F$702,$A12,'90_Origen_Ledger_EdP'!$E$3:$E$702,$B12,'90_Origen_Ledger_EdP'!$G$3:$G$702,2025)</f>
        <v>184058</v>
      </c>
      <c r="F12" s="9" t="n">
        <f aca="false">SUMIFS('90_Origen_Ledger_EdP'!$K$3:$K$702,'90_Origen_Ledger_EdP'!$F$3:$F$702,$A12,'90_Origen_Ledger_EdP'!$E$3:$E$702,$B12,'90_Origen_Ledger_EdP'!$G$3:$G$702,2026)</f>
        <v>0</v>
      </c>
      <c r="G12" s="10" t="n">
        <f aca="false">SUM(C12:F12)</f>
        <v>538907</v>
      </c>
      <c r="H12" s="24" t="n">
        <f aca="false">IF($G$17=0,"-",G12/$G$17)</f>
        <v>0.0448680448356071</v>
      </c>
    </row>
    <row r="13" customFormat="false" ht="15" hidden="false" customHeight="false" outlineLevel="0" collapsed="false">
      <c r="A13" s="8" t="s">
        <v>48</v>
      </c>
      <c r="B13" s="8" t="s">
        <v>138</v>
      </c>
      <c r="C13" s="9" t="n">
        <f aca="false">SUMIFS('90_Origen_Ledger_EdP'!$K$3:$K$702,'90_Origen_Ledger_EdP'!$F$3:$F$702,$A13,'90_Origen_Ledger_EdP'!$E$3:$E$702,$B13,'90_Origen_Ledger_EdP'!$G$3:$G$702,2023)</f>
        <v>0</v>
      </c>
      <c r="D13" s="9" t="n">
        <f aca="false">SUMIFS('90_Origen_Ledger_EdP'!$K$3:$K$702,'90_Origen_Ledger_EdP'!$F$3:$F$702,$A13,'90_Origen_Ledger_EdP'!$E$3:$E$702,$B13,'90_Origen_Ledger_EdP'!$G$3:$G$702,2024)</f>
        <v>0</v>
      </c>
      <c r="E13" s="9" t="n">
        <f aca="false">SUMIFS('90_Origen_Ledger_EdP'!$K$3:$K$702,'90_Origen_Ledger_EdP'!$F$3:$F$702,$A13,'90_Origen_Ledger_EdP'!$E$3:$E$702,$B13,'90_Origen_Ledger_EdP'!$G$3:$G$702,2025)</f>
        <v>340671.33</v>
      </c>
      <c r="F13" s="9" t="n">
        <f aca="false">SUMIFS('90_Origen_Ledger_EdP'!$K$3:$K$702,'90_Origen_Ledger_EdP'!$F$3:$F$702,$A13,'90_Origen_Ledger_EdP'!$E$3:$E$702,$B13,'90_Origen_Ledger_EdP'!$G$3:$G$702,2026)</f>
        <v>0</v>
      </c>
      <c r="G13" s="10" t="n">
        <f aca="false">SUM(C13:F13)</f>
        <v>340671.33</v>
      </c>
      <c r="H13" s="24" t="n">
        <f aca="false">IF($G$17=0,"-",G13/$G$17)</f>
        <v>0.02836344027568</v>
      </c>
    </row>
    <row r="14" customFormat="false" ht="15" hidden="false" customHeight="false" outlineLevel="0" collapsed="false">
      <c r="A14" s="8" t="s">
        <v>48</v>
      </c>
      <c r="B14" s="8" t="s">
        <v>139</v>
      </c>
      <c r="C14" s="9" t="n">
        <f aca="false">SUMIFS('90_Origen_Ledger_EdP'!$K$3:$K$702,'90_Origen_Ledger_EdP'!$F$3:$F$702,$A14,'90_Origen_Ledger_EdP'!$E$3:$E$702,$B14,'90_Origen_Ledger_EdP'!$G$3:$G$702,2023)</f>
        <v>0</v>
      </c>
      <c r="D14" s="9" t="n">
        <f aca="false">SUMIFS('90_Origen_Ledger_EdP'!$K$3:$K$702,'90_Origen_Ledger_EdP'!$F$3:$F$702,$A14,'90_Origen_Ledger_EdP'!$E$3:$E$702,$B14,'90_Origen_Ledger_EdP'!$G$3:$G$702,2024)</f>
        <v>215280</v>
      </c>
      <c r="E14" s="9" t="n">
        <f aca="false">SUMIFS('90_Origen_Ledger_EdP'!$K$3:$K$702,'90_Origen_Ledger_EdP'!$F$3:$F$702,$A14,'90_Origen_Ledger_EdP'!$E$3:$E$702,$B14,'90_Origen_Ledger_EdP'!$G$3:$G$702,2025)</f>
        <v>23720</v>
      </c>
      <c r="F14" s="9" t="n">
        <f aca="false">SUMIFS('90_Origen_Ledger_EdP'!$K$3:$K$702,'90_Origen_Ledger_EdP'!$F$3:$F$702,$A14,'90_Origen_Ledger_EdP'!$E$3:$E$702,$B14,'90_Origen_Ledger_EdP'!$G$3:$G$702,2026)</f>
        <v>0</v>
      </c>
      <c r="G14" s="10" t="n">
        <f aca="false">SUM(C14:F14)</f>
        <v>239000</v>
      </c>
      <c r="H14" s="24" t="n">
        <f aca="false">IF($G$17=0,"-",G14/$G$17)</f>
        <v>0.019898540408104</v>
      </c>
    </row>
    <row r="15" customFormat="false" ht="15" hidden="false" customHeight="false" outlineLevel="0" collapsed="false">
      <c r="A15" s="8" t="s">
        <v>48</v>
      </c>
      <c r="B15" s="8" t="s">
        <v>140</v>
      </c>
      <c r="C15" s="9" t="n">
        <f aca="false">SUMIFS('90_Origen_Ledger_EdP'!$K$3:$K$702,'90_Origen_Ledger_EdP'!$F$3:$F$702,$A15,'90_Origen_Ledger_EdP'!$E$3:$E$702,$B15,'90_Origen_Ledger_EdP'!$G$3:$G$702,2023)</f>
        <v>150618.1775</v>
      </c>
      <c r="D15" s="9" t="n">
        <f aca="false">SUMIFS('90_Origen_Ledger_EdP'!$K$3:$K$702,'90_Origen_Ledger_EdP'!$F$3:$F$702,$A15,'90_Origen_Ledger_EdP'!$E$3:$E$702,$B15,'90_Origen_Ledger_EdP'!$G$3:$G$702,2024)</f>
        <v>0</v>
      </c>
      <c r="E15" s="9" t="n">
        <f aca="false">SUMIFS('90_Origen_Ledger_EdP'!$K$3:$K$702,'90_Origen_Ledger_EdP'!$F$3:$F$702,$A15,'90_Origen_Ledger_EdP'!$E$3:$E$702,$B15,'90_Origen_Ledger_EdP'!$G$3:$G$702,2025)</f>
        <v>0</v>
      </c>
      <c r="F15" s="9" t="n">
        <f aca="false">SUMIFS('90_Origen_Ledger_EdP'!$K$3:$K$702,'90_Origen_Ledger_EdP'!$F$3:$F$702,$A15,'90_Origen_Ledger_EdP'!$E$3:$E$702,$B15,'90_Origen_Ledger_EdP'!$G$3:$G$702,2026)</f>
        <v>0</v>
      </c>
      <c r="G15" s="10" t="n">
        <f aca="false">SUM(C15:F15)</f>
        <v>150618.1775</v>
      </c>
      <c r="H15" s="24" t="n">
        <f aca="false">IF($G$17=0,"-",G15/$G$17)</f>
        <v>0.0125400915948901</v>
      </c>
    </row>
    <row r="16" customFormat="false" ht="15" hidden="false" customHeight="false" outlineLevel="0" collapsed="false">
      <c r="A16" s="8" t="s">
        <v>48</v>
      </c>
      <c r="B16" s="25" t="s">
        <v>141</v>
      </c>
      <c r="C16" s="9" t="n">
        <f aca="false">SUMIFS('90_Origen_Ledger_EdP'!$K$3:$K$702,'90_Origen_Ledger_EdP'!$F$3:$F$702,$A16,'90_Origen_Ledger_EdP'!$G$3:$G$702,2023)-SUM(C6:C15)</f>
        <v>42285</v>
      </c>
      <c r="D16" s="9" t="n">
        <f aca="false">SUMIFS('90_Origen_Ledger_EdP'!$K$3:$K$702,'90_Origen_Ledger_EdP'!$F$3:$F$702,$A16,'90_Origen_Ledger_EdP'!$G$3:$G$702,2024)-SUM(D6:D15)</f>
        <v>190031</v>
      </c>
      <c r="E16" s="9" t="n">
        <f aca="false">SUMIFS('90_Origen_Ledger_EdP'!$K$3:$K$702,'90_Origen_Ledger_EdP'!$F$3:$F$702,$A16,'90_Origen_Ledger_EdP'!$G$3:$G$702,2025)-SUM(E6:E15)</f>
        <v>128461</v>
      </c>
      <c r="F16" s="9" t="n">
        <f aca="false">SUMIFS('90_Origen_Ledger_EdP'!$K$3:$K$702,'90_Origen_Ledger_EdP'!$F$3:$F$702,$A16,'90_Origen_Ledger_EdP'!$G$3:$G$702,2026)-SUM(F6:F15)</f>
        <v>439735</v>
      </c>
      <c r="G16" s="10" t="n">
        <f aca="false">SUM(C16:F16)</f>
        <v>800512</v>
      </c>
      <c r="H16" s="24" t="n">
        <f aca="false">IF($G$17=0,"-",G16/$G$17)</f>
        <v>0.0666486208333562</v>
      </c>
    </row>
    <row r="17" customFormat="false" ht="15" hidden="false" customHeight="false" outlineLevel="0" collapsed="false">
      <c r="A17" s="18" t="s">
        <v>48</v>
      </c>
      <c r="B17" s="18" t="s">
        <v>142</v>
      </c>
      <c r="C17" s="26" t="n">
        <f aca="false">SUM(C6:C16)</f>
        <v>4292175.5469375</v>
      </c>
      <c r="D17" s="26" t="n">
        <f aca="false">SUM(D6:D16)</f>
        <v>3522359.47</v>
      </c>
      <c r="E17" s="26" t="n">
        <f aca="false">SUM(E6:E16)</f>
        <v>3253433.192</v>
      </c>
      <c r="F17" s="26" t="n">
        <f aca="false">SUM(F6:F16)</f>
        <v>942963</v>
      </c>
      <c r="G17" s="26" t="n">
        <f aca="false">SUM(C17:F17)</f>
        <v>12010931.2089375</v>
      </c>
      <c r="H17" s="27" t="n">
        <v>1</v>
      </c>
    </row>
    <row r="18" customFormat="false" ht="15" hidden="false" customHeight="false" outlineLevel="0" collapsed="false">
      <c r="A18" s="8" t="s">
        <v>61</v>
      </c>
      <c r="B18" s="8" t="s">
        <v>143</v>
      </c>
      <c r="C18" s="9" t="n">
        <f aca="false">SUMIFS('90_Origen_Ledger_EdP'!$K$3:$K$702,'90_Origen_Ledger_EdP'!$F$3:$F$702,$A18,'90_Origen_Ledger_EdP'!$E$3:$E$702,$B18,'90_Origen_Ledger_EdP'!$G$3:$G$702,2023)</f>
        <v>933597.597532</v>
      </c>
      <c r="D18" s="9" t="n">
        <f aca="false">SUMIFS('90_Origen_Ledger_EdP'!$K$3:$K$702,'90_Origen_Ledger_EdP'!$F$3:$F$702,$A18,'90_Origen_Ledger_EdP'!$E$3:$E$702,$B18,'90_Origen_Ledger_EdP'!$G$3:$G$702,2024)</f>
        <v>405659.87</v>
      </c>
      <c r="E18" s="9" t="n">
        <f aca="false">SUMIFS('90_Origen_Ledger_EdP'!$K$3:$K$702,'90_Origen_Ledger_EdP'!$F$3:$F$702,$A18,'90_Origen_Ledger_EdP'!$E$3:$E$702,$B18,'90_Origen_Ledger_EdP'!$G$3:$G$702,2025)</f>
        <v>356402</v>
      </c>
      <c r="F18" s="9" t="n">
        <f aca="false">SUMIFS('90_Origen_Ledger_EdP'!$K$3:$K$702,'90_Origen_Ledger_EdP'!$F$3:$F$702,$A18,'90_Origen_Ledger_EdP'!$E$3:$E$702,$B18,'90_Origen_Ledger_EdP'!$G$3:$G$702,2026)</f>
        <v>50798</v>
      </c>
      <c r="G18" s="10" t="n">
        <f aca="false">SUM(C18:F18)</f>
        <v>1746457.467532</v>
      </c>
      <c r="H18" s="24" t="n">
        <f aca="false">IF($G$29=0,"-",G18/$G$29)</f>
        <v>0.248325410941444</v>
      </c>
    </row>
    <row r="19" customFormat="false" ht="15" hidden="false" customHeight="false" outlineLevel="0" collapsed="false">
      <c r="A19" s="8" t="s">
        <v>61</v>
      </c>
      <c r="B19" s="8" t="s">
        <v>144</v>
      </c>
      <c r="C19" s="9" t="n">
        <f aca="false">SUMIFS('90_Origen_Ledger_EdP'!$K$3:$K$702,'90_Origen_Ledger_EdP'!$F$3:$F$702,$A19,'90_Origen_Ledger_EdP'!$E$3:$E$702,$B19,'90_Origen_Ledger_EdP'!$G$3:$G$702,2023)</f>
        <v>221948.278397792</v>
      </c>
      <c r="D19" s="9" t="n">
        <f aca="false">SUMIFS('90_Origen_Ledger_EdP'!$K$3:$K$702,'90_Origen_Ledger_EdP'!$F$3:$F$702,$A19,'90_Origen_Ledger_EdP'!$E$3:$E$702,$B19,'90_Origen_Ledger_EdP'!$G$3:$G$702,2024)</f>
        <v>817713</v>
      </c>
      <c r="E19" s="9" t="n">
        <f aca="false">SUMIFS('90_Origen_Ledger_EdP'!$K$3:$K$702,'90_Origen_Ledger_EdP'!$F$3:$F$702,$A19,'90_Origen_Ledger_EdP'!$E$3:$E$702,$B19,'90_Origen_Ledger_EdP'!$G$3:$G$702,2025)</f>
        <v>336554</v>
      </c>
      <c r="F19" s="9" t="n">
        <f aca="false">SUMIFS('90_Origen_Ledger_EdP'!$K$3:$K$702,'90_Origen_Ledger_EdP'!$F$3:$F$702,$A19,'90_Origen_Ledger_EdP'!$E$3:$E$702,$B19,'90_Origen_Ledger_EdP'!$G$3:$G$702,2026)</f>
        <v>86140</v>
      </c>
      <c r="G19" s="10" t="n">
        <f aca="false">SUM(C19:F19)</f>
        <v>1462355.27839779</v>
      </c>
      <c r="H19" s="24" t="n">
        <f aca="false">IF($G$29=0,"-",G19/$G$29)</f>
        <v>0.207929469913568</v>
      </c>
    </row>
    <row r="20" customFormat="false" ht="15" hidden="false" customHeight="false" outlineLevel="0" collapsed="false">
      <c r="A20" s="8" t="s">
        <v>61</v>
      </c>
      <c r="B20" s="8" t="s">
        <v>145</v>
      </c>
      <c r="C20" s="9" t="n">
        <f aca="false">SUMIFS('90_Origen_Ledger_EdP'!$K$3:$K$702,'90_Origen_Ledger_EdP'!$F$3:$F$702,$A20,'90_Origen_Ledger_EdP'!$E$3:$E$702,$B20,'90_Origen_Ledger_EdP'!$G$3:$G$702,2023)</f>
        <v>40394</v>
      </c>
      <c r="D20" s="9" t="n">
        <f aca="false">SUMIFS('90_Origen_Ledger_EdP'!$K$3:$K$702,'90_Origen_Ledger_EdP'!$F$3:$F$702,$A20,'90_Origen_Ledger_EdP'!$E$3:$E$702,$B20,'90_Origen_Ledger_EdP'!$G$3:$G$702,2024)</f>
        <v>189557</v>
      </c>
      <c r="E20" s="9" t="n">
        <f aca="false">SUMIFS('90_Origen_Ledger_EdP'!$K$3:$K$702,'90_Origen_Ledger_EdP'!$F$3:$F$702,$A20,'90_Origen_Ledger_EdP'!$E$3:$E$702,$B20,'90_Origen_Ledger_EdP'!$G$3:$G$702,2025)</f>
        <v>1085729.59</v>
      </c>
      <c r="F20" s="9" t="n">
        <f aca="false">SUMIFS('90_Origen_Ledger_EdP'!$K$3:$K$702,'90_Origen_Ledger_EdP'!$F$3:$F$702,$A20,'90_Origen_Ledger_EdP'!$E$3:$E$702,$B20,'90_Origen_Ledger_EdP'!$G$3:$G$702,2026)</f>
        <v>0</v>
      </c>
      <c r="G20" s="10" t="n">
        <f aca="false">SUM(C20:F20)</f>
        <v>1315680.59</v>
      </c>
      <c r="H20" s="24" t="n">
        <f aca="false">IF($G$29=0,"-",G20/$G$29)</f>
        <v>0.187074079531482</v>
      </c>
    </row>
    <row r="21" customFormat="false" ht="15" hidden="false" customHeight="false" outlineLevel="0" collapsed="false">
      <c r="A21" s="8" t="s">
        <v>61</v>
      </c>
      <c r="B21" s="8" t="s">
        <v>146</v>
      </c>
      <c r="C21" s="9" t="n">
        <f aca="false">SUMIFS('90_Origen_Ledger_EdP'!$K$3:$K$702,'90_Origen_Ledger_EdP'!$F$3:$F$702,$A21,'90_Origen_Ledger_EdP'!$E$3:$E$702,$B21,'90_Origen_Ledger_EdP'!$G$3:$G$702,2023)</f>
        <v>137832</v>
      </c>
      <c r="D21" s="9" t="n">
        <f aca="false">SUMIFS('90_Origen_Ledger_EdP'!$K$3:$K$702,'90_Origen_Ledger_EdP'!$F$3:$F$702,$A21,'90_Origen_Ledger_EdP'!$E$3:$E$702,$B21,'90_Origen_Ledger_EdP'!$G$3:$G$702,2024)</f>
        <v>73833</v>
      </c>
      <c r="E21" s="9" t="n">
        <f aca="false">SUMIFS('90_Origen_Ledger_EdP'!$K$3:$K$702,'90_Origen_Ledger_EdP'!$F$3:$F$702,$A21,'90_Origen_Ledger_EdP'!$E$3:$E$702,$B21,'90_Origen_Ledger_EdP'!$G$3:$G$702,2025)</f>
        <v>87945</v>
      </c>
      <c r="F21" s="9" t="n">
        <f aca="false">SUMIFS('90_Origen_Ledger_EdP'!$K$3:$K$702,'90_Origen_Ledger_EdP'!$F$3:$F$702,$A21,'90_Origen_Ledger_EdP'!$E$3:$E$702,$B21,'90_Origen_Ledger_EdP'!$G$3:$G$702,2026)</f>
        <v>0</v>
      </c>
      <c r="G21" s="10" t="n">
        <f aca="false">SUM(C21:F21)</f>
        <v>299610</v>
      </c>
      <c r="H21" s="24" t="n">
        <f aca="false">IF($G$29=0,"-",G21/$G$29)</f>
        <v>0.0426009666741586</v>
      </c>
    </row>
    <row r="22" customFormat="false" ht="15" hidden="false" customHeight="false" outlineLevel="0" collapsed="false">
      <c r="A22" s="8" t="s">
        <v>61</v>
      </c>
      <c r="B22" s="8" t="s">
        <v>147</v>
      </c>
      <c r="C22" s="9" t="n">
        <f aca="false">SUMIFS('90_Origen_Ledger_EdP'!$K$3:$K$702,'90_Origen_Ledger_EdP'!$F$3:$F$702,$A22,'90_Origen_Ledger_EdP'!$E$3:$E$702,$B22,'90_Origen_Ledger_EdP'!$G$3:$G$702,2023)</f>
        <v>95353.875</v>
      </c>
      <c r="D22" s="9" t="n">
        <f aca="false">SUMIFS('90_Origen_Ledger_EdP'!$K$3:$K$702,'90_Origen_Ledger_EdP'!$F$3:$F$702,$A22,'90_Origen_Ledger_EdP'!$E$3:$E$702,$B22,'90_Origen_Ledger_EdP'!$G$3:$G$702,2024)</f>
        <v>186049</v>
      </c>
      <c r="E22" s="9" t="n">
        <f aca="false">SUMIFS('90_Origen_Ledger_EdP'!$K$3:$K$702,'90_Origen_Ledger_EdP'!$F$3:$F$702,$A22,'90_Origen_Ledger_EdP'!$E$3:$E$702,$B22,'90_Origen_Ledger_EdP'!$G$3:$G$702,2025)</f>
        <v>0</v>
      </c>
      <c r="F22" s="9" t="n">
        <f aca="false">SUMIFS('90_Origen_Ledger_EdP'!$K$3:$K$702,'90_Origen_Ledger_EdP'!$F$3:$F$702,$A22,'90_Origen_Ledger_EdP'!$E$3:$E$702,$B22,'90_Origen_Ledger_EdP'!$G$3:$G$702,2026)</f>
        <v>0</v>
      </c>
      <c r="G22" s="10" t="n">
        <f aca="false">SUM(C22:F22)</f>
        <v>281402.875</v>
      </c>
      <c r="H22" s="24" t="n">
        <f aca="false">IF($G$29=0,"-",G22/$G$29)</f>
        <v>0.0400121307696252</v>
      </c>
    </row>
    <row r="23" customFormat="false" ht="15" hidden="false" customHeight="false" outlineLevel="0" collapsed="false">
      <c r="A23" s="8" t="s">
        <v>61</v>
      </c>
      <c r="B23" s="8" t="s">
        <v>148</v>
      </c>
      <c r="C23" s="9" t="n">
        <f aca="false">SUMIFS('90_Origen_Ledger_EdP'!$K$3:$K$702,'90_Origen_Ledger_EdP'!$F$3:$F$702,$A23,'90_Origen_Ledger_EdP'!$E$3:$E$702,$B23,'90_Origen_Ledger_EdP'!$G$3:$G$702,2023)</f>
        <v>50472.9</v>
      </c>
      <c r="D23" s="9" t="n">
        <f aca="false">SUMIFS('90_Origen_Ledger_EdP'!$K$3:$K$702,'90_Origen_Ledger_EdP'!$F$3:$F$702,$A23,'90_Origen_Ledger_EdP'!$E$3:$E$702,$B23,'90_Origen_Ledger_EdP'!$G$3:$G$702,2024)</f>
        <v>64663.2</v>
      </c>
      <c r="E23" s="9" t="n">
        <f aca="false">SUMIFS('90_Origen_Ledger_EdP'!$K$3:$K$702,'90_Origen_Ledger_EdP'!$F$3:$F$702,$A23,'90_Origen_Ledger_EdP'!$E$3:$E$702,$B23,'90_Origen_Ledger_EdP'!$G$3:$G$702,2025)</f>
        <v>44033</v>
      </c>
      <c r="F23" s="9" t="n">
        <f aca="false">SUMIFS('90_Origen_Ledger_EdP'!$K$3:$K$702,'90_Origen_Ledger_EdP'!$F$3:$F$702,$A23,'90_Origen_Ledger_EdP'!$E$3:$E$702,$B23,'90_Origen_Ledger_EdP'!$G$3:$G$702,2026)</f>
        <v>126618</v>
      </c>
      <c r="G23" s="10" t="n">
        <f aca="false">SUM(C23:F23)</f>
        <v>285787.1</v>
      </c>
      <c r="H23" s="24" t="n">
        <f aca="false">IF($G$29=0,"-",G23/$G$29)</f>
        <v>0.0406355152465018</v>
      </c>
    </row>
    <row r="24" customFormat="false" ht="15" hidden="false" customHeight="false" outlineLevel="0" collapsed="false">
      <c r="A24" s="8" t="s">
        <v>61</v>
      </c>
      <c r="B24" s="8" t="s">
        <v>136</v>
      </c>
      <c r="C24" s="9" t="n">
        <f aca="false">SUMIFS('90_Origen_Ledger_EdP'!$K$3:$K$702,'90_Origen_Ledger_EdP'!$F$3:$F$702,$A24,'90_Origen_Ledger_EdP'!$E$3:$E$702,$B24,'90_Origen_Ledger_EdP'!$G$3:$G$702,2023)</f>
        <v>0</v>
      </c>
      <c r="D24" s="9" t="n">
        <f aca="false">SUMIFS('90_Origen_Ledger_EdP'!$K$3:$K$702,'90_Origen_Ledger_EdP'!$F$3:$F$702,$A24,'90_Origen_Ledger_EdP'!$E$3:$E$702,$B24,'90_Origen_Ledger_EdP'!$G$3:$G$702,2024)</f>
        <v>198000</v>
      </c>
      <c r="E24" s="9" t="n">
        <f aca="false">SUMIFS('90_Origen_Ledger_EdP'!$K$3:$K$702,'90_Origen_Ledger_EdP'!$F$3:$F$702,$A24,'90_Origen_Ledger_EdP'!$E$3:$E$702,$B24,'90_Origen_Ledger_EdP'!$G$3:$G$702,2025)</f>
        <v>0</v>
      </c>
      <c r="F24" s="9" t="n">
        <f aca="false">SUMIFS('90_Origen_Ledger_EdP'!$K$3:$K$702,'90_Origen_Ledger_EdP'!$F$3:$F$702,$A24,'90_Origen_Ledger_EdP'!$E$3:$E$702,$B24,'90_Origen_Ledger_EdP'!$G$3:$G$702,2026)</f>
        <v>0</v>
      </c>
      <c r="G24" s="10" t="n">
        <f aca="false">SUM(C24:F24)</f>
        <v>198000</v>
      </c>
      <c r="H24" s="24" t="n">
        <f aca="false">IF($G$29=0,"-",G24/$G$29)</f>
        <v>0.028153237213322</v>
      </c>
    </row>
    <row r="25" customFormat="false" ht="15" hidden="false" customHeight="false" outlineLevel="0" collapsed="false">
      <c r="A25" s="8" t="s">
        <v>61</v>
      </c>
      <c r="B25" s="8" t="s">
        <v>149</v>
      </c>
      <c r="C25" s="9" t="n">
        <f aca="false">SUMIFS('90_Origen_Ledger_EdP'!$K$3:$K$702,'90_Origen_Ledger_EdP'!$F$3:$F$702,$A25,'90_Origen_Ledger_EdP'!$E$3:$E$702,$B25,'90_Origen_Ledger_EdP'!$G$3:$G$702,2023)</f>
        <v>0</v>
      </c>
      <c r="D25" s="9" t="n">
        <f aca="false">SUMIFS('90_Origen_Ledger_EdP'!$K$3:$K$702,'90_Origen_Ledger_EdP'!$F$3:$F$702,$A25,'90_Origen_Ledger_EdP'!$E$3:$E$702,$B25,'90_Origen_Ledger_EdP'!$G$3:$G$702,2024)</f>
        <v>0</v>
      </c>
      <c r="E25" s="9" t="n">
        <f aca="false">SUMIFS('90_Origen_Ledger_EdP'!$K$3:$K$702,'90_Origen_Ledger_EdP'!$F$3:$F$702,$A25,'90_Origen_Ledger_EdP'!$E$3:$E$702,$B25,'90_Origen_Ledger_EdP'!$G$3:$G$702,2025)</f>
        <v>131313</v>
      </c>
      <c r="F25" s="9" t="n">
        <f aca="false">SUMIFS('90_Origen_Ledger_EdP'!$K$3:$K$702,'90_Origen_Ledger_EdP'!$F$3:$F$702,$A25,'90_Origen_Ledger_EdP'!$E$3:$E$702,$B25,'90_Origen_Ledger_EdP'!$G$3:$G$702,2026)</f>
        <v>56306</v>
      </c>
      <c r="G25" s="10" t="n">
        <f aca="false">SUM(C25:F25)</f>
        <v>187619</v>
      </c>
      <c r="H25" s="24" t="n">
        <f aca="false">IF($G$29=0,"-",G25/$G$29)</f>
        <v>0.0266771828925568</v>
      </c>
    </row>
    <row r="26" customFormat="false" ht="15" hidden="false" customHeight="false" outlineLevel="0" collapsed="false">
      <c r="A26" s="8" t="s">
        <v>61</v>
      </c>
      <c r="B26" s="8" t="s">
        <v>150</v>
      </c>
      <c r="C26" s="9" t="n">
        <f aca="false">SUMIFS('90_Origen_Ledger_EdP'!$K$3:$K$702,'90_Origen_Ledger_EdP'!$F$3:$F$702,$A26,'90_Origen_Ledger_EdP'!$E$3:$E$702,$B26,'90_Origen_Ledger_EdP'!$G$3:$G$702,2023)</f>
        <v>0</v>
      </c>
      <c r="D26" s="9" t="n">
        <f aca="false">SUMIFS('90_Origen_Ledger_EdP'!$K$3:$K$702,'90_Origen_Ledger_EdP'!$F$3:$F$702,$A26,'90_Origen_Ledger_EdP'!$E$3:$E$702,$B26,'90_Origen_Ledger_EdP'!$G$3:$G$702,2024)</f>
        <v>0</v>
      </c>
      <c r="E26" s="9" t="n">
        <f aca="false">SUMIFS('90_Origen_Ledger_EdP'!$K$3:$K$702,'90_Origen_Ledger_EdP'!$F$3:$F$702,$A26,'90_Origen_Ledger_EdP'!$E$3:$E$702,$B26,'90_Origen_Ledger_EdP'!$G$3:$G$702,2025)</f>
        <v>0</v>
      </c>
      <c r="F26" s="9" t="n">
        <f aca="false">SUMIFS('90_Origen_Ledger_EdP'!$K$3:$K$702,'90_Origen_Ledger_EdP'!$F$3:$F$702,$A26,'90_Origen_Ledger_EdP'!$E$3:$E$702,$B26,'90_Origen_Ledger_EdP'!$G$3:$G$702,2026)</f>
        <v>183496</v>
      </c>
      <c r="G26" s="10" t="n">
        <f aca="false">SUM(C26:F26)</f>
        <v>183496</v>
      </c>
      <c r="H26" s="24" t="n">
        <f aca="false">IF($G$29=0,"-",G26/$G$29)</f>
        <v>0.0260909414934128</v>
      </c>
    </row>
    <row r="27" customFormat="false" ht="15" hidden="false" customHeight="false" outlineLevel="0" collapsed="false">
      <c r="A27" s="8" t="s">
        <v>61</v>
      </c>
      <c r="B27" s="8" t="s">
        <v>151</v>
      </c>
      <c r="C27" s="9" t="n">
        <f aca="false">SUMIFS('90_Origen_Ledger_EdP'!$K$3:$K$702,'90_Origen_Ledger_EdP'!$F$3:$F$702,$A27,'90_Origen_Ledger_EdP'!$E$3:$E$702,$B27,'90_Origen_Ledger_EdP'!$G$3:$G$702,2023)</f>
        <v>96638.4</v>
      </c>
      <c r="D27" s="9" t="n">
        <f aca="false">SUMIFS('90_Origen_Ledger_EdP'!$K$3:$K$702,'90_Origen_Ledger_EdP'!$F$3:$F$702,$A27,'90_Origen_Ledger_EdP'!$E$3:$E$702,$B27,'90_Origen_Ledger_EdP'!$G$3:$G$702,2024)</f>
        <v>0</v>
      </c>
      <c r="E27" s="9" t="n">
        <f aca="false">SUMIFS('90_Origen_Ledger_EdP'!$K$3:$K$702,'90_Origen_Ledger_EdP'!$F$3:$F$702,$A27,'90_Origen_Ledger_EdP'!$E$3:$E$702,$B27,'90_Origen_Ledger_EdP'!$G$3:$G$702,2025)</f>
        <v>0</v>
      </c>
      <c r="F27" s="9" t="n">
        <f aca="false">SUMIFS('90_Origen_Ledger_EdP'!$K$3:$K$702,'90_Origen_Ledger_EdP'!$F$3:$F$702,$A27,'90_Origen_Ledger_EdP'!$E$3:$E$702,$B27,'90_Origen_Ledger_EdP'!$G$3:$G$702,2026)</f>
        <v>0</v>
      </c>
      <c r="G27" s="10" t="n">
        <f aca="false">SUM(C27:F27)</f>
        <v>96638.4</v>
      </c>
      <c r="H27" s="24" t="n">
        <f aca="false">IF($G$29=0,"-",G27/$G$29)</f>
        <v>0.0137408272682621</v>
      </c>
    </row>
    <row r="28" customFormat="false" ht="15" hidden="false" customHeight="false" outlineLevel="0" collapsed="false">
      <c r="A28" s="8" t="s">
        <v>61</v>
      </c>
      <c r="B28" s="25" t="s">
        <v>141</v>
      </c>
      <c r="C28" s="9" t="n">
        <f aca="false">SUMIFS('90_Origen_Ledger_EdP'!$K$3:$K$702,'90_Origen_Ledger_EdP'!$F$3:$F$702,$A28,'90_Origen_Ledger_EdP'!$G$3:$G$702,2023)-SUM(C18:C27)</f>
        <v>50760</v>
      </c>
      <c r="D28" s="9" t="n">
        <f aca="false">SUMIFS('90_Origen_Ledger_EdP'!$K$3:$K$702,'90_Origen_Ledger_EdP'!$F$3:$F$702,$A28,'90_Origen_Ledger_EdP'!$G$3:$G$702,2024)-SUM(D18:D27)</f>
        <v>170262</v>
      </c>
      <c r="E28" s="9" t="n">
        <f aca="false">SUMIFS('90_Origen_Ledger_EdP'!$K$3:$K$702,'90_Origen_Ledger_EdP'!$F$3:$F$702,$A28,'90_Origen_Ledger_EdP'!$G$3:$G$702,2025)-SUM(E18:E27)</f>
        <v>423077</v>
      </c>
      <c r="F28" s="9" t="n">
        <f aca="false">SUMIFS('90_Origen_Ledger_EdP'!$K$3:$K$702,'90_Origen_Ledger_EdP'!$F$3:$F$702,$A28,'90_Origen_Ledger_EdP'!$G$3:$G$702,2026)-SUM(F18:F27)</f>
        <v>331793.29</v>
      </c>
      <c r="G28" s="10" t="n">
        <f aca="false">SUM(C28:F28)</f>
        <v>975892.29</v>
      </c>
      <c r="H28" s="24" t="n">
        <f aca="false">IF($G$29=0,"-",G28/$G$29)</f>
        <v>0.138760238055667</v>
      </c>
    </row>
    <row r="29" customFormat="false" ht="15" hidden="false" customHeight="false" outlineLevel="0" collapsed="false">
      <c r="A29" s="18" t="s">
        <v>61</v>
      </c>
      <c r="B29" s="18" t="s">
        <v>152</v>
      </c>
      <c r="C29" s="26" t="n">
        <f aca="false">SUM(C18:C28)</f>
        <v>1626997.05092979</v>
      </c>
      <c r="D29" s="26" t="n">
        <f aca="false">SUM(D18:D28)</f>
        <v>2105737.07</v>
      </c>
      <c r="E29" s="26" t="n">
        <f aca="false">SUM(E18:E28)</f>
        <v>2465053.59</v>
      </c>
      <c r="F29" s="26" t="n">
        <f aca="false">SUM(F18:F28)</f>
        <v>835151.29</v>
      </c>
      <c r="G29" s="26" t="n">
        <f aca="false">SUM(C29:F29)</f>
        <v>7032939.00092979</v>
      </c>
      <c r="H29" s="27" t="n">
        <v>1</v>
      </c>
    </row>
    <row r="30" customFormat="false" ht="15" hidden="false" customHeight="false" outlineLevel="0" collapsed="false">
      <c r="A30" s="8" t="s">
        <v>62</v>
      </c>
      <c r="B30" s="8" t="s">
        <v>153</v>
      </c>
      <c r="C30" s="9" t="n">
        <f aca="false">SUMIFS('90_Origen_Ledger_EdP'!$K$3:$K$702,'90_Origen_Ledger_EdP'!$F$3:$F$702,$A30,'90_Origen_Ledger_EdP'!$E$3:$E$702,$B30,'90_Origen_Ledger_EdP'!$G$3:$G$702,2023)</f>
        <v>600368.46</v>
      </c>
      <c r="D30" s="9" t="n">
        <f aca="false">SUMIFS('90_Origen_Ledger_EdP'!$K$3:$K$702,'90_Origen_Ledger_EdP'!$F$3:$F$702,$A30,'90_Origen_Ledger_EdP'!$E$3:$E$702,$B30,'90_Origen_Ledger_EdP'!$G$3:$G$702,2024)</f>
        <v>612782</v>
      </c>
      <c r="E30" s="9" t="n">
        <f aca="false">SUMIFS('90_Origen_Ledger_EdP'!$K$3:$K$702,'90_Origen_Ledger_EdP'!$F$3:$F$702,$A30,'90_Origen_Ledger_EdP'!$E$3:$E$702,$B30,'90_Origen_Ledger_EdP'!$G$3:$G$702,2025)</f>
        <v>404204</v>
      </c>
      <c r="F30" s="9" t="n">
        <f aca="false">SUMIFS('90_Origen_Ledger_EdP'!$K$3:$K$702,'90_Origen_Ledger_EdP'!$F$3:$F$702,$A30,'90_Origen_Ledger_EdP'!$E$3:$E$702,$B30,'90_Origen_Ledger_EdP'!$G$3:$G$702,2026)</f>
        <v>101210</v>
      </c>
      <c r="G30" s="10" t="n">
        <f aca="false">SUM(C30:F30)</f>
        <v>1718564.46</v>
      </c>
      <c r="H30" s="24" t="n">
        <f aca="false">IF($G$40=0,"-",G30/$G$40)</f>
        <v>0.425639152793453</v>
      </c>
    </row>
    <row r="31" customFormat="false" ht="15" hidden="false" customHeight="false" outlineLevel="0" collapsed="false">
      <c r="A31" s="8" t="s">
        <v>62</v>
      </c>
      <c r="B31" s="8" t="s">
        <v>154</v>
      </c>
      <c r="C31" s="9" t="n">
        <f aca="false">SUMIFS('90_Origen_Ledger_EdP'!$K$3:$K$702,'90_Origen_Ledger_EdP'!$F$3:$F$702,$A31,'90_Origen_Ledger_EdP'!$E$3:$E$702,$B31,'90_Origen_Ledger_EdP'!$G$3:$G$702,2023)</f>
        <v>0</v>
      </c>
      <c r="D31" s="9" t="n">
        <f aca="false">SUMIFS('90_Origen_Ledger_EdP'!$K$3:$K$702,'90_Origen_Ledger_EdP'!$F$3:$F$702,$A31,'90_Origen_Ledger_EdP'!$E$3:$E$702,$B31,'90_Origen_Ledger_EdP'!$G$3:$G$702,2024)</f>
        <v>0</v>
      </c>
      <c r="E31" s="9" t="n">
        <f aca="false">SUMIFS('90_Origen_Ledger_EdP'!$K$3:$K$702,'90_Origen_Ledger_EdP'!$F$3:$F$702,$A31,'90_Origen_Ledger_EdP'!$E$3:$E$702,$B31,'90_Origen_Ledger_EdP'!$G$3:$G$702,2025)</f>
        <v>406493.598962264</v>
      </c>
      <c r="F31" s="9" t="n">
        <f aca="false">SUMIFS('90_Origen_Ledger_EdP'!$K$3:$K$702,'90_Origen_Ledger_EdP'!$F$3:$F$702,$A31,'90_Origen_Ledger_EdP'!$E$3:$E$702,$B31,'90_Origen_Ledger_EdP'!$G$3:$G$702,2026)</f>
        <v>151478.497714286</v>
      </c>
      <c r="G31" s="10" t="n">
        <f aca="false">SUM(C31:F31)</f>
        <v>557972.09667655</v>
      </c>
      <c r="H31" s="24" t="n">
        <f aca="false">IF($G$40=0,"-",G31/$G$40)</f>
        <v>0.138193693655106</v>
      </c>
    </row>
    <row r="32" customFormat="false" ht="15" hidden="false" customHeight="false" outlineLevel="0" collapsed="false">
      <c r="A32" s="8" t="s">
        <v>62</v>
      </c>
      <c r="B32" s="8" t="s">
        <v>155</v>
      </c>
      <c r="C32" s="9" t="n">
        <f aca="false">SUMIFS('90_Origen_Ledger_EdP'!$K$3:$K$702,'90_Origen_Ledger_EdP'!$F$3:$F$702,$A32,'90_Origen_Ledger_EdP'!$E$3:$E$702,$B32,'90_Origen_Ledger_EdP'!$G$3:$G$702,2023)</f>
        <v>0</v>
      </c>
      <c r="D32" s="9" t="n">
        <f aca="false">SUMIFS('90_Origen_Ledger_EdP'!$K$3:$K$702,'90_Origen_Ledger_EdP'!$F$3:$F$702,$A32,'90_Origen_Ledger_EdP'!$E$3:$E$702,$B32,'90_Origen_Ledger_EdP'!$G$3:$G$702,2024)</f>
        <v>0</v>
      </c>
      <c r="E32" s="9" t="n">
        <f aca="false">SUMIFS('90_Origen_Ledger_EdP'!$K$3:$K$702,'90_Origen_Ledger_EdP'!$F$3:$F$702,$A32,'90_Origen_Ledger_EdP'!$E$3:$E$702,$B32,'90_Origen_Ledger_EdP'!$G$3:$G$702,2025)</f>
        <v>342523.62</v>
      </c>
      <c r="F32" s="9" t="n">
        <f aca="false">SUMIFS('90_Origen_Ledger_EdP'!$K$3:$K$702,'90_Origen_Ledger_EdP'!$F$3:$F$702,$A32,'90_Origen_Ledger_EdP'!$E$3:$E$702,$B32,'90_Origen_Ledger_EdP'!$G$3:$G$702,2026)</f>
        <v>159558.2</v>
      </c>
      <c r="G32" s="10" t="n">
        <f aca="false">SUM(C32:F32)</f>
        <v>502081.82</v>
      </c>
      <c r="H32" s="24" t="n">
        <f aca="false">IF($G$40=0,"-",G32/$G$40)</f>
        <v>0.124351274259329</v>
      </c>
    </row>
    <row r="33" customFormat="false" ht="15" hidden="false" customHeight="false" outlineLevel="0" collapsed="false">
      <c r="A33" s="8" t="s">
        <v>62</v>
      </c>
      <c r="B33" s="8" t="s">
        <v>156</v>
      </c>
      <c r="C33" s="9" t="n">
        <f aca="false">SUMIFS('90_Origen_Ledger_EdP'!$K$3:$K$702,'90_Origen_Ledger_EdP'!$F$3:$F$702,$A33,'90_Origen_Ledger_EdP'!$E$3:$E$702,$B33,'90_Origen_Ledger_EdP'!$G$3:$G$702,2023)</f>
        <v>0</v>
      </c>
      <c r="D33" s="9" t="n">
        <f aca="false">SUMIFS('90_Origen_Ledger_EdP'!$K$3:$K$702,'90_Origen_Ledger_EdP'!$F$3:$F$702,$A33,'90_Origen_Ledger_EdP'!$E$3:$E$702,$B33,'90_Origen_Ledger_EdP'!$G$3:$G$702,2024)</f>
        <v>0</v>
      </c>
      <c r="E33" s="9" t="n">
        <f aca="false">SUMIFS('90_Origen_Ledger_EdP'!$K$3:$K$702,'90_Origen_Ledger_EdP'!$F$3:$F$702,$A33,'90_Origen_Ledger_EdP'!$E$3:$E$702,$B33,'90_Origen_Ledger_EdP'!$G$3:$G$702,2025)</f>
        <v>306848</v>
      </c>
      <c r="F33" s="9" t="n">
        <f aca="false">SUMIFS('90_Origen_Ledger_EdP'!$K$3:$K$702,'90_Origen_Ledger_EdP'!$F$3:$F$702,$A33,'90_Origen_Ledger_EdP'!$E$3:$E$702,$B33,'90_Origen_Ledger_EdP'!$G$3:$G$702,2026)</f>
        <v>47145</v>
      </c>
      <c r="G33" s="10" t="n">
        <f aca="false">SUM(C33:F33)</f>
        <v>353993</v>
      </c>
      <c r="H33" s="24" t="n">
        <f aca="false">IF($G$40=0,"-",G33/$G$40)</f>
        <v>0.0876739186232286</v>
      </c>
    </row>
    <row r="34" customFormat="false" ht="15" hidden="false" customHeight="false" outlineLevel="0" collapsed="false">
      <c r="A34" s="8" t="s">
        <v>62</v>
      </c>
      <c r="B34" s="8" t="s">
        <v>157</v>
      </c>
      <c r="C34" s="9" t="n">
        <f aca="false">SUMIFS('90_Origen_Ledger_EdP'!$K$3:$K$702,'90_Origen_Ledger_EdP'!$F$3:$F$702,$A34,'90_Origen_Ledger_EdP'!$E$3:$E$702,$B34,'90_Origen_Ledger_EdP'!$G$3:$G$702,2023)</f>
        <v>0</v>
      </c>
      <c r="D34" s="9" t="n">
        <f aca="false">SUMIFS('90_Origen_Ledger_EdP'!$K$3:$K$702,'90_Origen_Ledger_EdP'!$F$3:$F$702,$A34,'90_Origen_Ledger_EdP'!$E$3:$E$702,$B34,'90_Origen_Ledger_EdP'!$G$3:$G$702,2024)</f>
        <v>319132</v>
      </c>
      <c r="E34" s="9" t="n">
        <f aca="false">SUMIFS('90_Origen_Ledger_EdP'!$K$3:$K$702,'90_Origen_Ledger_EdP'!$F$3:$F$702,$A34,'90_Origen_Ledger_EdP'!$E$3:$E$702,$B34,'90_Origen_Ledger_EdP'!$G$3:$G$702,2025)</f>
        <v>8092</v>
      </c>
      <c r="F34" s="9" t="n">
        <f aca="false">SUMIFS('90_Origen_Ledger_EdP'!$K$3:$K$702,'90_Origen_Ledger_EdP'!$F$3:$F$702,$A34,'90_Origen_Ledger_EdP'!$E$3:$E$702,$B34,'90_Origen_Ledger_EdP'!$G$3:$G$702,2026)</f>
        <v>0</v>
      </c>
      <c r="G34" s="10" t="n">
        <f aca="false">SUM(C34:F34)</f>
        <v>327224</v>
      </c>
      <c r="H34" s="24" t="n">
        <f aca="false">IF($G$40=0,"-",G34/$G$40)</f>
        <v>0.0810440046768364</v>
      </c>
    </row>
    <row r="35" customFormat="false" ht="15" hidden="false" customHeight="false" outlineLevel="0" collapsed="false">
      <c r="A35" s="8" t="s">
        <v>62</v>
      </c>
      <c r="B35" s="8" t="s">
        <v>158</v>
      </c>
      <c r="C35" s="9" t="n">
        <f aca="false">SUMIFS('90_Origen_Ledger_EdP'!$K$3:$K$702,'90_Origen_Ledger_EdP'!$F$3:$F$702,$A35,'90_Origen_Ledger_EdP'!$E$3:$E$702,$B35,'90_Origen_Ledger_EdP'!$G$3:$G$702,2023)</f>
        <v>128549.590264414</v>
      </c>
      <c r="D35" s="9" t="n">
        <f aca="false">SUMIFS('90_Origen_Ledger_EdP'!$K$3:$K$702,'90_Origen_Ledger_EdP'!$F$3:$F$702,$A35,'90_Origen_Ledger_EdP'!$E$3:$E$702,$B35,'90_Origen_Ledger_EdP'!$G$3:$G$702,2024)</f>
        <v>75794</v>
      </c>
      <c r="E35" s="9" t="n">
        <f aca="false">SUMIFS('90_Origen_Ledger_EdP'!$K$3:$K$702,'90_Origen_Ledger_EdP'!$F$3:$F$702,$A35,'90_Origen_Ledger_EdP'!$E$3:$E$702,$B35,'90_Origen_Ledger_EdP'!$G$3:$G$702,2025)</f>
        <v>0</v>
      </c>
      <c r="F35" s="9" t="n">
        <f aca="false">SUMIFS('90_Origen_Ledger_EdP'!$K$3:$K$702,'90_Origen_Ledger_EdP'!$F$3:$F$702,$A35,'90_Origen_Ledger_EdP'!$E$3:$E$702,$B35,'90_Origen_Ledger_EdP'!$G$3:$G$702,2026)</f>
        <v>0</v>
      </c>
      <c r="G35" s="10" t="n">
        <f aca="false">SUM(C35:F35)</f>
        <v>204343.590264414</v>
      </c>
      <c r="H35" s="24" t="n">
        <f aca="false">IF($G$40=0,"-",G35/$G$40)</f>
        <v>0.0506100496451077</v>
      </c>
    </row>
    <row r="36" customFormat="false" ht="15" hidden="false" customHeight="false" outlineLevel="0" collapsed="false">
      <c r="A36" s="8" t="s">
        <v>62</v>
      </c>
      <c r="B36" s="8" t="s">
        <v>159</v>
      </c>
      <c r="C36" s="9" t="n">
        <f aca="false">SUMIFS('90_Origen_Ledger_EdP'!$K$3:$K$702,'90_Origen_Ledger_EdP'!$F$3:$F$702,$A36,'90_Origen_Ledger_EdP'!$E$3:$E$702,$B36,'90_Origen_Ledger_EdP'!$G$3:$G$702,2023)</f>
        <v>0</v>
      </c>
      <c r="D36" s="9" t="n">
        <f aca="false">SUMIFS('90_Origen_Ledger_EdP'!$K$3:$K$702,'90_Origen_Ledger_EdP'!$F$3:$F$702,$A36,'90_Origen_Ledger_EdP'!$E$3:$E$702,$B36,'90_Origen_Ledger_EdP'!$G$3:$G$702,2024)</f>
        <v>0</v>
      </c>
      <c r="E36" s="9" t="n">
        <f aca="false">SUMIFS('90_Origen_Ledger_EdP'!$K$3:$K$702,'90_Origen_Ledger_EdP'!$F$3:$F$702,$A36,'90_Origen_Ledger_EdP'!$E$3:$E$702,$B36,'90_Origen_Ledger_EdP'!$G$3:$G$702,2025)</f>
        <v>180000</v>
      </c>
      <c r="F36" s="9" t="n">
        <f aca="false">SUMIFS('90_Origen_Ledger_EdP'!$K$3:$K$702,'90_Origen_Ledger_EdP'!$F$3:$F$702,$A36,'90_Origen_Ledger_EdP'!$E$3:$E$702,$B36,'90_Origen_Ledger_EdP'!$G$3:$G$702,2026)</f>
        <v>0</v>
      </c>
      <c r="G36" s="10" t="n">
        <f aca="false">SUM(C36:F36)</f>
        <v>180000</v>
      </c>
      <c r="H36" s="24" t="n">
        <f aca="false">IF($G$40=0,"-",G36/$G$40)</f>
        <v>0.0445808401640178</v>
      </c>
    </row>
    <row r="37" customFormat="false" ht="15" hidden="false" customHeight="false" outlineLevel="0" collapsed="false">
      <c r="A37" s="8" t="s">
        <v>62</v>
      </c>
      <c r="B37" s="8" t="s">
        <v>160</v>
      </c>
      <c r="C37" s="9" t="n">
        <f aca="false">SUMIFS('90_Origen_Ledger_EdP'!$K$3:$K$702,'90_Origen_Ledger_EdP'!$F$3:$F$702,$A37,'90_Origen_Ledger_EdP'!$E$3:$E$702,$B37,'90_Origen_Ledger_EdP'!$G$3:$G$702,2023)</f>
        <v>0</v>
      </c>
      <c r="D37" s="9" t="n">
        <f aca="false">SUMIFS('90_Origen_Ledger_EdP'!$K$3:$K$702,'90_Origen_Ledger_EdP'!$F$3:$F$702,$A37,'90_Origen_Ledger_EdP'!$E$3:$E$702,$B37,'90_Origen_Ledger_EdP'!$G$3:$G$702,2024)</f>
        <v>0</v>
      </c>
      <c r="E37" s="9" t="n">
        <f aca="false">SUMIFS('90_Origen_Ledger_EdP'!$K$3:$K$702,'90_Origen_Ledger_EdP'!$F$3:$F$702,$A37,'90_Origen_Ledger_EdP'!$E$3:$E$702,$B37,'90_Origen_Ledger_EdP'!$G$3:$G$702,2025)</f>
        <v>113137</v>
      </c>
      <c r="F37" s="9" t="n">
        <f aca="false">SUMIFS('90_Origen_Ledger_EdP'!$K$3:$K$702,'90_Origen_Ledger_EdP'!$F$3:$F$702,$A37,'90_Origen_Ledger_EdP'!$E$3:$E$702,$B37,'90_Origen_Ledger_EdP'!$G$3:$G$702,2026)</f>
        <v>0</v>
      </c>
      <c r="G37" s="10" t="n">
        <f aca="false">SUM(C37:F37)</f>
        <v>113137</v>
      </c>
      <c r="H37" s="24" t="n">
        <f aca="false">IF($G$40=0,"-",G37/$G$40)</f>
        <v>0.0280207917424249</v>
      </c>
    </row>
    <row r="38" customFormat="false" ht="15" hidden="false" customHeight="false" outlineLevel="0" collapsed="false">
      <c r="A38" s="8" t="s">
        <v>62</v>
      </c>
      <c r="B38" s="8" t="s">
        <v>161</v>
      </c>
      <c r="C38" s="9" t="n">
        <f aca="false">SUMIFS('90_Origen_Ledger_EdP'!$K$3:$K$702,'90_Origen_Ledger_EdP'!$F$3:$F$702,$A38,'90_Origen_Ledger_EdP'!$E$3:$E$702,$B38,'90_Origen_Ledger_EdP'!$G$3:$G$702,2023)</f>
        <v>0</v>
      </c>
      <c r="D38" s="9" t="n">
        <f aca="false">SUMIFS('90_Origen_Ledger_EdP'!$K$3:$K$702,'90_Origen_Ledger_EdP'!$F$3:$F$702,$A38,'90_Origen_Ledger_EdP'!$E$3:$E$702,$B38,'90_Origen_Ledger_EdP'!$G$3:$G$702,2024)</f>
        <v>0</v>
      </c>
      <c r="E38" s="9" t="n">
        <f aca="false">SUMIFS('90_Origen_Ledger_EdP'!$K$3:$K$702,'90_Origen_Ledger_EdP'!$F$3:$F$702,$A38,'90_Origen_Ledger_EdP'!$E$3:$E$702,$B38,'90_Origen_Ledger_EdP'!$G$3:$G$702,2025)</f>
        <v>72515</v>
      </c>
      <c r="F38" s="9" t="n">
        <f aca="false">SUMIFS('90_Origen_Ledger_EdP'!$K$3:$K$702,'90_Origen_Ledger_EdP'!$F$3:$F$702,$A38,'90_Origen_Ledger_EdP'!$E$3:$E$702,$B38,'90_Origen_Ledger_EdP'!$G$3:$G$702,2026)</f>
        <v>7778</v>
      </c>
      <c r="G38" s="10" t="n">
        <f aca="false">SUM(C38:F38)</f>
        <v>80293</v>
      </c>
      <c r="H38" s="24" t="n">
        <f aca="false">IF($G$40=0,"-",G38/$G$40)</f>
        <v>0.0198862744404971</v>
      </c>
    </row>
    <row r="39" customFormat="false" ht="15" hidden="false" customHeight="false" outlineLevel="0" collapsed="false">
      <c r="A39" s="8" t="s">
        <v>62</v>
      </c>
      <c r="B39" s="25" t="s">
        <v>141</v>
      </c>
      <c r="C39" s="9" t="n">
        <f aca="false">SUMIFS('90_Origen_Ledger_EdP'!$K$3:$K$702,'90_Origen_Ledger_EdP'!$F$3:$F$702,$A39,'90_Origen_Ledger_EdP'!$G$3:$G$702,2023)-SUM(C30:C38)</f>
        <v>0</v>
      </c>
      <c r="D39" s="9" t="n">
        <f aca="false">SUMIFS('90_Origen_Ledger_EdP'!$K$3:$K$702,'90_Origen_Ledger_EdP'!$F$3:$F$702,$A39,'90_Origen_Ledger_EdP'!$G$3:$G$702,2024)-SUM(D30:D38)</f>
        <v>0</v>
      </c>
      <c r="E39" s="9" t="n">
        <f aca="false">SUMIFS('90_Origen_Ledger_EdP'!$K$3:$K$702,'90_Origen_Ledger_EdP'!$F$3:$F$702,$A39,'90_Origen_Ledger_EdP'!$G$3:$G$702,2025)-SUM(E30:E38)</f>
        <v>0</v>
      </c>
      <c r="F39" s="9" t="n">
        <f aca="false">SUMIFS('90_Origen_Ledger_EdP'!$K$3:$K$702,'90_Origen_Ledger_EdP'!$F$3:$F$702,$A39,'90_Origen_Ledger_EdP'!$G$3:$G$702,2026)-SUM(F30:F38)</f>
        <v>0</v>
      </c>
      <c r="G39" s="10" t="n">
        <f aca="false">SUM(C39:F39)</f>
        <v>0</v>
      </c>
      <c r="H39" s="24" t="n">
        <f aca="false">IF($G$40=0,"-",G39/$G$40)</f>
        <v>0</v>
      </c>
    </row>
    <row r="40" customFormat="false" ht="15" hidden="false" customHeight="false" outlineLevel="0" collapsed="false">
      <c r="A40" s="18" t="s">
        <v>62</v>
      </c>
      <c r="B40" s="18" t="s">
        <v>162</v>
      </c>
      <c r="C40" s="26" t="n">
        <f aca="false">SUM(C30:C39)</f>
        <v>728918.050264414</v>
      </c>
      <c r="D40" s="26" t="n">
        <f aca="false">SUM(D30:D39)</f>
        <v>1007708</v>
      </c>
      <c r="E40" s="26" t="n">
        <f aca="false">SUM(E30:E39)</f>
        <v>1833813.21896226</v>
      </c>
      <c r="F40" s="26" t="n">
        <f aca="false">SUM(F30:F39)</f>
        <v>467169.697714286</v>
      </c>
      <c r="G40" s="26" t="n">
        <f aca="false">SUM(C40:F40)</f>
        <v>4037608.96694096</v>
      </c>
      <c r="H40" s="27" t="n">
        <v>1</v>
      </c>
    </row>
    <row r="41" customFormat="false" ht="15" hidden="false" customHeight="false" outlineLevel="0" collapsed="false">
      <c r="A41" s="8" t="s">
        <v>63</v>
      </c>
      <c r="B41" s="8" t="s">
        <v>163</v>
      </c>
      <c r="C41" s="9" t="n">
        <f aca="false">SUMIFS('90_Origen_Ledger_EdP'!$K$3:$K$702,'90_Origen_Ledger_EdP'!$F$3:$F$702,$A41,'90_Origen_Ledger_EdP'!$E$3:$E$702,$B41,'90_Origen_Ledger_EdP'!$G$3:$G$702,2023)</f>
        <v>102384</v>
      </c>
      <c r="D41" s="9" t="n">
        <f aca="false">SUMIFS('90_Origen_Ledger_EdP'!$K$3:$K$702,'90_Origen_Ledger_EdP'!$F$3:$F$702,$A41,'90_Origen_Ledger_EdP'!$E$3:$E$702,$B41,'90_Origen_Ledger_EdP'!$G$3:$G$702,2024)</f>
        <v>601598</v>
      </c>
      <c r="E41" s="9" t="n">
        <f aca="false">SUMIFS('90_Origen_Ledger_EdP'!$K$3:$K$702,'90_Origen_Ledger_EdP'!$F$3:$F$702,$A41,'90_Origen_Ledger_EdP'!$E$3:$E$702,$B41,'90_Origen_Ledger_EdP'!$G$3:$G$702,2025)</f>
        <v>0</v>
      </c>
      <c r="F41" s="9" t="n">
        <f aca="false">SUMIFS('90_Origen_Ledger_EdP'!$K$3:$K$702,'90_Origen_Ledger_EdP'!$F$3:$F$702,$A41,'90_Origen_Ledger_EdP'!$E$3:$E$702,$B41,'90_Origen_Ledger_EdP'!$G$3:$G$702,2026)</f>
        <v>0</v>
      </c>
      <c r="G41" s="10" t="n">
        <f aca="false">SUM(C41:F41)</f>
        <v>703982</v>
      </c>
      <c r="H41" s="24" t="n">
        <f aca="false">IF($G$52=0,"-",G41/$G$52)</f>
        <v>0.183687525335958</v>
      </c>
    </row>
    <row r="42" customFormat="false" ht="15" hidden="false" customHeight="false" outlineLevel="0" collapsed="false">
      <c r="A42" s="8" t="s">
        <v>63</v>
      </c>
      <c r="B42" s="8" t="s">
        <v>164</v>
      </c>
      <c r="C42" s="9" t="n">
        <f aca="false">SUMIFS('90_Origen_Ledger_EdP'!$K$3:$K$702,'90_Origen_Ledger_EdP'!$F$3:$F$702,$A42,'90_Origen_Ledger_EdP'!$E$3:$E$702,$B42,'90_Origen_Ledger_EdP'!$G$3:$G$702,2023)</f>
        <v>0</v>
      </c>
      <c r="D42" s="9" t="n">
        <f aca="false">SUMIFS('90_Origen_Ledger_EdP'!$K$3:$K$702,'90_Origen_Ledger_EdP'!$F$3:$F$702,$A42,'90_Origen_Ledger_EdP'!$E$3:$E$702,$B42,'90_Origen_Ledger_EdP'!$G$3:$G$702,2024)</f>
        <v>28545</v>
      </c>
      <c r="E42" s="9" t="n">
        <f aca="false">SUMIFS('90_Origen_Ledger_EdP'!$K$3:$K$702,'90_Origen_Ledger_EdP'!$F$3:$F$702,$A42,'90_Origen_Ledger_EdP'!$E$3:$E$702,$B42,'90_Origen_Ledger_EdP'!$G$3:$G$702,2025)</f>
        <v>645700</v>
      </c>
      <c r="F42" s="9" t="n">
        <f aca="false">SUMIFS('90_Origen_Ledger_EdP'!$K$3:$K$702,'90_Origen_Ledger_EdP'!$F$3:$F$702,$A42,'90_Origen_Ledger_EdP'!$E$3:$E$702,$B42,'90_Origen_Ledger_EdP'!$G$3:$G$702,2026)</f>
        <v>0</v>
      </c>
      <c r="G42" s="10" t="n">
        <f aca="false">SUM(C42:F42)</f>
        <v>674245</v>
      </c>
      <c r="H42" s="24" t="n">
        <f aca="false">IF($G$52=0,"-",G42/$G$52)</f>
        <v>0.17592835544111</v>
      </c>
    </row>
    <row r="43" customFormat="false" ht="15" hidden="false" customHeight="false" outlineLevel="0" collapsed="false">
      <c r="A43" s="8" t="s">
        <v>63</v>
      </c>
      <c r="B43" s="8" t="s">
        <v>165</v>
      </c>
      <c r="C43" s="9" t="n">
        <f aca="false">SUMIFS('90_Origen_Ledger_EdP'!$K$3:$K$702,'90_Origen_Ledger_EdP'!$F$3:$F$702,$A43,'90_Origen_Ledger_EdP'!$E$3:$E$702,$B43,'90_Origen_Ledger_EdP'!$G$3:$G$702,2023)</f>
        <v>0</v>
      </c>
      <c r="D43" s="9" t="n">
        <f aca="false">SUMIFS('90_Origen_Ledger_EdP'!$K$3:$K$702,'90_Origen_Ledger_EdP'!$F$3:$F$702,$A43,'90_Origen_Ledger_EdP'!$E$3:$E$702,$B43,'90_Origen_Ledger_EdP'!$G$3:$G$702,2024)</f>
        <v>572400</v>
      </c>
      <c r="E43" s="9" t="n">
        <f aca="false">SUMIFS('90_Origen_Ledger_EdP'!$K$3:$K$702,'90_Origen_Ledger_EdP'!$F$3:$F$702,$A43,'90_Origen_Ledger_EdP'!$E$3:$E$702,$B43,'90_Origen_Ledger_EdP'!$G$3:$G$702,2025)</f>
        <v>0</v>
      </c>
      <c r="F43" s="9" t="n">
        <f aca="false">SUMIFS('90_Origen_Ledger_EdP'!$K$3:$K$702,'90_Origen_Ledger_EdP'!$F$3:$F$702,$A43,'90_Origen_Ledger_EdP'!$E$3:$E$702,$B43,'90_Origen_Ledger_EdP'!$G$3:$G$702,2026)</f>
        <v>0</v>
      </c>
      <c r="G43" s="10" t="n">
        <f aca="false">SUM(C43:F43)</f>
        <v>572400</v>
      </c>
      <c r="H43" s="24" t="n">
        <f aca="false">IF($G$52=0,"-",G43/$G$52)</f>
        <v>0.149354300965511</v>
      </c>
    </row>
    <row r="44" customFormat="false" ht="15" hidden="false" customHeight="false" outlineLevel="0" collapsed="false">
      <c r="A44" s="8" t="s">
        <v>63</v>
      </c>
      <c r="B44" s="8" t="s">
        <v>166</v>
      </c>
      <c r="C44" s="9" t="n">
        <f aca="false">SUMIFS('90_Origen_Ledger_EdP'!$K$3:$K$702,'90_Origen_Ledger_EdP'!$F$3:$F$702,$A44,'90_Origen_Ledger_EdP'!$E$3:$E$702,$B44,'90_Origen_Ledger_EdP'!$G$3:$G$702,2023)</f>
        <v>0</v>
      </c>
      <c r="D44" s="9" t="n">
        <f aca="false">SUMIFS('90_Origen_Ledger_EdP'!$K$3:$K$702,'90_Origen_Ledger_EdP'!$F$3:$F$702,$A44,'90_Origen_Ledger_EdP'!$E$3:$E$702,$B44,'90_Origen_Ledger_EdP'!$G$3:$G$702,2024)</f>
        <v>112741</v>
      </c>
      <c r="E44" s="9" t="n">
        <f aca="false">SUMIFS('90_Origen_Ledger_EdP'!$K$3:$K$702,'90_Origen_Ledger_EdP'!$F$3:$F$702,$A44,'90_Origen_Ledger_EdP'!$E$3:$E$702,$B44,'90_Origen_Ledger_EdP'!$G$3:$G$702,2025)</f>
        <v>453025.1</v>
      </c>
      <c r="F44" s="9" t="n">
        <f aca="false">SUMIFS('90_Origen_Ledger_EdP'!$K$3:$K$702,'90_Origen_Ledger_EdP'!$F$3:$F$702,$A44,'90_Origen_Ledger_EdP'!$E$3:$E$702,$B44,'90_Origen_Ledger_EdP'!$G$3:$G$702,2026)</f>
        <v>0</v>
      </c>
      <c r="G44" s="10" t="n">
        <f aca="false">SUM(C44:F44)</f>
        <v>565766.1</v>
      </c>
      <c r="H44" s="24" t="n">
        <f aca="false">IF($G$52=0,"-",G44/$G$52)</f>
        <v>0.147623340977435</v>
      </c>
    </row>
    <row r="45" customFormat="false" ht="15" hidden="false" customHeight="false" outlineLevel="0" collapsed="false">
      <c r="A45" s="8" t="s">
        <v>63</v>
      </c>
      <c r="B45" s="8" t="s">
        <v>167</v>
      </c>
      <c r="C45" s="9" t="n">
        <f aca="false">SUMIFS('90_Origen_Ledger_EdP'!$K$3:$K$702,'90_Origen_Ledger_EdP'!$F$3:$F$702,$A45,'90_Origen_Ledger_EdP'!$E$3:$E$702,$B45,'90_Origen_Ledger_EdP'!$G$3:$G$702,2023)</f>
        <v>0</v>
      </c>
      <c r="D45" s="9" t="n">
        <f aca="false">SUMIFS('90_Origen_Ledger_EdP'!$K$3:$K$702,'90_Origen_Ledger_EdP'!$F$3:$F$702,$A45,'90_Origen_Ledger_EdP'!$E$3:$E$702,$B45,'90_Origen_Ledger_EdP'!$G$3:$G$702,2024)</f>
        <v>0</v>
      </c>
      <c r="E45" s="9" t="n">
        <f aca="false">SUMIFS('90_Origen_Ledger_EdP'!$K$3:$K$702,'90_Origen_Ledger_EdP'!$F$3:$F$702,$A45,'90_Origen_Ledger_EdP'!$E$3:$E$702,$B45,'90_Origen_Ledger_EdP'!$G$3:$G$702,2025)</f>
        <v>301820</v>
      </c>
      <c r="F45" s="9" t="n">
        <f aca="false">SUMIFS('90_Origen_Ledger_EdP'!$K$3:$K$702,'90_Origen_Ledger_EdP'!$F$3:$F$702,$A45,'90_Origen_Ledger_EdP'!$E$3:$E$702,$B45,'90_Origen_Ledger_EdP'!$G$3:$G$702,2026)</f>
        <v>0</v>
      </c>
      <c r="G45" s="10" t="n">
        <f aca="false">SUM(C45:F45)</f>
        <v>301820</v>
      </c>
      <c r="H45" s="24" t="n">
        <f aca="false">IF($G$52=0,"-",G45/$G$52)</f>
        <v>0.0787528216586489</v>
      </c>
    </row>
    <row r="46" customFormat="false" ht="15" hidden="false" customHeight="false" outlineLevel="0" collapsed="false">
      <c r="A46" s="8" t="s">
        <v>63</v>
      </c>
      <c r="B46" s="8" t="s">
        <v>168</v>
      </c>
      <c r="C46" s="9" t="n">
        <f aca="false">SUMIFS('90_Origen_Ledger_EdP'!$K$3:$K$702,'90_Origen_Ledger_EdP'!$F$3:$F$702,$A46,'90_Origen_Ledger_EdP'!$E$3:$E$702,$B46,'90_Origen_Ledger_EdP'!$G$3:$G$702,2023)</f>
        <v>0</v>
      </c>
      <c r="D46" s="9" t="n">
        <f aca="false">SUMIFS('90_Origen_Ledger_EdP'!$K$3:$K$702,'90_Origen_Ledger_EdP'!$F$3:$F$702,$A46,'90_Origen_Ledger_EdP'!$E$3:$E$702,$B46,'90_Origen_Ledger_EdP'!$G$3:$G$702,2024)</f>
        <v>0</v>
      </c>
      <c r="E46" s="9" t="n">
        <f aca="false">SUMIFS('90_Origen_Ledger_EdP'!$K$3:$K$702,'90_Origen_Ledger_EdP'!$F$3:$F$702,$A46,'90_Origen_Ledger_EdP'!$E$3:$E$702,$B46,'90_Origen_Ledger_EdP'!$G$3:$G$702,2025)</f>
        <v>154621</v>
      </c>
      <c r="F46" s="9" t="n">
        <f aca="false">SUMIFS('90_Origen_Ledger_EdP'!$K$3:$K$702,'90_Origen_Ledger_EdP'!$F$3:$F$702,$A46,'90_Origen_Ledger_EdP'!$E$3:$E$702,$B46,'90_Origen_Ledger_EdP'!$G$3:$G$702,2026)</f>
        <v>94955</v>
      </c>
      <c r="G46" s="10" t="n">
        <f aca="false">SUM(C46:F46)</f>
        <v>249576</v>
      </c>
      <c r="H46" s="24" t="n">
        <f aca="false">IF($G$52=0,"-",G46/$G$52)</f>
        <v>0.0651209801148995</v>
      </c>
    </row>
    <row r="47" customFormat="false" ht="15" hidden="false" customHeight="false" outlineLevel="0" collapsed="false">
      <c r="A47" s="8" t="s">
        <v>63</v>
      </c>
      <c r="B47" s="8" t="s">
        <v>169</v>
      </c>
      <c r="C47" s="9" t="n">
        <f aca="false">SUMIFS('90_Origen_Ledger_EdP'!$K$3:$K$702,'90_Origen_Ledger_EdP'!$F$3:$F$702,$A47,'90_Origen_Ledger_EdP'!$E$3:$E$702,$B47,'90_Origen_Ledger_EdP'!$G$3:$G$702,2023)</f>
        <v>0</v>
      </c>
      <c r="D47" s="9" t="n">
        <f aca="false">SUMIFS('90_Origen_Ledger_EdP'!$K$3:$K$702,'90_Origen_Ledger_EdP'!$F$3:$F$702,$A47,'90_Origen_Ledger_EdP'!$E$3:$E$702,$B47,'90_Origen_Ledger_EdP'!$G$3:$G$702,2024)</f>
        <v>0</v>
      </c>
      <c r="E47" s="9" t="n">
        <f aca="false">SUMIFS('90_Origen_Ledger_EdP'!$K$3:$K$702,'90_Origen_Ledger_EdP'!$F$3:$F$702,$A47,'90_Origen_Ledger_EdP'!$E$3:$E$702,$B47,'90_Origen_Ledger_EdP'!$G$3:$G$702,2025)</f>
        <v>0</v>
      </c>
      <c r="F47" s="9" t="n">
        <f aca="false">SUMIFS('90_Origen_Ledger_EdP'!$K$3:$K$702,'90_Origen_Ledger_EdP'!$F$3:$F$702,$A47,'90_Origen_Ledger_EdP'!$E$3:$E$702,$B47,'90_Origen_Ledger_EdP'!$G$3:$G$702,2026)</f>
        <v>239843.5</v>
      </c>
      <c r="G47" s="10" t="n">
        <f aca="false">SUM(C47:F47)</f>
        <v>239843.5</v>
      </c>
      <c r="H47" s="24" t="n">
        <f aca="false">IF($G$52=0,"-",G47/$G$52)</f>
        <v>0.0625815134235179</v>
      </c>
    </row>
    <row r="48" customFormat="false" ht="15" hidden="false" customHeight="false" outlineLevel="0" collapsed="false">
      <c r="A48" s="8" t="s">
        <v>63</v>
      </c>
      <c r="B48" s="8" t="s">
        <v>170</v>
      </c>
      <c r="C48" s="9" t="n">
        <f aca="false">SUMIFS('90_Origen_Ledger_EdP'!$K$3:$K$702,'90_Origen_Ledger_EdP'!$F$3:$F$702,$A48,'90_Origen_Ledger_EdP'!$E$3:$E$702,$B48,'90_Origen_Ledger_EdP'!$G$3:$G$702,2023)</f>
        <v>0</v>
      </c>
      <c r="D48" s="9" t="n">
        <f aca="false">SUMIFS('90_Origen_Ledger_EdP'!$K$3:$K$702,'90_Origen_Ledger_EdP'!$F$3:$F$702,$A48,'90_Origen_Ledger_EdP'!$E$3:$E$702,$B48,'90_Origen_Ledger_EdP'!$G$3:$G$702,2024)</f>
        <v>174694</v>
      </c>
      <c r="E48" s="9" t="n">
        <f aca="false">SUMIFS('90_Origen_Ledger_EdP'!$K$3:$K$702,'90_Origen_Ledger_EdP'!$F$3:$F$702,$A48,'90_Origen_Ledger_EdP'!$E$3:$E$702,$B48,'90_Origen_Ledger_EdP'!$G$3:$G$702,2025)</f>
        <v>0</v>
      </c>
      <c r="F48" s="9" t="n">
        <f aca="false">SUMIFS('90_Origen_Ledger_EdP'!$K$3:$K$702,'90_Origen_Ledger_EdP'!$F$3:$F$702,$A48,'90_Origen_Ledger_EdP'!$E$3:$E$702,$B48,'90_Origen_Ledger_EdP'!$G$3:$G$702,2026)</f>
        <v>0</v>
      </c>
      <c r="G48" s="10" t="n">
        <f aca="false">SUM(C48:F48)</f>
        <v>174694</v>
      </c>
      <c r="H48" s="24" t="n">
        <f aca="false">IF($G$52=0,"-",G48/$G$52)</f>
        <v>0.0455822855570738</v>
      </c>
    </row>
    <row r="49" customFormat="false" ht="15" hidden="false" customHeight="false" outlineLevel="0" collapsed="false">
      <c r="A49" s="8" t="s">
        <v>63</v>
      </c>
      <c r="B49" s="8" t="s">
        <v>171</v>
      </c>
      <c r="C49" s="9" t="n">
        <f aca="false">SUMIFS('90_Origen_Ledger_EdP'!$K$3:$K$702,'90_Origen_Ledger_EdP'!$F$3:$F$702,$A49,'90_Origen_Ledger_EdP'!$E$3:$E$702,$B49,'90_Origen_Ledger_EdP'!$G$3:$G$702,2023)</f>
        <v>0</v>
      </c>
      <c r="D49" s="9" t="n">
        <f aca="false">SUMIFS('90_Origen_Ledger_EdP'!$K$3:$K$702,'90_Origen_Ledger_EdP'!$F$3:$F$702,$A49,'90_Origen_Ledger_EdP'!$E$3:$E$702,$B49,'90_Origen_Ledger_EdP'!$G$3:$G$702,2024)</f>
        <v>0</v>
      </c>
      <c r="E49" s="9" t="n">
        <f aca="false">SUMIFS('90_Origen_Ledger_EdP'!$K$3:$K$702,'90_Origen_Ledger_EdP'!$F$3:$F$702,$A49,'90_Origen_Ledger_EdP'!$E$3:$E$702,$B49,'90_Origen_Ledger_EdP'!$G$3:$G$702,2025)</f>
        <v>44465</v>
      </c>
      <c r="F49" s="9" t="n">
        <f aca="false">SUMIFS('90_Origen_Ledger_EdP'!$K$3:$K$702,'90_Origen_Ledger_EdP'!$F$3:$F$702,$A49,'90_Origen_Ledger_EdP'!$E$3:$E$702,$B49,'90_Origen_Ledger_EdP'!$G$3:$G$702,2026)</f>
        <v>109236</v>
      </c>
      <c r="G49" s="10" t="n">
        <f aca="false">SUM(C49:F49)</f>
        <v>153701</v>
      </c>
      <c r="H49" s="24" t="n">
        <f aca="false">IF($G$52=0,"-",G49/$G$52)</f>
        <v>0.0401046565560798</v>
      </c>
    </row>
    <row r="50" customFormat="false" ht="15" hidden="false" customHeight="false" outlineLevel="0" collapsed="false">
      <c r="A50" s="8" t="s">
        <v>63</v>
      </c>
      <c r="B50" s="8" t="s">
        <v>135</v>
      </c>
      <c r="C50" s="9" t="n">
        <f aca="false">SUMIFS('90_Origen_Ledger_EdP'!$K$3:$K$702,'90_Origen_Ledger_EdP'!$F$3:$F$702,$A50,'90_Origen_Ledger_EdP'!$E$3:$E$702,$B50,'90_Origen_Ledger_EdP'!$G$3:$G$702,2023)</f>
        <v>0</v>
      </c>
      <c r="D50" s="9" t="n">
        <f aca="false">SUMIFS('90_Origen_Ledger_EdP'!$K$3:$K$702,'90_Origen_Ledger_EdP'!$F$3:$F$702,$A50,'90_Origen_Ledger_EdP'!$E$3:$E$702,$B50,'90_Origen_Ledger_EdP'!$G$3:$G$702,2024)</f>
        <v>66652</v>
      </c>
      <c r="E50" s="9" t="n">
        <f aca="false">SUMIFS('90_Origen_Ledger_EdP'!$K$3:$K$702,'90_Origen_Ledger_EdP'!$F$3:$F$702,$A50,'90_Origen_Ledger_EdP'!$E$3:$E$702,$B50,'90_Origen_Ledger_EdP'!$G$3:$G$702,2025)</f>
        <v>0</v>
      </c>
      <c r="F50" s="9" t="n">
        <f aca="false">SUMIFS('90_Origen_Ledger_EdP'!$K$3:$K$702,'90_Origen_Ledger_EdP'!$F$3:$F$702,$A50,'90_Origen_Ledger_EdP'!$E$3:$E$702,$B50,'90_Origen_Ledger_EdP'!$G$3:$G$702,2026)</f>
        <v>0</v>
      </c>
      <c r="G50" s="10" t="n">
        <f aca="false">SUM(C50:F50)</f>
        <v>66652</v>
      </c>
      <c r="H50" s="24" t="n">
        <f aca="false">IF($G$52=0,"-",G50/$G$52)</f>
        <v>0.0173912698601559</v>
      </c>
    </row>
    <row r="51" customFormat="false" ht="15" hidden="false" customHeight="false" outlineLevel="0" collapsed="false">
      <c r="A51" s="8" t="s">
        <v>63</v>
      </c>
      <c r="B51" s="25" t="s">
        <v>141</v>
      </c>
      <c r="C51" s="9" t="n">
        <f aca="false">SUMIFS('90_Origen_Ledger_EdP'!$K$3:$K$702,'90_Origen_Ledger_EdP'!$F$3:$F$702,$A51,'90_Origen_Ledger_EdP'!$G$3:$G$702,2023)-SUM(C41:C50)</f>
        <v>0</v>
      </c>
      <c r="D51" s="9" t="n">
        <f aca="false">SUMIFS('90_Origen_Ledger_EdP'!$K$3:$K$702,'90_Origen_Ledger_EdP'!$F$3:$F$702,$A51,'90_Origen_Ledger_EdP'!$G$3:$G$702,2024)-SUM(D41:D50)</f>
        <v>7150</v>
      </c>
      <c r="E51" s="9" t="n">
        <f aca="false">SUMIFS('90_Origen_Ledger_EdP'!$K$3:$K$702,'90_Origen_Ledger_EdP'!$F$3:$F$702,$A51,'90_Origen_Ledger_EdP'!$G$3:$G$702,2025)-SUM(E41:E50)</f>
        <v>52075</v>
      </c>
      <c r="F51" s="9" t="n">
        <f aca="false">SUMIFS('90_Origen_Ledger_EdP'!$K$3:$K$702,'90_Origen_Ledger_EdP'!$F$3:$F$702,$A51,'90_Origen_Ledger_EdP'!$G$3:$G$702,2026)-SUM(F41:F50)</f>
        <v>70593</v>
      </c>
      <c r="G51" s="10" t="n">
        <f aca="false">SUM(C51:F51)</f>
        <v>129818</v>
      </c>
      <c r="H51" s="24" t="n">
        <f aca="false">IF($G$52=0,"-",G51/$G$52)</f>
        <v>0.03387295010961</v>
      </c>
    </row>
    <row r="52" customFormat="false" ht="15" hidden="false" customHeight="false" outlineLevel="0" collapsed="false">
      <c r="A52" s="18" t="s">
        <v>63</v>
      </c>
      <c r="B52" s="18" t="s">
        <v>172</v>
      </c>
      <c r="C52" s="26" t="n">
        <f aca="false">SUM(C41:C51)</f>
        <v>102384</v>
      </c>
      <c r="D52" s="26" t="n">
        <f aca="false">SUM(D41:D51)</f>
        <v>1563780</v>
      </c>
      <c r="E52" s="26" t="n">
        <f aca="false">SUM(E41:E51)</f>
        <v>1651706.1</v>
      </c>
      <c r="F52" s="26" t="n">
        <f aca="false">SUM(F41:F51)</f>
        <v>514627.5</v>
      </c>
      <c r="G52" s="26" t="n">
        <f aca="false">SUM(C52:F52)</f>
        <v>3832497.6</v>
      </c>
      <c r="H52" s="27" t="n">
        <v>1</v>
      </c>
    </row>
    <row r="53" customFormat="false" ht="15" hidden="false" customHeight="false" outlineLevel="0" collapsed="false">
      <c r="A53" s="8" t="s">
        <v>76</v>
      </c>
      <c r="B53" s="8" t="s">
        <v>173</v>
      </c>
      <c r="C53" s="9" t="n">
        <f aca="false">SUMIFS('90_Origen_Ledger_EdP'!$K$3:$K$702,'90_Origen_Ledger_EdP'!$F$3:$F$702,$A53,'90_Origen_Ledger_EdP'!$E$3:$E$702,$B53,'90_Origen_Ledger_EdP'!$G$3:$G$702,2023)</f>
        <v>0</v>
      </c>
      <c r="D53" s="9" t="n">
        <f aca="false">SUMIFS('90_Origen_Ledger_EdP'!$K$3:$K$702,'90_Origen_Ledger_EdP'!$F$3:$F$702,$A53,'90_Origen_Ledger_EdP'!$E$3:$E$702,$B53,'90_Origen_Ledger_EdP'!$G$3:$G$702,2024)</f>
        <v>0</v>
      </c>
      <c r="E53" s="9" t="n">
        <f aca="false">SUMIFS('90_Origen_Ledger_EdP'!$K$3:$K$702,'90_Origen_Ledger_EdP'!$F$3:$F$702,$A53,'90_Origen_Ledger_EdP'!$E$3:$E$702,$B53,'90_Origen_Ledger_EdP'!$G$3:$G$702,2025)</f>
        <v>0</v>
      </c>
      <c r="F53" s="9" t="n">
        <f aca="false">SUMIFS('90_Origen_Ledger_EdP'!$K$3:$K$702,'90_Origen_Ledger_EdP'!$F$3:$F$702,$A53,'90_Origen_Ledger_EdP'!$E$3:$E$702,$B53,'90_Origen_Ledger_EdP'!$G$3:$G$702,2026)</f>
        <v>400000</v>
      </c>
      <c r="G53" s="10" t="n">
        <f aca="false">SUM(C53:F53)</f>
        <v>400000</v>
      </c>
      <c r="H53" s="24" t="n">
        <f aca="false">IF($G$59=0,"-",G53/$G$59)</f>
        <v>0.327816186907677</v>
      </c>
    </row>
    <row r="54" customFormat="false" ht="15" hidden="false" customHeight="false" outlineLevel="0" collapsed="false">
      <c r="A54" s="8" t="s">
        <v>76</v>
      </c>
      <c r="B54" s="8" t="s">
        <v>174</v>
      </c>
      <c r="C54" s="9" t="n">
        <f aca="false">SUMIFS('90_Origen_Ledger_EdP'!$K$3:$K$702,'90_Origen_Ledger_EdP'!$F$3:$F$702,$A54,'90_Origen_Ledger_EdP'!$E$3:$E$702,$B54,'90_Origen_Ledger_EdP'!$G$3:$G$702,2023)</f>
        <v>0</v>
      </c>
      <c r="D54" s="9" t="n">
        <f aca="false">SUMIFS('90_Origen_Ledger_EdP'!$K$3:$K$702,'90_Origen_Ledger_EdP'!$F$3:$F$702,$A54,'90_Origen_Ledger_EdP'!$E$3:$E$702,$B54,'90_Origen_Ledger_EdP'!$G$3:$G$702,2024)</f>
        <v>0</v>
      </c>
      <c r="E54" s="9" t="n">
        <f aca="false">SUMIFS('90_Origen_Ledger_EdP'!$K$3:$K$702,'90_Origen_Ledger_EdP'!$F$3:$F$702,$A54,'90_Origen_Ledger_EdP'!$E$3:$E$702,$B54,'90_Origen_Ledger_EdP'!$G$3:$G$702,2025)</f>
        <v>0</v>
      </c>
      <c r="F54" s="9" t="n">
        <f aca="false">SUMIFS('90_Origen_Ledger_EdP'!$K$3:$K$702,'90_Origen_Ledger_EdP'!$F$3:$F$702,$A54,'90_Origen_Ledger_EdP'!$E$3:$E$702,$B54,'90_Origen_Ledger_EdP'!$G$3:$G$702,2026)</f>
        <v>332434</v>
      </c>
      <c r="G54" s="10" t="n">
        <f aca="false">SUM(C54:F54)</f>
        <v>332434</v>
      </c>
      <c r="H54" s="24" t="n">
        <f aca="false">IF($G$59=0,"-",G54/$G$59)</f>
        <v>0.272443115696167</v>
      </c>
    </row>
    <row r="55" customFormat="false" ht="15" hidden="false" customHeight="false" outlineLevel="0" collapsed="false">
      <c r="A55" s="8" t="s">
        <v>76</v>
      </c>
      <c r="B55" s="8" t="s">
        <v>175</v>
      </c>
      <c r="C55" s="9" t="n">
        <f aca="false">SUMIFS('90_Origen_Ledger_EdP'!$K$3:$K$702,'90_Origen_Ledger_EdP'!$F$3:$F$702,$A55,'90_Origen_Ledger_EdP'!$E$3:$E$702,$B55,'90_Origen_Ledger_EdP'!$G$3:$G$702,2023)</f>
        <v>320662</v>
      </c>
      <c r="D55" s="9" t="n">
        <f aca="false">SUMIFS('90_Origen_Ledger_EdP'!$K$3:$K$702,'90_Origen_Ledger_EdP'!$F$3:$F$702,$A55,'90_Origen_Ledger_EdP'!$E$3:$E$702,$B55,'90_Origen_Ledger_EdP'!$G$3:$G$702,2024)</f>
        <v>0</v>
      </c>
      <c r="E55" s="9" t="n">
        <f aca="false">SUMIFS('90_Origen_Ledger_EdP'!$K$3:$K$702,'90_Origen_Ledger_EdP'!$F$3:$F$702,$A55,'90_Origen_Ledger_EdP'!$E$3:$E$702,$B55,'90_Origen_Ledger_EdP'!$G$3:$G$702,2025)</f>
        <v>0</v>
      </c>
      <c r="F55" s="9" t="n">
        <f aca="false">SUMIFS('90_Origen_Ledger_EdP'!$K$3:$K$702,'90_Origen_Ledger_EdP'!$F$3:$F$702,$A55,'90_Origen_Ledger_EdP'!$E$3:$E$702,$B55,'90_Origen_Ledger_EdP'!$G$3:$G$702,2026)</f>
        <v>0</v>
      </c>
      <c r="G55" s="10" t="n">
        <f aca="false">SUM(C55:F55)</f>
        <v>320662</v>
      </c>
      <c r="H55" s="24" t="n">
        <f aca="false">IF($G$59=0,"-",G55/$G$59)</f>
        <v>0.262795485315474</v>
      </c>
    </row>
    <row r="56" customFormat="false" ht="15" hidden="false" customHeight="false" outlineLevel="0" collapsed="false">
      <c r="A56" s="8" t="s">
        <v>76</v>
      </c>
      <c r="B56" s="8" t="s">
        <v>176</v>
      </c>
      <c r="C56" s="9" t="n">
        <f aca="false">SUMIFS('90_Origen_Ledger_EdP'!$K$3:$K$702,'90_Origen_Ledger_EdP'!$F$3:$F$702,$A56,'90_Origen_Ledger_EdP'!$E$3:$E$702,$B56,'90_Origen_Ledger_EdP'!$G$3:$G$702,2023)</f>
        <v>0</v>
      </c>
      <c r="D56" s="9" t="n">
        <f aca="false">SUMIFS('90_Origen_Ledger_EdP'!$K$3:$K$702,'90_Origen_Ledger_EdP'!$F$3:$F$702,$A56,'90_Origen_Ledger_EdP'!$E$3:$E$702,$B56,'90_Origen_Ledger_EdP'!$G$3:$G$702,2024)</f>
        <v>152100</v>
      </c>
      <c r="E56" s="9" t="n">
        <f aca="false">SUMIFS('90_Origen_Ledger_EdP'!$K$3:$K$702,'90_Origen_Ledger_EdP'!$F$3:$F$702,$A56,'90_Origen_Ledger_EdP'!$E$3:$E$702,$B56,'90_Origen_Ledger_EdP'!$G$3:$G$702,2025)</f>
        <v>0</v>
      </c>
      <c r="F56" s="9" t="n">
        <f aca="false">SUMIFS('90_Origen_Ledger_EdP'!$K$3:$K$702,'90_Origen_Ledger_EdP'!$F$3:$F$702,$A56,'90_Origen_Ledger_EdP'!$E$3:$E$702,$B56,'90_Origen_Ledger_EdP'!$G$3:$G$702,2026)</f>
        <v>0</v>
      </c>
      <c r="G56" s="10" t="n">
        <f aca="false">SUM(C56:F56)</f>
        <v>152100</v>
      </c>
      <c r="H56" s="24" t="n">
        <f aca="false">IF($G$59=0,"-",G56/$G$59)</f>
        <v>0.124652105071644</v>
      </c>
    </row>
    <row r="57" customFormat="false" ht="15" hidden="false" customHeight="false" outlineLevel="0" collapsed="false">
      <c r="A57" s="8" t="s">
        <v>76</v>
      </c>
      <c r="B57" s="8" t="s">
        <v>177</v>
      </c>
      <c r="C57" s="9" t="n">
        <f aca="false">SUMIFS('90_Origen_Ledger_EdP'!$K$3:$K$702,'90_Origen_Ledger_EdP'!$F$3:$F$702,$A57,'90_Origen_Ledger_EdP'!$E$3:$E$702,$B57,'90_Origen_Ledger_EdP'!$G$3:$G$702,2023)</f>
        <v>0</v>
      </c>
      <c r="D57" s="9" t="n">
        <f aca="false">SUMIFS('90_Origen_Ledger_EdP'!$K$3:$K$702,'90_Origen_Ledger_EdP'!$F$3:$F$702,$A57,'90_Origen_Ledger_EdP'!$E$3:$E$702,$B57,'90_Origen_Ledger_EdP'!$G$3:$G$702,2024)</f>
        <v>0</v>
      </c>
      <c r="E57" s="9" t="n">
        <f aca="false">SUMIFS('90_Origen_Ledger_EdP'!$K$3:$K$702,'90_Origen_Ledger_EdP'!$F$3:$F$702,$A57,'90_Origen_Ledger_EdP'!$E$3:$E$702,$B57,'90_Origen_Ledger_EdP'!$G$3:$G$702,2025)</f>
        <v>0</v>
      </c>
      <c r="F57" s="9" t="n">
        <f aca="false">SUMIFS('90_Origen_Ledger_EdP'!$K$3:$K$702,'90_Origen_Ledger_EdP'!$F$3:$F$702,$A57,'90_Origen_Ledger_EdP'!$E$3:$E$702,$B57,'90_Origen_Ledger_EdP'!$G$3:$G$702,2026)</f>
        <v>15000</v>
      </c>
      <c r="G57" s="10" t="n">
        <f aca="false">SUM(C57:F57)</f>
        <v>15000</v>
      </c>
      <c r="H57" s="24" t="n">
        <f aca="false">IF($G$59=0,"-",G57/$G$59)</f>
        <v>0.0122931070090379</v>
      </c>
    </row>
    <row r="58" customFormat="false" ht="15" hidden="false" customHeight="false" outlineLevel="0" collapsed="false">
      <c r="A58" s="8" t="s">
        <v>76</v>
      </c>
      <c r="B58" s="25" t="s">
        <v>141</v>
      </c>
      <c r="C58" s="9" t="n">
        <f aca="false">SUMIFS('90_Origen_Ledger_EdP'!$K$3:$K$702,'90_Origen_Ledger_EdP'!$F$3:$F$702,$A58,'90_Origen_Ledger_EdP'!$G$3:$G$702,2023)-SUM(C53:C57)</f>
        <v>0</v>
      </c>
      <c r="D58" s="9" t="n">
        <f aca="false">SUMIFS('90_Origen_Ledger_EdP'!$K$3:$K$702,'90_Origen_Ledger_EdP'!$F$3:$F$702,$A58,'90_Origen_Ledger_EdP'!$G$3:$G$702,2024)-SUM(D53:D57)</f>
        <v>0</v>
      </c>
      <c r="E58" s="9" t="n">
        <f aca="false">SUMIFS('90_Origen_Ledger_EdP'!$K$3:$K$702,'90_Origen_Ledger_EdP'!$F$3:$F$702,$A58,'90_Origen_Ledger_EdP'!$G$3:$G$702,2025)-SUM(E53:E57)</f>
        <v>0</v>
      </c>
      <c r="F58" s="9" t="n">
        <f aca="false">SUMIFS('90_Origen_Ledger_EdP'!$K$3:$K$702,'90_Origen_Ledger_EdP'!$F$3:$F$702,$A58,'90_Origen_Ledger_EdP'!$G$3:$G$702,2026)-SUM(F53:F57)</f>
        <v>0</v>
      </c>
      <c r="G58" s="10" t="n">
        <f aca="false">SUM(C58:F58)</f>
        <v>0</v>
      </c>
      <c r="H58" s="24" t="n">
        <f aca="false">IF($G$59=0,"-",G58/$G$59)</f>
        <v>0</v>
      </c>
    </row>
    <row r="59" customFormat="false" ht="15" hidden="false" customHeight="false" outlineLevel="0" collapsed="false">
      <c r="A59" s="18" t="s">
        <v>76</v>
      </c>
      <c r="B59" s="18" t="s">
        <v>178</v>
      </c>
      <c r="C59" s="26" t="n">
        <f aca="false">SUM(C53:C58)</f>
        <v>320662</v>
      </c>
      <c r="D59" s="26" t="n">
        <f aca="false">SUM(D53:D58)</f>
        <v>152100</v>
      </c>
      <c r="E59" s="26" t="n">
        <f aca="false">SUM(E53:E58)</f>
        <v>0</v>
      </c>
      <c r="F59" s="26" t="n">
        <f aca="false">SUM(F53:F58)</f>
        <v>747434</v>
      </c>
      <c r="G59" s="26" t="n">
        <f aca="false">SUM(C59:F59)</f>
        <v>1220196</v>
      </c>
      <c r="H59" s="27" t="n">
        <v>1</v>
      </c>
    </row>
    <row r="60" customFormat="false" ht="15" hidden="false" customHeight="false" outlineLevel="0" collapsed="false">
      <c r="A60" s="8" t="s">
        <v>179</v>
      </c>
      <c r="B60" s="8" t="s">
        <v>180</v>
      </c>
      <c r="C60" s="9" t="n">
        <f aca="false">SUMIFS('90_Origen_Ledger_EdP'!$K$3:$K$702,'90_Origen_Ledger_EdP'!$F$3:$F$702,$A60,'90_Origen_Ledger_EdP'!$E$3:$E$702,$B60,'90_Origen_Ledger_EdP'!$G$3:$G$702,2023)</f>
        <v>0</v>
      </c>
      <c r="D60" s="9" t="n">
        <f aca="false">SUMIFS('90_Origen_Ledger_EdP'!$K$3:$K$702,'90_Origen_Ledger_EdP'!$F$3:$F$702,$A60,'90_Origen_Ledger_EdP'!$E$3:$E$702,$B60,'90_Origen_Ledger_EdP'!$G$3:$G$702,2024)</f>
        <v>0</v>
      </c>
      <c r="E60" s="9" t="n">
        <f aca="false">SUMIFS('90_Origen_Ledger_EdP'!$K$3:$K$702,'90_Origen_Ledger_EdP'!$F$3:$F$702,$A60,'90_Origen_Ledger_EdP'!$E$3:$E$702,$B60,'90_Origen_Ledger_EdP'!$G$3:$G$702,2025)</f>
        <v>272031</v>
      </c>
      <c r="F60" s="9" t="n">
        <f aca="false">SUMIFS('90_Origen_Ledger_EdP'!$K$3:$K$702,'90_Origen_Ledger_EdP'!$F$3:$F$702,$A60,'90_Origen_Ledger_EdP'!$E$3:$E$702,$B60,'90_Origen_Ledger_EdP'!$G$3:$G$702,2026)</f>
        <v>0</v>
      </c>
      <c r="G60" s="10" t="n">
        <f aca="false">SUM(C60:F60)</f>
        <v>272031</v>
      </c>
      <c r="H60" s="24" t="n">
        <f aca="false">IF($G$63=0,"-",G60/$G$63)</f>
        <v>0.801999463429159</v>
      </c>
    </row>
    <row r="61" customFormat="false" ht="15" hidden="false" customHeight="false" outlineLevel="0" collapsed="false">
      <c r="A61" s="8" t="s">
        <v>179</v>
      </c>
      <c r="B61" s="8" t="s">
        <v>137</v>
      </c>
      <c r="C61" s="9" t="n">
        <f aca="false">SUMIFS('90_Origen_Ledger_EdP'!$K$3:$K$702,'90_Origen_Ledger_EdP'!$F$3:$F$702,$A61,'90_Origen_Ledger_EdP'!$E$3:$E$702,$B61,'90_Origen_Ledger_EdP'!$G$3:$G$702,2023)</f>
        <v>0</v>
      </c>
      <c r="D61" s="9" t="n">
        <f aca="false">SUMIFS('90_Origen_Ledger_EdP'!$K$3:$K$702,'90_Origen_Ledger_EdP'!$F$3:$F$702,$A61,'90_Origen_Ledger_EdP'!$E$3:$E$702,$B61,'90_Origen_Ledger_EdP'!$G$3:$G$702,2024)</f>
        <v>67160</v>
      </c>
      <c r="E61" s="9" t="n">
        <f aca="false">SUMIFS('90_Origen_Ledger_EdP'!$K$3:$K$702,'90_Origen_Ledger_EdP'!$F$3:$F$702,$A61,'90_Origen_Ledger_EdP'!$E$3:$E$702,$B61,'90_Origen_Ledger_EdP'!$G$3:$G$702,2025)</f>
        <v>0</v>
      </c>
      <c r="F61" s="9" t="n">
        <f aca="false">SUMIFS('90_Origen_Ledger_EdP'!$K$3:$K$702,'90_Origen_Ledger_EdP'!$F$3:$F$702,$A61,'90_Origen_Ledger_EdP'!$E$3:$E$702,$B61,'90_Origen_Ledger_EdP'!$G$3:$G$702,2026)</f>
        <v>0</v>
      </c>
      <c r="G61" s="10" t="n">
        <f aca="false">SUM(C61:F61)</f>
        <v>67160</v>
      </c>
      <c r="H61" s="24" t="n">
        <f aca="false">IF($G$63=0,"-",G61/$G$63)</f>
        <v>0.198000536570841</v>
      </c>
    </row>
    <row r="62" customFormat="false" ht="15" hidden="false" customHeight="false" outlineLevel="0" collapsed="false">
      <c r="A62" s="8" t="s">
        <v>179</v>
      </c>
      <c r="B62" s="25" t="s">
        <v>141</v>
      </c>
      <c r="C62" s="9" t="n">
        <f aca="false">SUMIFS('90_Origen_Ledger_EdP'!$K$3:$K$702,'90_Origen_Ledger_EdP'!$F$3:$F$702,$A62,'90_Origen_Ledger_EdP'!$G$3:$G$702,2023)-SUM(C60:C61)</f>
        <v>0</v>
      </c>
      <c r="D62" s="9" t="n">
        <f aca="false">SUMIFS('90_Origen_Ledger_EdP'!$K$3:$K$702,'90_Origen_Ledger_EdP'!$F$3:$F$702,$A62,'90_Origen_Ledger_EdP'!$G$3:$G$702,2024)-SUM(D60:D61)</f>
        <v>0</v>
      </c>
      <c r="E62" s="9" t="n">
        <f aca="false">SUMIFS('90_Origen_Ledger_EdP'!$K$3:$K$702,'90_Origen_Ledger_EdP'!$F$3:$F$702,$A62,'90_Origen_Ledger_EdP'!$G$3:$G$702,2025)-SUM(E60:E61)</f>
        <v>0</v>
      </c>
      <c r="F62" s="9" t="n">
        <f aca="false">SUMIFS('90_Origen_Ledger_EdP'!$K$3:$K$702,'90_Origen_Ledger_EdP'!$F$3:$F$702,$A62,'90_Origen_Ledger_EdP'!$G$3:$G$702,2026)-SUM(F60:F61)</f>
        <v>0</v>
      </c>
      <c r="G62" s="10" t="n">
        <f aca="false">SUM(C62:F62)</f>
        <v>0</v>
      </c>
      <c r="H62" s="24" t="n">
        <f aca="false">IF($G$63=0,"-",G62/$G$63)</f>
        <v>0</v>
      </c>
    </row>
    <row r="63" customFormat="false" ht="15" hidden="false" customHeight="false" outlineLevel="0" collapsed="false">
      <c r="A63" s="18" t="s">
        <v>179</v>
      </c>
      <c r="B63" s="18" t="s">
        <v>181</v>
      </c>
      <c r="C63" s="26" t="n">
        <f aca="false">SUM(C60:C62)</f>
        <v>0</v>
      </c>
      <c r="D63" s="26" t="n">
        <f aca="false">SUM(D60:D62)</f>
        <v>67160</v>
      </c>
      <c r="E63" s="26" t="n">
        <f aca="false">SUM(E60:E62)</f>
        <v>272031</v>
      </c>
      <c r="F63" s="26" t="n">
        <f aca="false">SUM(F60:F62)</f>
        <v>0</v>
      </c>
      <c r="G63" s="26" t="n">
        <f aca="false">SUM(C63:F63)</f>
        <v>339191</v>
      </c>
      <c r="H63" s="27" t="n">
        <v>1</v>
      </c>
    </row>
    <row r="64" customFormat="false" ht="15" hidden="false" customHeight="false" outlineLevel="0" collapsed="false">
      <c r="A64" s="8" t="s">
        <v>182</v>
      </c>
      <c r="B64" s="8" t="s">
        <v>183</v>
      </c>
      <c r="C64" s="9" t="n">
        <f aca="false">SUMIFS('90_Origen_Ledger_EdP'!$K$3:$K$702,'90_Origen_Ledger_EdP'!$F$3:$F$702,$A64,'90_Origen_Ledger_EdP'!$E$3:$E$702,$B64,'90_Origen_Ledger_EdP'!$G$3:$G$702,2023)</f>
        <v>0</v>
      </c>
      <c r="D64" s="9" t="n">
        <f aca="false">SUMIFS('90_Origen_Ledger_EdP'!$K$3:$K$702,'90_Origen_Ledger_EdP'!$F$3:$F$702,$A64,'90_Origen_Ledger_EdP'!$E$3:$E$702,$B64,'90_Origen_Ledger_EdP'!$G$3:$G$702,2024)</f>
        <v>0</v>
      </c>
      <c r="E64" s="9" t="n">
        <f aca="false">SUMIFS('90_Origen_Ledger_EdP'!$K$3:$K$702,'90_Origen_Ledger_EdP'!$F$3:$F$702,$A64,'90_Origen_Ledger_EdP'!$E$3:$E$702,$B64,'90_Origen_Ledger_EdP'!$G$3:$G$702,2025)</f>
        <v>0</v>
      </c>
      <c r="F64" s="9" t="n">
        <f aca="false">SUMIFS('90_Origen_Ledger_EdP'!$K$3:$K$702,'90_Origen_Ledger_EdP'!$F$3:$F$702,$A64,'90_Origen_Ledger_EdP'!$E$3:$E$702,$B64,'90_Origen_Ledger_EdP'!$G$3:$G$702,2026)</f>
        <v>47121</v>
      </c>
      <c r="G64" s="10" t="n">
        <f aca="false">SUM(C64:F64)</f>
        <v>47121</v>
      </c>
      <c r="H64" s="24" t="n">
        <f aca="false">IF($G$66=0,"-",G64/$G$66)</f>
        <v>1</v>
      </c>
    </row>
    <row r="65" customFormat="false" ht="15" hidden="false" customHeight="false" outlineLevel="0" collapsed="false">
      <c r="A65" s="8" t="s">
        <v>182</v>
      </c>
      <c r="B65" s="25" t="s">
        <v>141</v>
      </c>
      <c r="C65" s="9" t="n">
        <f aca="false">SUMIFS('90_Origen_Ledger_EdP'!$K$3:$K$702,'90_Origen_Ledger_EdP'!$F$3:$F$702,$A65,'90_Origen_Ledger_EdP'!$G$3:$G$702,2023)-SUM(C64)</f>
        <v>0</v>
      </c>
      <c r="D65" s="9" t="n">
        <f aca="false">SUMIFS('90_Origen_Ledger_EdP'!$K$3:$K$702,'90_Origen_Ledger_EdP'!$F$3:$F$702,$A65,'90_Origen_Ledger_EdP'!$G$3:$G$702,2024)-SUM(D64)</f>
        <v>0</v>
      </c>
      <c r="E65" s="9" t="n">
        <f aca="false">SUMIFS('90_Origen_Ledger_EdP'!$K$3:$K$702,'90_Origen_Ledger_EdP'!$F$3:$F$702,$A65,'90_Origen_Ledger_EdP'!$G$3:$G$702,2025)-SUM(E64)</f>
        <v>0</v>
      </c>
      <c r="F65" s="9" t="n">
        <f aca="false">SUMIFS('90_Origen_Ledger_EdP'!$K$3:$K$702,'90_Origen_Ledger_EdP'!$F$3:$F$702,$A65,'90_Origen_Ledger_EdP'!$G$3:$G$702,2026)-SUM(F64)</f>
        <v>0</v>
      </c>
      <c r="G65" s="10" t="n">
        <f aca="false">SUM(C65:F65)</f>
        <v>0</v>
      </c>
      <c r="H65" s="24" t="n">
        <f aca="false">IF($G$66=0,"-",G65/$G$66)</f>
        <v>0</v>
      </c>
    </row>
    <row r="66" customFormat="false" ht="15" hidden="false" customHeight="false" outlineLevel="0" collapsed="false">
      <c r="A66" s="18" t="s">
        <v>182</v>
      </c>
      <c r="B66" s="18" t="s">
        <v>184</v>
      </c>
      <c r="C66" s="26" t="n">
        <f aca="false">SUM(C64:C65)</f>
        <v>0</v>
      </c>
      <c r="D66" s="26" t="n">
        <f aca="false">SUM(D64:D65)</f>
        <v>0</v>
      </c>
      <c r="E66" s="26" t="n">
        <f aca="false">SUM(E64:E65)</f>
        <v>0</v>
      </c>
      <c r="F66" s="26" t="n">
        <f aca="false">SUM(F64:F65)</f>
        <v>47121</v>
      </c>
      <c r="G66" s="26" t="n">
        <f aca="false">SUM(C66:F66)</f>
        <v>47121</v>
      </c>
      <c r="H66" s="27" t="n">
        <v>1</v>
      </c>
    </row>
    <row r="68" customFormat="false" ht="52.2" hidden="false" customHeight="false" outlineLevel="0" collapsed="false">
      <c r="A68" s="3" t="s">
        <v>185</v>
      </c>
    </row>
    <row r="69" customFormat="false" ht="23.85" hidden="false" customHeight="false" outlineLevel="0" collapsed="false">
      <c r="A69" s="7" t="s">
        <v>42</v>
      </c>
      <c r="B69" s="7" t="s">
        <v>186</v>
      </c>
      <c r="C69" s="7" t="s">
        <v>187</v>
      </c>
      <c r="D69" s="7" t="s">
        <v>188</v>
      </c>
      <c r="E69" s="7" t="s">
        <v>189</v>
      </c>
    </row>
    <row r="70" customFormat="false" ht="15" hidden="false" customHeight="false" outlineLevel="0" collapsed="false">
      <c r="A70" s="8" t="s">
        <v>48</v>
      </c>
      <c r="B70" s="10" t="n">
        <f aca="false">'02_Ventas_2023_2025'!$G$17</f>
        <v>12010931.2089375</v>
      </c>
      <c r="C70" s="8" t="n">
        <f aca="false">COUNT($G$6:$G$15)+1</f>
        <v>11</v>
      </c>
      <c r="D70" s="11" t="n">
        <f aca="false">IF($G$17=0,"-",MAX($G$6:$G$15)/$G$17)</f>
        <v>0.362975030815547</v>
      </c>
      <c r="E70" s="11" t="n">
        <f aca="false">IF($G$17=0,"-",(IFERROR(LARGE($G$6:$G$15,1),0)+IFERROR(LARGE($G$6:$G$15,2),0)+IFERROR(LARGE($G$6:$G$15,3),0))/$G$17)</f>
        <v>0.602483287395136</v>
      </c>
    </row>
    <row r="71" customFormat="false" ht="15" hidden="false" customHeight="false" outlineLevel="0" collapsed="false">
      <c r="A71" s="8" t="s">
        <v>61</v>
      </c>
      <c r="B71" s="10" t="n">
        <f aca="false">'02_Ventas_2023_2025'!$G$29</f>
        <v>7032939.00092979</v>
      </c>
      <c r="C71" s="8" t="n">
        <f aca="false">COUNT($G$18:$G$27)+1</f>
        <v>11</v>
      </c>
      <c r="D71" s="11" t="n">
        <f aca="false">IF($G$29=0,"-",MAX($G$18:$G$27)/$G$29)</f>
        <v>0.248325410941444</v>
      </c>
      <c r="E71" s="11" t="n">
        <f aca="false">IF($G$29=0,"-",(IFERROR(LARGE($G$18:$G$27,1),0)+IFERROR(LARGE($G$18:$G$27,2),0)+IFERROR(LARGE($G$18:$G$27,3),0))/$G$29)</f>
        <v>0.643328960386494</v>
      </c>
    </row>
    <row r="72" customFormat="false" ht="15" hidden="false" customHeight="false" outlineLevel="0" collapsed="false">
      <c r="A72" s="8" t="s">
        <v>62</v>
      </c>
      <c r="B72" s="10" t="n">
        <f aca="false">'02_Ventas_2023_2025'!$G$40</f>
        <v>4037608.96694096</v>
      </c>
      <c r="C72" s="8" t="n">
        <f aca="false">COUNT($G$30:$G$38)+1</f>
        <v>10</v>
      </c>
      <c r="D72" s="11" t="n">
        <f aca="false">IF($G$40=0,"-",MAX($G$30:$G$38)/$G$40)</f>
        <v>0.425639152793453</v>
      </c>
      <c r="E72" s="11" t="n">
        <f aca="false">IF($G$40=0,"-",(IFERROR(LARGE($G$30:$G$38,1),0)+IFERROR(LARGE($G$30:$G$38,2),0)+IFERROR(LARGE($G$30:$G$38,3),0))/$G$40)</f>
        <v>0.688184120707888</v>
      </c>
    </row>
    <row r="73" customFormat="false" ht="15" hidden="false" customHeight="false" outlineLevel="0" collapsed="false">
      <c r="A73" s="8" t="s">
        <v>63</v>
      </c>
      <c r="B73" s="10" t="n">
        <f aca="false">'02_Ventas_2023_2025'!$G$52</f>
        <v>3832497.6</v>
      </c>
      <c r="C73" s="8" t="n">
        <f aca="false">COUNT($G$41:$G$50)+1</f>
        <v>11</v>
      </c>
      <c r="D73" s="11" t="n">
        <f aca="false">IF($G$52=0,"-",MAX($G$41:$G$50)/$G$52)</f>
        <v>0.183687525335958</v>
      </c>
      <c r="E73" s="11" t="n">
        <f aca="false">IF($G$52=0,"-",(IFERROR(LARGE($G$41:$G$50,1),0)+IFERROR(LARGE($G$41:$G$50,2),0)+IFERROR(LARGE($G$41:$G$50,3),0))/$G$52)</f>
        <v>0.50897018174258</v>
      </c>
    </row>
    <row r="74" customFormat="false" ht="15" hidden="false" customHeight="false" outlineLevel="0" collapsed="false">
      <c r="A74" s="8" t="s">
        <v>76</v>
      </c>
      <c r="B74" s="10" t="n">
        <f aca="false">'02_Ventas_2023_2025'!$G$59</f>
        <v>1220196</v>
      </c>
      <c r="C74" s="8" t="n">
        <f aca="false">COUNT($G$53:$G$57)+1</f>
        <v>6</v>
      </c>
      <c r="D74" s="11" t="n">
        <f aca="false">IF($G$59=0,"-",MAX($G$53:$G$57)/$G$59)</f>
        <v>0.327816186907677</v>
      </c>
      <c r="E74" s="11" t="n">
        <f aca="false">IF($G$59=0,"-",(IFERROR(LARGE($G$53:$G$57,1),0)+IFERROR(LARGE($G$53:$G$57,2),0)+IFERROR(LARGE($G$53:$G$57,3),0))/$G$59)</f>
        <v>0.863054787919318</v>
      </c>
    </row>
    <row r="75" customFormat="false" ht="15" hidden="false" customHeight="false" outlineLevel="0" collapsed="false">
      <c r="A75" s="8" t="s">
        <v>179</v>
      </c>
      <c r="B75" s="10" t="n">
        <f aca="false">'02_Ventas_2023_2025'!$G$63</f>
        <v>339191</v>
      </c>
      <c r="C75" s="8" t="n">
        <f aca="false">COUNT($G$60:$G$61)+1</f>
        <v>3</v>
      </c>
      <c r="D75" s="11" t="n">
        <f aca="false">IF($G$63=0,"-",MAX($G$60:$G$61)/$G$63)</f>
        <v>0.801999463429159</v>
      </c>
      <c r="E75" s="11" t="n">
        <f aca="false">IF($G$63=0,"-",(IFERROR(LARGE($G$60:$G$61,1),0)+IFERROR(LARGE($G$60:$G$61,2),0)+IFERROR(LARGE($G$60:$G$61,3),0))/$G$63)</f>
        <v>1</v>
      </c>
    </row>
    <row r="76" customFormat="false" ht="15" hidden="false" customHeight="false" outlineLevel="0" collapsed="false">
      <c r="A76" s="8" t="s">
        <v>182</v>
      </c>
      <c r="B76" s="10" t="n">
        <f aca="false">'02_Ventas_2023_2025'!$G$66</f>
        <v>47121</v>
      </c>
      <c r="C76" s="8" t="n">
        <f aca="false">COUNT($G$64)+1</f>
        <v>2</v>
      </c>
      <c r="D76" s="11" t="n">
        <f aca="false">IF($G$66=0,"-",MAX($G$64)/$G$66)</f>
        <v>1</v>
      </c>
      <c r="E76" s="11" t="n">
        <f aca="false">IF($G$66=0,"-",(IFERROR(LARGE($G$64,1),0)+IFERROR(LARGE($G$64,2),0)+IFERROR(LARGE($G$64,3),0))/$G$66)</f>
        <v>1</v>
      </c>
    </row>
    <row r="78" customFormat="false" ht="52.2" hidden="false" customHeight="false" outlineLevel="0" collapsed="false">
      <c r="A78" s="3" t="s">
        <v>190</v>
      </c>
    </row>
    <row r="79" customFormat="false" ht="46.25" hidden="false" customHeight="false" outlineLevel="0" collapsed="false">
      <c r="A79" s="7" t="s">
        <v>191</v>
      </c>
      <c r="B79" s="7" t="s">
        <v>192</v>
      </c>
      <c r="C79" s="7" t="s">
        <v>193</v>
      </c>
      <c r="D79" s="7" t="s">
        <v>194</v>
      </c>
      <c r="E79" s="7" t="s">
        <v>195</v>
      </c>
    </row>
    <row r="80" customFormat="false" ht="15" hidden="false" customHeight="false" outlineLevel="0" collapsed="false">
      <c r="A80" s="8" t="s">
        <v>125</v>
      </c>
      <c r="B80" s="9" t="n">
        <f aca="false">SUMIFS('90_Origen_Ledger_EdP'!$H$3:$H$702,'90_Origen_Ledger_EdP'!$G$3:$G$702,2023)</f>
        <v>3410142.85626667</v>
      </c>
      <c r="C80" s="9" t="n">
        <f aca="false">SUMIFS('90_Origen_Ledger_EdP'!$K$3:$K$702,'90_Origen_Ledger_EdP'!$G$3:$G$702,2023)</f>
        <v>7071136.64813171</v>
      </c>
      <c r="D80" s="9" t="n">
        <f aca="false">SUMIFS('90_Origen_Ledger_EdP'!$N$3:$N$702,'90_Origen_Ledger_EdP'!$G$3:$G$702,2023)</f>
        <v>7066623.2527352</v>
      </c>
      <c r="E80" s="9" t="n">
        <f aca="false">SUMIFS('90_Origen_Ledger_EdP'!$Q$3:$Q$702,'90_Origen_Ledger_EdP'!$G$3:$G$702,2023)</f>
        <v>6928320.01119213</v>
      </c>
    </row>
    <row r="81" customFormat="false" ht="15" hidden="false" customHeight="false" outlineLevel="0" collapsed="false">
      <c r="A81" s="8" t="s">
        <v>126</v>
      </c>
      <c r="B81" s="9" t="n">
        <f aca="false">SUMIFS('90_Origen_Ledger_EdP'!$H$3:$H$702,'90_Origen_Ledger_EdP'!$G$3:$G$702,2024)</f>
        <v>3166713.10643265</v>
      </c>
      <c r="C81" s="9" t="n">
        <f aca="false">SUMIFS('90_Origen_Ledger_EdP'!$K$3:$K$702,'90_Origen_Ledger_EdP'!$G$3:$G$702,2024)</f>
        <v>8418844.54</v>
      </c>
      <c r="D81" s="9" t="n">
        <f aca="false">SUMIFS('90_Origen_Ledger_EdP'!$N$3:$N$702,'90_Origen_Ledger_EdP'!$G$3:$G$702,2024)</f>
        <v>8323592.32432366</v>
      </c>
      <c r="E81" s="9" t="n">
        <f aca="false">SUMIFS('90_Origen_Ledger_EdP'!$Q$3:$Q$702,'90_Origen_Ledger_EdP'!$G$3:$G$702,2024)</f>
        <v>8323276.2374062</v>
      </c>
    </row>
    <row r="82" customFormat="false" ht="15" hidden="false" customHeight="false" outlineLevel="0" collapsed="false">
      <c r="A82" s="8" t="s">
        <v>127</v>
      </c>
      <c r="B82" s="9" t="n">
        <f aca="false">SUMIFS('90_Origen_Ledger_EdP'!$H$3:$H$702,'90_Origen_Ledger_EdP'!$G$3:$G$702,2025)</f>
        <v>0</v>
      </c>
      <c r="C82" s="9" t="n">
        <f aca="false">SUMIFS('90_Origen_Ledger_EdP'!$K$3:$K$702,'90_Origen_Ledger_EdP'!$G$3:$G$702,2025)</f>
        <v>9476037.10096226</v>
      </c>
      <c r="D82" s="9" t="n">
        <f aca="false">SUMIFS('90_Origen_Ledger_EdP'!$N$3:$N$702,'90_Origen_Ledger_EdP'!$G$3:$G$702,2025)</f>
        <v>9596451.60335169</v>
      </c>
      <c r="E82" s="9" t="n">
        <f aca="false">SUMIFS('90_Origen_Ledger_EdP'!$Q$3:$Q$702,'90_Origen_Ledger_EdP'!$G$3:$G$702,2025)</f>
        <v>9437343.9449697</v>
      </c>
    </row>
    <row r="83" customFormat="false" ht="15" hidden="false" customHeight="false" outlineLevel="0" collapsed="false">
      <c r="A83" s="8" t="s">
        <v>196</v>
      </c>
      <c r="B83" s="9" t="n">
        <f aca="false">SUMIFS('90_Origen_Ledger_EdP'!$H$3:$H$702,'90_Origen_Ledger_EdP'!$G$3:$G$702,2026)</f>
        <v>2545429.35246957</v>
      </c>
      <c r="C83" s="9" t="n">
        <f aca="false">SUMIFS('90_Origen_Ledger_EdP'!$K$3:$K$702,'90_Origen_Ledger_EdP'!$G$3:$G$702,2026)</f>
        <v>3554466.48771429</v>
      </c>
      <c r="D83" s="9" t="n">
        <f aca="false">SUMIFS('90_Origen_Ledger_EdP'!$N$3:$N$702,'90_Origen_Ledger_EdP'!$G$3:$G$702,2026)</f>
        <v>2744008.64737044</v>
      </c>
      <c r="E83" s="9" t="n">
        <f aca="false">SUMIFS('90_Origen_Ledger_EdP'!$Q$3:$Q$702,'90_Origen_Ledger_EdP'!$G$3:$G$702,2026)</f>
        <v>1191382.58103865</v>
      </c>
    </row>
    <row r="85" customFormat="false" ht="128.35" hidden="false" customHeight="false" outlineLevel="0" collapsed="false">
      <c r="A85" s="3" t="s">
        <v>197</v>
      </c>
    </row>
    <row r="86" customFormat="false" ht="35.05" hidden="false" customHeight="false" outlineLevel="0" collapsed="false">
      <c r="A86" s="7" t="s">
        <v>42</v>
      </c>
      <c r="B86" s="7" t="s">
        <v>198</v>
      </c>
      <c r="C86" s="7" t="s">
        <v>199</v>
      </c>
      <c r="D86" s="7" t="s">
        <v>200</v>
      </c>
      <c r="E86" s="7" t="s">
        <v>201</v>
      </c>
      <c r="F86" s="7" t="s">
        <v>202</v>
      </c>
    </row>
    <row r="87" customFormat="false" ht="15" hidden="false" customHeight="false" outlineLevel="0" collapsed="false">
      <c r="A87" s="8" t="s">
        <v>48</v>
      </c>
      <c r="B87" s="17" t="n">
        <f aca="false">COUNTIFS('90_Origen_Ledger_EdP'!$F$3:$F$702,$A87,'90_Origen_Ledger_EdP'!$X$3:$X$702,"&gt;=0")</f>
        <v>300</v>
      </c>
      <c r="C87" s="28" t="n">
        <f aca="false">IFERROR(AVERAGEIFS('90_Origen_Ledger_EdP'!$V$3:$V$702,'90_Origen_Ledger_EdP'!$F$3:$F$702,$A87),"-")</f>
        <v>34.8513513513514</v>
      </c>
      <c r="D87" s="28" t="n">
        <f aca="false">IFERROR(AVERAGEIFS('90_Origen_Ledger_EdP'!$W$3:$W$702,'90_Origen_Ledger_EdP'!$F$3:$F$702,$A87),"-")</f>
        <v>21.0963455149502</v>
      </c>
      <c r="E87" s="28" t="n">
        <f aca="false">IFERROR(AVERAGEIFS('90_Origen_Ledger_EdP'!$X$3:$X$702,'90_Origen_Ledger_EdP'!$F$3:$F$702,$A87),"-")</f>
        <v>54.11</v>
      </c>
      <c r="F87" s="29" t="n">
        <f aca="false">IFERROR(365/E87,"-")</f>
        <v>6.74551838846794</v>
      </c>
    </row>
    <row r="88" customFormat="false" ht="15" hidden="false" customHeight="false" outlineLevel="0" collapsed="false">
      <c r="A88" s="8" t="s">
        <v>61</v>
      </c>
      <c r="B88" s="17" t="n">
        <f aca="false">COUNTIFS('90_Origen_Ledger_EdP'!$F$3:$F$702,$A88,'90_Origen_Ledger_EdP'!$X$3:$X$702,"&gt;=0")</f>
        <v>172</v>
      </c>
      <c r="C88" s="28" t="n">
        <f aca="false">IFERROR(AVERAGEIFS('90_Origen_Ledger_EdP'!$V$3:$V$702,'90_Origen_Ledger_EdP'!$F$3:$F$702,$A88),"-")</f>
        <v>32.2797619047619</v>
      </c>
      <c r="D88" s="28" t="n">
        <f aca="false">IFERROR(AVERAGEIFS('90_Origen_Ledger_EdP'!$W$3:$W$702,'90_Origen_Ledger_EdP'!$F$3:$F$702,$A88),"-")</f>
        <v>29.3942857142857</v>
      </c>
      <c r="E88" s="28" t="n">
        <f aca="false">IFERROR(AVERAGEIFS('90_Origen_Ledger_EdP'!$X$3:$X$702,'90_Origen_Ledger_EdP'!$F$3:$F$702,$A88),"-")</f>
        <v>60.4709302325581</v>
      </c>
      <c r="F88" s="29" t="n">
        <f aca="false">IFERROR(365/E88,"-")</f>
        <v>6.03595808095376</v>
      </c>
    </row>
    <row r="89" customFormat="false" ht="15" hidden="false" customHeight="false" outlineLevel="0" collapsed="false">
      <c r="A89" s="8" t="s">
        <v>62</v>
      </c>
      <c r="B89" s="17" t="n">
        <f aca="false">COUNTIFS('90_Origen_Ledger_EdP'!$F$3:$F$702,$A89,'90_Origen_Ledger_EdP'!$X$3:$X$702,"&gt;=0")</f>
        <v>115</v>
      </c>
      <c r="C89" s="28" t="n">
        <f aca="false">IFERROR(AVERAGEIFS('90_Origen_Ledger_EdP'!$V$3:$V$702,'90_Origen_Ledger_EdP'!$F$3:$F$702,$A89),"-")</f>
        <v>17.3703703703704</v>
      </c>
      <c r="D89" s="28" t="n">
        <f aca="false">IFERROR(AVERAGEIFS('90_Origen_Ledger_EdP'!$W$3:$W$702,'90_Origen_Ledger_EdP'!$F$3:$F$702,$A89),"-")</f>
        <v>60.1130434782609</v>
      </c>
      <c r="E89" s="28" t="n">
        <f aca="false">IFERROR(AVERAGEIFS('90_Origen_Ledger_EdP'!$X$3:$X$702,'90_Origen_Ledger_EdP'!$F$3:$F$702,$A89),"-")</f>
        <v>76.1913043478261</v>
      </c>
      <c r="F89" s="29" t="n">
        <f aca="false">IFERROR(365/E89,"-")</f>
        <v>4.79057292855512</v>
      </c>
    </row>
    <row r="90" customFormat="false" ht="15" hidden="false" customHeight="false" outlineLevel="0" collapsed="false">
      <c r="A90" s="8" t="s">
        <v>63</v>
      </c>
      <c r="B90" s="17" t="n">
        <f aca="false">COUNTIFS('90_Origen_Ledger_EdP'!$F$3:$F$702,$A90,'90_Origen_Ledger_EdP'!$X$3:$X$702,"&gt;=0")</f>
        <v>54</v>
      </c>
      <c r="C90" s="28" t="n">
        <f aca="false">IFERROR(AVERAGEIFS('90_Origen_Ledger_EdP'!$V$3:$V$702,'90_Origen_Ledger_EdP'!$F$3:$F$702,$A90),"-")</f>
        <v>10.1698113207547</v>
      </c>
      <c r="D90" s="28" t="n">
        <f aca="false">IFERROR(AVERAGEIFS('90_Origen_Ledger_EdP'!$W$3:$W$702,'90_Origen_Ledger_EdP'!$F$3:$F$702,$A90),"-")</f>
        <v>43.9464285714286</v>
      </c>
      <c r="E90" s="28" t="n">
        <f aca="false">IFERROR(AVERAGEIFS('90_Origen_Ledger_EdP'!$X$3:$X$702,'90_Origen_Ledger_EdP'!$F$3:$F$702,$A90),"-")</f>
        <v>52.2222222222222</v>
      </c>
      <c r="F90" s="29" t="n">
        <f aca="false">IFERROR(365/E90,"-")</f>
        <v>6.98936170212766</v>
      </c>
    </row>
    <row r="91" customFormat="false" ht="15" hidden="false" customHeight="false" outlineLevel="0" collapsed="false">
      <c r="A91" s="8" t="s">
        <v>76</v>
      </c>
      <c r="B91" s="17" t="n">
        <f aca="false">COUNTIFS('90_Origen_Ledger_EdP'!$F$3:$F$702,$A91,'90_Origen_Ledger_EdP'!$X$3:$X$702,"&gt;=0")</f>
        <v>16</v>
      </c>
      <c r="C91" s="28" t="n">
        <f aca="false">IFERROR(AVERAGEIFS('90_Origen_Ledger_EdP'!$V$3:$V$702,'90_Origen_Ledger_EdP'!$F$3:$F$702,$A91),"-")</f>
        <v>29.75</v>
      </c>
      <c r="D91" s="28" t="n">
        <f aca="false">IFERROR(AVERAGEIFS('90_Origen_Ledger_EdP'!$W$3:$W$702,'90_Origen_Ledger_EdP'!$F$3:$F$702,$A91),"-")</f>
        <v>50.1875</v>
      </c>
      <c r="E91" s="28" t="n">
        <f aca="false">IFERROR(AVERAGEIFS('90_Origen_Ledger_EdP'!$X$3:$X$702,'90_Origen_Ledger_EdP'!$F$3:$F$702,$A91),"-")</f>
        <v>79.9375</v>
      </c>
      <c r="F91" s="29" t="n">
        <f aca="false">IFERROR(365/E91,"-")</f>
        <v>4.56606724003127</v>
      </c>
    </row>
    <row r="92" customFormat="false" ht="15" hidden="false" customHeight="false" outlineLevel="0" collapsed="false">
      <c r="A92" s="8" t="s">
        <v>179</v>
      </c>
      <c r="B92" s="17" t="n">
        <f aca="false">COUNTIFS('90_Origen_Ledger_EdP'!$F$3:$F$702,$A92,'90_Origen_Ledger_EdP'!$X$3:$X$702,"&gt;=0")</f>
        <v>5</v>
      </c>
      <c r="C92" s="28" t="n">
        <f aca="false">IFERROR(AVERAGEIFS('90_Origen_Ledger_EdP'!$V$3:$V$702,'90_Origen_Ledger_EdP'!$F$3:$F$702,$A92),"-")</f>
        <v>42.2</v>
      </c>
      <c r="D92" s="28" t="n">
        <f aca="false">IFERROR(AVERAGEIFS('90_Origen_Ledger_EdP'!$W$3:$W$702,'90_Origen_Ledger_EdP'!$F$3:$F$702,$A92),"-")</f>
        <v>28.2</v>
      </c>
      <c r="E92" s="28" t="n">
        <f aca="false">IFERROR(AVERAGEIFS('90_Origen_Ledger_EdP'!$X$3:$X$702,'90_Origen_Ledger_EdP'!$F$3:$F$702,$A92),"-")</f>
        <v>70.4</v>
      </c>
      <c r="F92" s="29" t="n">
        <f aca="false">IFERROR(365/E92,"-")</f>
        <v>5.18465909090909</v>
      </c>
    </row>
    <row r="93" customFormat="false" ht="15" hidden="false" customHeight="false" outlineLevel="0" collapsed="false">
      <c r="A93" s="13" t="s">
        <v>203</v>
      </c>
      <c r="B93" s="30" t="n">
        <f aca="false">COUNT('90_Origen_Ledger_EdP'!$X$3:$X$702)</f>
        <v>662</v>
      </c>
      <c r="C93" s="31" t="n">
        <f aca="false">IFERROR(AVERAGE('90_Origen_Ledger_EdP'!$V$3:$V$702),"-")</f>
        <v>29.1656346749226</v>
      </c>
      <c r="D93" s="31" t="n">
        <f aca="false">IFERROR(AVERAGE('90_Origen_Ledger_EdP'!$W$3:$W$702),"-")</f>
        <v>32.6526946107784</v>
      </c>
      <c r="E93" s="31" t="n">
        <f aca="false">IFERROR(AVERAGE('90_Origen_Ledger_EdP'!$X$3:$X$702),"-")</f>
        <v>60.1918429003021</v>
      </c>
      <c r="F93" s="32" t="n">
        <f aca="false">IFERROR(365/E93,"-")</f>
        <v>6.06394458804929</v>
      </c>
    </row>
    <row r="95" customFormat="false" ht="77.6" hidden="false" customHeight="false" outlineLevel="0" collapsed="false">
      <c r="A95" s="3" t="s">
        <v>204</v>
      </c>
    </row>
    <row r="96" customFormat="false" ht="23.85" hidden="false" customHeight="false" outlineLevel="0" collapsed="false">
      <c r="A96" s="7" t="s">
        <v>124</v>
      </c>
      <c r="B96" s="7" t="s">
        <v>42</v>
      </c>
      <c r="C96" s="7" t="s">
        <v>205</v>
      </c>
      <c r="D96" s="7" t="s">
        <v>206</v>
      </c>
      <c r="E96" s="7" t="s">
        <v>207</v>
      </c>
      <c r="F96" s="7" t="s">
        <v>208</v>
      </c>
      <c r="G96" s="7" t="s">
        <v>209</v>
      </c>
    </row>
    <row r="97" customFormat="false" ht="15" hidden="false" customHeight="false" outlineLevel="0" collapsed="false">
      <c r="A97" s="8" t="s">
        <v>131</v>
      </c>
      <c r="B97" s="8" t="s">
        <v>48</v>
      </c>
      <c r="C97" s="17" t="n">
        <f aca="false">COUNTIFS('90_Origen_Ledger_EdP'!$E$3:$E$702,$A97,'90_Origen_Ledger_EdP'!$X$3:$X$702,"&gt;=0")</f>
        <v>115</v>
      </c>
      <c r="D97" s="28" t="n">
        <f aca="false">IFERROR(AVERAGEIFS('90_Origen_Ledger_EdP'!$V$3:$V$702,'90_Origen_Ledger_EdP'!$E$3:$E$702,$A97),"-")</f>
        <v>25.140350877193</v>
      </c>
      <c r="E97" s="28" t="n">
        <f aca="false">IFERROR(AVERAGEIFS('90_Origen_Ledger_EdP'!$W$3:$W$702,'90_Origen_Ledger_EdP'!$E$3:$E$702,$A97),"-")</f>
        <v>20.0347826086957</v>
      </c>
      <c r="F97" s="28" t="n">
        <f aca="false">IFERROR(AVERAGEIFS('90_Origen_Ledger_EdP'!$X$3:$X$702,'90_Origen_Ledger_EdP'!$E$3:$E$702,$A97),"-")</f>
        <v>41.9130434782609</v>
      </c>
      <c r="G97" s="29" t="n">
        <f aca="false">IFERROR(365/F97,"-")</f>
        <v>8.70850622406639</v>
      </c>
    </row>
    <row r="98" customFormat="false" ht="15" hidden="false" customHeight="false" outlineLevel="0" collapsed="false">
      <c r="A98" s="8" t="s">
        <v>143</v>
      </c>
      <c r="B98" s="8" t="s">
        <v>61</v>
      </c>
      <c r="C98" s="17" t="n">
        <f aca="false">COUNTIFS('90_Origen_Ledger_EdP'!$E$3:$E$702,$A98,'90_Origen_Ledger_EdP'!$X$3:$X$702,"&gt;=0")</f>
        <v>44</v>
      </c>
      <c r="D98" s="28" t="n">
        <f aca="false">IFERROR(AVERAGEIFS('90_Origen_Ledger_EdP'!$V$3:$V$702,'90_Origen_Ledger_EdP'!$E$3:$E$702,$A98),"-")</f>
        <v>40.5714285714286</v>
      </c>
      <c r="E98" s="28" t="n">
        <f aca="false">IFERROR(AVERAGEIFS('90_Origen_Ledger_EdP'!$W$3:$W$702,'90_Origen_Ledger_EdP'!$E$3:$E$702,$A98),"-")</f>
        <v>18.4545454545455</v>
      </c>
      <c r="F98" s="28" t="n">
        <f aca="false">IFERROR(AVERAGEIFS('90_Origen_Ledger_EdP'!$X$3:$X$702,'90_Origen_Ledger_EdP'!$E$3:$E$702,$A98),"-")</f>
        <v>55.0909090909091</v>
      </c>
      <c r="G98" s="29" t="n">
        <f aca="false">IFERROR(365/F98,"-")</f>
        <v>6.62541254125413</v>
      </c>
    </row>
    <row r="99" customFormat="false" ht="15" hidden="false" customHeight="false" outlineLevel="0" collapsed="false">
      <c r="A99" s="8" t="s">
        <v>153</v>
      </c>
      <c r="B99" s="8" t="s">
        <v>62</v>
      </c>
      <c r="C99" s="17" t="n">
        <f aca="false">COUNTIFS('90_Origen_Ledger_EdP'!$E$3:$E$702,$A99,'90_Origen_Ledger_EdP'!$X$3:$X$702,"&gt;=0")</f>
        <v>59</v>
      </c>
      <c r="D99" s="28" t="n">
        <f aca="false">IFERROR(AVERAGEIFS('90_Origen_Ledger_EdP'!$V$3:$V$702,'90_Origen_Ledger_EdP'!$E$3:$E$702,$A99),"-")</f>
        <v>24.0576923076923</v>
      </c>
      <c r="E99" s="28" t="n">
        <f aca="false">IFERROR(AVERAGEIFS('90_Origen_Ledger_EdP'!$W$3:$W$702,'90_Origen_Ledger_EdP'!$E$3:$E$702,$A99),"-")</f>
        <v>75.5084745762712</v>
      </c>
      <c r="F99" s="28" t="n">
        <f aca="false">IFERROR(AVERAGEIFS('90_Origen_Ledger_EdP'!$X$3:$X$702,'90_Origen_Ledger_EdP'!$E$3:$E$702,$A99),"-")</f>
        <v>96.2542372881356</v>
      </c>
      <c r="G99" s="29" t="n">
        <f aca="false">IFERROR(365/F99,"-")</f>
        <v>3.79204085226272</v>
      </c>
    </row>
    <row r="100" customFormat="false" ht="15" hidden="false" customHeight="false" outlineLevel="0" collapsed="false">
      <c r="A100" s="8" t="s">
        <v>132</v>
      </c>
      <c r="B100" s="8" t="s">
        <v>48</v>
      </c>
      <c r="C100" s="17" t="n">
        <f aca="false">COUNTIFS('90_Origen_Ledger_EdP'!$E$3:$E$702,$A100,'90_Origen_Ledger_EdP'!$X$3:$X$702,"&gt;=0")</f>
        <v>38</v>
      </c>
      <c r="D100" s="28" t="n">
        <f aca="false">IFERROR(AVERAGEIFS('90_Origen_Ledger_EdP'!$V$3:$V$702,'90_Origen_Ledger_EdP'!$E$3:$E$702,$A100),"-")</f>
        <v>24.8648648648649</v>
      </c>
      <c r="E100" s="28" t="n">
        <f aca="false">IFERROR(AVERAGEIFS('90_Origen_Ledger_EdP'!$W$3:$W$702,'90_Origen_Ledger_EdP'!$E$3:$E$702,$A100),"-")</f>
        <v>10.2631578947368</v>
      </c>
      <c r="F100" s="28" t="n">
        <f aca="false">IFERROR(AVERAGEIFS('90_Origen_Ledger_EdP'!$X$3:$X$702,'90_Origen_Ledger_EdP'!$E$3:$E$702,$A100),"-")</f>
        <v>34.4210526315789</v>
      </c>
      <c r="G100" s="29" t="n">
        <f aca="false">IFERROR(365/F100,"-")</f>
        <v>10.6039755351682</v>
      </c>
    </row>
    <row r="101" customFormat="false" ht="15" hidden="false" customHeight="false" outlineLevel="0" collapsed="false">
      <c r="A101" s="8" t="s">
        <v>144</v>
      </c>
      <c r="B101" s="8" t="s">
        <v>61</v>
      </c>
      <c r="C101" s="17" t="n">
        <f aca="false">COUNTIFS('90_Origen_Ledger_EdP'!$E$3:$E$702,$A101,'90_Origen_Ledger_EdP'!$X$3:$X$702,"&gt;=0")</f>
        <v>26</v>
      </c>
      <c r="D101" s="28" t="n">
        <f aca="false">IFERROR(AVERAGEIFS('90_Origen_Ledger_EdP'!$V$3:$V$702,'90_Origen_Ledger_EdP'!$E$3:$E$702,$A101),"-")</f>
        <v>18.5384615384615</v>
      </c>
      <c r="E101" s="28" t="n">
        <f aca="false">IFERROR(AVERAGEIFS('90_Origen_Ledger_EdP'!$W$3:$W$702,'90_Origen_Ledger_EdP'!$E$3:$E$702,$A101),"-")</f>
        <v>19.1153846153846</v>
      </c>
      <c r="F101" s="28" t="n">
        <f aca="false">IFERROR(AVERAGEIFS('90_Origen_Ledger_EdP'!$X$3:$X$702,'90_Origen_Ledger_EdP'!$E$3:$E$702,$A101),"-")</f>
        <v>37.6538461538462</v>
      </c>
      <c r="G101" s="29" t="n">
        <f aca="false">IFERROR(365/F101,"-")</f>
        <v>9.69356486210419</v>
      </c>
    </row>
    <row r="102" customFormat="false" ht="15" hidden="false" customHeight="false" outlineLevel="0" collapsed="false">
      <c r="A102" s="8" t="s">
        <v>133</v>
      </c>
      <c r="B102" s="8" t="s">
        <v>48</v>
      </c>
      <c r="C102" s="17" t="n">
        <f aca="false">COUNTIFS('90_Origen_Ledger_EdP'!$E$3:$E$702,$A102,'90_Origen_Ledger_EdP'!$X$3:$X$702,"&gt;=0")</f>
        <v>24</v>
      </c>
      <c r="D102" s="28" t="n">
        <f aca="false">IFERROR(AVERAGEIFS('90_Origen_Ledger_EdP'!$V$3:$V$702,'90_Origen_Ledger_EdP'!$E$3:$E$702,$A102),"-")</f>
        <v>38.5833333333333</v>
      </c>
      <c r="E102" s="28" t="n">
        <f aca="false">IFERROR(AVERAGEIFS('90_Origen_Ledger_EdP'!$W$3:$W$702,'90_Origen_Ledger_EdP'!$E$3:$E$702,$A102),"-")</f>
        <v>8.29166666666667</v>
      </c>
      <c r="F102" s="28" t="n">
        <f aca="false">IFERROR(AVERAGEIFS('90_Origen_Ledger_EdP'!$X$3:$X$702,'90_Origen_Ledger_EdP'!$E$3:$E$702,$A102),"-")</f>
        <v>46.875</v>
      </c>
      <c r="G102" s="29" t="n">
        <f aca="false">IFERROR(365/F102,"-")</f>
        <v>7.78666666666667</v>
      </c>
    </row>
    <row r="103" customFormat="false" ht="15" hidden="false" customHeight="false" outlineLevel="0" collapsed="false">
      <c r="A103" s="8" t="s">
        <v>145</v>
      </c>
      <c r="B103" s="8" t="s">
        <v>61</v>
      </c>
      <c r="C103" s="17" t="n">
        <f aca="false">COUNTIFS('90_Origen_Ledger_EdP'!$E$3:$E$702,$A103,'90_Origen_Ledger_EdP'!$X$3:$X$702,"&gt;=0")</f>
        <v>26</v>
      </c>
      <c r="D103" s="28" t="n">
        <f aca="false">IFERROR(AVERAGEIFS('90_Origen_Ledger_EdP'!$V$3:$V$702,'90_Origen_Ledger_EdP'!$E$3:$E$702,$A103),"-")</f>
        <v>31.2307692307692</v>
      </c>
      <c r="E103" s="28" t="n">
        <f aca="false">IFERROR(AVERAGEIFS('90_Origen_Ledger_EdP'!$W$3:$W$702,'90_Origen_Ledger_EdP'!$E$3:$E$702,$A103),"-")</f>
        <v>35.0769230769231</v>
      </c>
      <c r="F103" s="28" t="n">
        <f aca="false">IFERROR(AVERAGEIFS('90_Origen_Ledger_EdP'!$X$3:$X$702,'90_Origen_Ledger_EdP'!$E$3:$E$702,$A103),"-")</f>
        <v>66.3076923076923</v>
      </c>
      <c r="G103" s="29" t="n">
        <f aca="false">IFERROR(365/F103,"-")</f>
        <v>5.5046403712297</v>
      </c>
    </row>
    <row r="104" customFormat="false" ht="15" hidden="false" customHeight="false" outlineLevel="0" collapsed="false">
      <c r="A104" s="8" t="s">
        <v>134</v>
      </c>
      <c r="B104" s="8" t="s">
        <v>48</v>
      </c>
      <c r="C104" s="17" t="n">
        <f aca="false">COUNTIFS('90_Origen_Ledger_EdP'!$E$3:$E$702,$A104,'90_Origen_Ledger_EdP'!$X$3:$X$702,"&gt;=0")</f>
        <v>32</v>
      </c>
      <c r="D104" s="28" t="n">
        <f aca="false">IFERROR(AVERAGEIFS('90_Origen_Ledger_EdP'!$V$3:$V$702,'90_Origen_Ledger_EdP'!$E$3:$E$702,$A104),"-")</f>
        <v>80.03125</v>
      </c>
      <c r="E104" s="28" t="n">
        <f aca="false">IFERROR(AVERAGEIFS('90_Origen_Ledger_EdP'!$W$3:$W$702,'90_Origen_Ledger_EdP'!$E$3:$E$702,$A104),"-")</f>
        <v>26.21875</v>
      </c>
      <c r="F104" s="28" t="n">
        <f aca="false">IFERROR(AVERAGEIFS('90_Origen_Ledger_EdP'!$X$3:$X$702,'90_Origen_Ledger_EdP'!$E$3:$E$702,$A104),"-")</f>
        <v>106.25</v>
      </c>
      <c r="G104" s="29" t="n">
        <f aca="false">IFERROR(365/F104,"-")</f>
        <v>3.43529411764706</v>
      </c>
    </row>
    <row r="105" customFormat="false" ht="15" hidden="false" customHeight="false" outlineLevel="0" collapsed="false">
      <c r="A105" s="8" t="s">
        <v>135</v>
      </c>
      <c r="B105" s="8" t="s">
        <v>48</v>
      </c>
      <c r="C105" s="17" t="n">
        <f aca="false">COUNTIFS('90_Origen_Ledger_EdP'!$E$3:$E$702,$A105,'90_Origen_Ledger_EdP'!$X$3:$X$702,"&gt;=0")</f>
        <v>28</v>
      </c>
      <c r="D105" s="28" t="n">
        <f aca="false">IFERROR(AVERAGEIFS('90_Origen_Ledger_EdP'!$V$3:$V$702,'90_Origen_Ledger_EdP'!$E$3:$E$702,$A105),"-")</f>
        <v>47.4642857142857</v>
      </c>
      <c r="E105" s="28" t="n">
        <f aca="false">IFERROR(AVERAGEIFS('90_Origen_Ledger_EdP'!$W$3:$W$702,'90_Origen_Ledger_EdP'!$E$3:$E$702,$A105),"-")</f>
        <v>25.7857142857143</v>
      </c>
      <c r="F105" s="28" t="n">
        <f aca="false">IFERROR(AVERAGEIFS('90_Origen_Ledger_EdP'!$X$3:$X$702,'90_Origen_Ledger_EdP'!$E$3:$E$702,$A105),"-")</f>
        <v>73.25</v>
      </c>
      <c r="G105" s="29" t="n">
        <f aca="false">IFERROR(365/F105,"-")</f>
        <v>4.98293515358362</v>
      </c>
    </row>
    <row r="106" customFormat="false" ht="15" hidden="false" customHeight="false" outlineLevel="0" collapsed="false">
      <c r="A106" s="8" t="s">
        <v>136</v>
      </c>
      <c r="B106" s="8" t="s">
        <v>48</v>
      </c>
      <c r="C106" s="17" t="n">
        <f aca="false">COUNTIFS('90_Origen_Ledger_EdP'!$E$3:$E$702,$A106,'90_Origen_Ledger_EdP'!$X$3:$X$702,"&gt;=0")</f>
        <v>11</v>
      </c>
      <c r="D106" s="28" t="n">
        <f aca="false">IFERROR(AVERAGEIFS('90_Origen_Ledger_EdP'!$V$3:$V$702,'90_Origen_Ledger_EdP'!$E$3:$E$702,$A106),"-")</f>
        <v>27</v>
      </c>
      <c r="E106" s="28" t="n">
        <f aca="false">IFERROR(AVERAGEIFS('90_Origen_Ledger_EdP'!$W$3:$W$702,'90_Origen_Ledger_EdP'!$E$3:$E$702,$A106),"-")</f>
        <v>57.4545454545455</v>
      </c>
      <c r="F106" s="28" t="n">
        <f aca="false">IFERROR(AVERAGEIFS('90_Origen_Ledger_EdP'!$X$3:$X$702,'90_Origen_Ledger_EdP'!$E$3:$E$702,$A106),"-")</f>
        <v>84.4545454545455</v>
      </c>
      <c r="G106" s="29" t="n">
        <f aca="false">IFERROR(365/F106,"-")</f>
        <v>4.32185145317546</v>
      </c>
    </row>
    <row r="107" customFormat="false" ht="15" hidden="false" customHeight="false" outlineLevel="0" collapsed="false">
      <c r="A107" s="8" t="s">
        <v>163</v>
      </c>
      <c r="B107" s="8" t="s">
        <v>63</v>
      </c>
      <c r="C107" s="17" t="n">
        <f aca="false">COUNTIFS('90_Origen_Ledger_EdP'!$E$3:$E$702,$A107,'90_Origen_Ledger_EdP'!$X$3:$X$702,"&gt;=0")</f>
        <v>13</v>
      </c>
      <c r="D107" s="28" t="n">
        <f aca="false">IFERROR(AVERAGEIFS('90_Origen_Ledger_EdP'!$V$3:$V$702,'90_Origen_Ledger_EdP'!$E$3:$E$702,$A107),"-")</f>
        <v>7.61538461538462</v>
      </c>
      <c r="E107" s="28" t="n">
        <f aca="false">IFERROR(AVERAGEIFS('90_Origen_Ledger_EdP'!$W$3:$W$702,'90_Origen_Ledger_EdP'!$E$3:$E$702,$A107),"-")</f>
        <v>33.4615384615385</v>
      </c>
      <c r="F107" s="28" t="n">
        <f aca="false">IFERROR(AVERAGEIFS('90_Origen_Ledger_EdP'!$X$3:$X$702,'90_Origen_Ledger_EdP'!$E$3:$E$702,$A107),"-")</f>
        <v>41.0769230769231</v>
      </c>
      <c r="G107" s="29" t="n">
        <f aca="false">IFERROR(365/F107,"-")</f>
        <v>8.88576779026217</v>
      </c>
    </row>
    <row r="108" customFormat="false" ht="15" hidden="false" customHeight="false" outlineLevel="0" collapsed="false">
      <c r="A108" s="8" t="s">
        <v>164</v>
      </c>
      <c r="B108" s="8" t="s">
        <v>63</v>
      </c>
      <c r="C108" s="17" t="n">
        <f aca="false">COUNTIFS('90_Origen_Ledger_EdP'!$E$3:$E$702,$A108,'90_Origen_Ledger_EdP'!$X$3:$X$702,"&gt;=0")</f>
        <v>6</v>
      </c>
      <c r="D108" s="28" t="n">
        <f aca="false">IFERROR(AVERAGEIFS('90_Origen_Ledger_EdP'!$V$3:$V$702,'90_Origen_Ledger_EdP'!$E$3:$E$702,$A108),"-")</f>
        <v>14.5</v>
      </c>
      <c r="E108" s="28" t="n">
        <f aca="false">IFERROR(AVERAGEIFS('90_Origen_Ledger_EdP'!$W$3:$W$702,'90_Origen_Ledger_EdP'!$E$3:$E$702,$A108),"-")</f>
        <v>156.5</v>
      </c>
      <c r="F108" s="28" t="n">
        <f aca="false">IFERROR(AVERAGEIFS('90_Origen_Ledger_EdP'!$X$3:$X$702,'90_Origen_Ledger_EdP'!$E$3:$E$702,$A108),"-")</f>
        <v>171</v>
      </c>
      <c r="G108" s="29" t="n">
        <f aca="false">IFERROR(365/F108,"-")</f>
        <v>2.13450292397661</v>
      </c>
    </row>
    <row r="109" customFormat="false" ht="15" hidden="false" customHeight="false" outlineLevel="0" collapsed="false">
      <c r="A109" s="8" t="s">
        <v>137</v>
      </c>
      <c r="B109" s="8" t="s">
        <v>48</v>
      </c>
      <c r="C109" s="17" t="n">
        <f aca="false">COUNTIFS('90_Origen_Ledger_EdP'!$E$3:$E$702,$A109,'90_Origen_Ledger_EdP'!$X$3:$X$702,"&gt;=0")</f>
        <v>13</v>
      </c>
      <c r="D109" s="28" t="n">
        <f aca="false">IFERROR(AVERAGEIFS('90_Origen_Ledger_EdP'!$V$3:$V$702,'90_Origen_Ledger_EdP'!$E$3:$E$702,$A109),"-")</f>
        <v>37.2307692307692</v>
      </c>
      <c r="E109" s="28" t="n">
        <f aca="false">IFERROR(AVERAGEIFS('90_Origen_Ledger_EdP'!$W$3:$W$702,'90_Origen_Ledger_EdP'!$E$3:$E$702,$A109),"-")</f>
        <v>55.8666666666667</v>
      </c>
      <c r="F109" s="28" t="n">
        <f aca="false">IFERROR(AVERAGEIFS('90_Origen_Ledger_EdP'!$X$3:$X$702,'90_Origen_Ledger_EdP'!$E$3:$E$702,$A109),"-")</f>
        <v>83.6153846153846</v>
      </c>
      <c r="G109" s="29" t="n">
        <f aca="false">IFERROR(365/F109,"-")</f>
        <v>4.36522539098436</v>
      </c>
    </row>
    <row r="110" customFormat="false" ht="15" hidden="false" customHeight="false" outlineLevel="0" collapsed="false">
      <c r="A110" s="8" t="s">
        <v>165</v>
      </c>
      <c r="B110" s="8" t="s">
        <v>63</v>
      </c>
      <c r="C110" s="17" t="n">
        <f aca="false">COUNTIFS('90_Origen_Ledger_EdP'!$E$3:$E$702,$A110,'90_Origen_Ledger_EdP'!$X$3:$X$702,"&gt;=0")</f>
        <v>2</v>
      </c>
      <c r="D110" s="28" t="n">
        <f aca="false">IFERROR(AVERAGEIFS('90_Origen_Ledger_EdP'!$V$3:$V$702,'90_Origen_Ledger_EdP'!$E$3:$E$702,$A110),"-")</f>
        <v>32.5</v>
      </c>
      <c r="E110" s="28" t="n">
        <f aca="false">IFERROR(AVERAGEIFS('90_Origen_Ledger_EdP'!$W$3:$W$702,'90_Origen_Ledger_EdP'!$E$3:$E$702,$A110),"-")</f>
        <v>30</v>
      </c>
      <c r="F110" s="28" t="n">
        <f aca="false">IFERROR(AVERAGEIFS('90_Origen_Ledger_EdP'!$X$3:$X$702,'90_Origen_Ledger_EdP'!$E$3:$E$702,$A110),"-")</f>
        <v>62.5</v>
      </c>
      <c r="G110" s="29" t="n">
        <f aca="false">IFERROR(365/F110,"-")</f>
        <v>5.84</v>
      </c>
    </row>
    <row r="111" customFormat="false" ht="15" hidden="false" customHeight="false" outlineLevel="0" collapsed="false">
      <c r="A111" s="8" t="s">
        <v>166</v>
      </c>
      <c r="B111" s="8" t="s">
        <v>63</v>
      </c>
      <c r="C111" s="17" t="n">
        <f aca="false">COUNTIFS('90_Origen_Ledger_EdP'!$E$3:$E$702,$A111,'90_Origen_Ledger_EdP'!$X$3:$X$702,"&gt;=0")</f>
        <v>8</v>
      </c>
      <c r="D111" s="28" t="n">
        <f aca="false">IFERROR(AVERAGEIFS('90_Origen_Ledger_EdP'!$V$3:$V$702,'90_Origen_Ledger_EdP'!$E$3:$E$702,$A111),"-")</f>
        <v>9.375</v>
      </c>
      <c r="E111" s="28" t="n">
        <f aca="false">IFERROR(AVERAGEIFS('90_Origen_Ledger_EdP'!$W$3:$W$702,'90_Origen_Ledger_EdP'!$E$3:$E$702,$A111),"-")</f>
        <v>29</v>
      </c>
      <c r="F111" s="28" t="n">
        <f aca="false">IFERROR(AVERAGEIFS('90_Origen_Ledger_EdP'!$X$3:$X$702,'90_Origen_Ledger_EdP'!$E$3:$E$702,$A111),"-")</f>
        <v>38.375</v>
      </c>
      <c r="G111" s="29" t="n">
        <f aca="false">IFERROR(365/F111,"-")</f>
        <v>9.5114006514658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8"/>
    <col collapsed="false" customWidth="true" hidden="false" outlineLevel="0" max="4" min="3" style="0" width="12"/>
    <col collapsed="false" customWidth="true" hidden="false" outlineLevel="0" max="5" min="5" style="0" width="34"/>
    <col collapsed="false" customWidth="true" hidden="false" outlineLevel="0" max="15" min="6" style="0" width="12"/>
  </cols>
  <sheetData>
    <row r="1" customFormat="false" ht="25.5" hidden="false" customHeight="true" outlineLevel="0" collapsed="false">
      <c r="A1" s="5" t="s">
        <v>210</v>
      </c>
    </row>
    <row r="2" customFormat="false" ht="180.55" hidden="false" customHeight="false" outlineLevel="0" collapsed="false">
      <c r="A2" s="6" t="s">
        <v>211</v>
      </c>
    </row>
    <row r="4" customFormat="false" ht="153.7" hidden="false" customHeight="false" outlineLevel="0" collapsed="false">
      <c r="A4" s="3" t="s">
        <v>212</v>
      </c>
    </row>
    <row r="5" customFormat="false" ht="23.85" hidden="false" customHeight="false" outlineLevel="0" collapsed="false">
      <c r="A5" s="7" t="s">
        <v>213</v>
      </c>
      <c r="B5" s="7" t="s">
        <v>43</v>
      </c>
      <c r="C5" s="7" t="s">
        <v>214</v>
      </c>
      <c r="D5" s="7" t="s">
        <v>215</v>
      </c>
      <c r="E5" s="7" t="s">
        <v>216</v>
      </c>
      <c r="F5" s="7" t="s">
        <v>217</v>
      </c>
      <c r="G5" s="7" t="s">
        <v>218</v>
      </c>
    </row>
    <row r="6" customFormat="false" ht="15" hidden="false" customHeight="false" outlineLevel="0" collapsed="false">
      <c r="A6" s="8" t="s">
        <v>48</v>
      </c>
      <c r="B6" s="8" t="s">
        <v>49</v>
      </c>
      <c r="C6" s="9" t="n">
        <f aca="false">SUMIFS('90_Origen_Caja_2025'!$F$3:$F$542,'90_Origen_Caja_2025'!$A$3:$A$542,"Chile",'90_Origen_Caja_2025'!$C$3:$C$542,1,'90_Origen_Caja_2025'!$E$3:$E$542,"Caja Inicial")</f>
        <v>52257.14</v>
      </c>
      <c r="D6" s="9" t="n">
        <f aca="false">SUMIFS('90_Origen_Caja_2025'!$F$3:$F$542,'90_Origen_Caja_2025'!$A$3:$A$542,"Chile",'90_Origen_Caja_2025'!$C$3:$C$542,1,'90_Origen_Caja_2025'!$E$3:$E$542,"Ingresos Op.")+SUMIFS('90_Origen_Caja_2025'!$F$3:$F$542,'90_Origen_Caja_2025'!$A$3:$A$542,"Chile",'90_Origen_Caja_2025'!$C$3:$C$542,1,'90_Origen_Caja_2025'!$E$3:$E$542,"Otros Ingresos")</f>
        <v>623639.54</v>
      </c>
      <c r="E6" s="9" t="n">
        <f aca="false">SUMIFS('90_Origen_Caja_2025'!$F$3:$F$542,'90_Origen_Caja_2025'!$A$3:$A$542,"Chile",'90_Origen_Caja_2025'!$C$3:$C$542,1,'90_Origen_Caja_2025'!$E$3:$E$542,"Costos Op.")+SUMIFS('90_Origen_Caja_2025'!$F$3:$F$542,'90_Origen_Caja_2025'!$A$3:$A$542,"Chile",'90_Origen_Caja_2025'!$C$3:$C$542,1,'90_Origen_Caja_2025'!$E$3:$E$542,"Costos Admin.")+SUMIFS('90_Origen_Caja_2025'!$F$3:$F$542,'90_Origen_Caja_2025'!$A$3:$A$542,"Chile",'90_Origen_Caja_2025'!$C$3:$C$542,1,'90_Origen_Caja_2025'!$E$3:$E$542,"Activo")+SUMIFS('90_Origen_Caja_2025'!$F$3:$F$542,'90_Origen_Caja_2025'!$A$3:$A$542,"Chile",'90_Origen_Caja_2025'!$C$3:$C$542,1,'90_Origen_Caja_2025'!$E$3:$E$542,"Egresos No Op.")+SUMIFS('90_Origen_Caja_2025'!$F$3:$F$542,'90_Origen_Caja_2025'!$A$3:$A$542,"Chile",'90_Origen_Caja_2025'!$C$3:$C$542,1,'90_Origen_Caja_2025'!$E$3:$E$542,"Pagos Cta.Cte.")</f>
        <v>505243.99</v>
      </c>
      <c r="F6" s="10" t="n">
        <f aca="false">C6+D6-E6</f>
        <v>170652.69</v>
      </c>
      <c r="G6" s="10" t="n">
        <f aca="false">D6-E6</f>
        <v>118395.55</v>
      </c>
    </row>
    <row r="7" customFormat="false" ht="15" hidden="false" customHeight="false" outlineLevel="0" collapsed="false">
      <c r="A7" s="8" t="s">
        <v>48</v>
      </c>
      <c r="B7" s="8" t="s">
        <v>50</v>
      </c>
      <c r="C7" s="9" t="n">
        <f aca="false">SUMIFS('90_Origen_Caja_2025'!$F$3:$F$542,'90_Origen_Caja_2025'!$A$3:$A$542,"Chile",'90_Origen_Caja_2025'!$C$3:$C$542,2,'90_Origen_Caja_2025'!$E$3:$E$542,"Caja Inicial")</f>
        <v>170652.7</v>
      </c>
      <c r="D7" s="9" t="n">
        <f aca="false">SUMIFS('90_Origen_Caja_2025'!$F$3:$F$542,'90_Origen_Caja_2025'!$A$3:$A$542,"Chile",'90_Origen_Caja_2025'!$C$3:$C$542,2,'90_Origen_Caja_2025'!$E$3:$E$542,"Ingresos Op.")+SUMIFS('90_Origen_Caja_2025'!$F$3:$F$542,'90_Origen_Caja_2025'!$A$3:$A$542,"Chile",'90_Origen_Caja_2025'!$C$3:$C$542,2,'90_Origen_Caja_2025'!$E$3:$E$542,"Otros Ingresos")</f>
        <v>776046.03</v>
      </c>
      <c r="E7" s="9" t="n">
        <f aca="false">SUMIFS('90_Origen_Caja_2025'!$F$3:$F$542,'90_Origen_Caja_2025'!$A$3:$A$542,"Chile",'90_Origen_Caja_2025'!$C$3:$C$542,2,'90_Origen_Caja_2025'!$E$3:$E$542,"Costos Op.")+SUMIFS('90_Origen_Caja_2025'!$F$3:$F$542,'90_Origen_Caja_2025'!$A$3:$A$542,"Chile",'90_Origen_Caja_2025'!$C$3:$C$542,2,'90_Origen_Caja_2025'!$E$3:$E$542,"Costos Admin.")+SUMIFS('90_Origen_Caja_2025'!$F$3:$F$542,'90_Origen_Caja_2025'!$A$3:$A$542,"Chile",'90_Origen_Caja_2025'!$C$3:$C$542,2,'90_Origen_Caja_2025'!$E$3:$E$542,"Activo")+SUMIFS('90_Origen_Caja_2025'!$F$3:$F$542,'90_Origen_Caja_2025'!$A$3:$A$542,"Chile",'90_Origen_Caja_2025'!$C$3:$C$542,2,'90_Origen_Caja_2025'!$E$3:$E$542,"Egresos No Op.")+SUMIFS('90_Origen_Caja_2025'!$F$3:$F$542,'90_Origen_Caja_2025'!$A$3:$A$542,"Chile",'90_Origen_Caja_2025'!$C$3:$C$542,2,'90_Origen_Caja_2025'!$E$3:$E$542,"Pagos Cta.Cte.")</f>
        <v>642883.86</v>
      </c>
      <c r="F7" s="10" t="n">
        <f aca="false">C7+D7-E7</f>
        <v>303814.87</v>
      </c>
      <c r="G7" s="10" t="n">
        <f aca="false">D7-E7</f>
        <v>133162.17</v>
      </c>
    </row>
    <row r="8" customFormat="false" ht="15" hidden="false" customHeight="false" outlineLevel="0" collapsed="false">
      <c r="A8" s="8" t="s">
        <v>48</v>
      </c>
      <c r="B8" s="8" t="s">
        <v>51</v>
      </c>
      <c r="C8" s="9" t="n">
        <f aca="false">SUMIFS('90_Origen_Caja_2025'!$F$3:$F$542,'90_Origen_Caja_2025'!$A$3:$A$542,"Chile",'90_Origen_Caja_2025'!$C$3:$C$542,3,'90_Origen_Caja_2025'!$E$3:$E$542,"Caja Inicial")</f>
        <v>303814.87</v>
      </c>
      <c r="D8" s="9" t="n">
        <f aca="false">SUMIFS('90_Origen_Caja_2025'!$F$3:$F$542,'90_Origen_Caja_2025'!$A$3:$A$542,"Chile",'90_Origen_Caja_2025'!$C$3:$C$542,3,'90_Origen_Caja_2025'!$E$3:$E$542,"Ingresos Op.")+SUMIFS('90_Origen_Caja_2025'!$F$3:$F$542,'90_Origen_Caja_2025'!$A$3:$A$542,"Chile",'90_Origen_Caja_2025'!$C$3:$C$542,3,'90_Origen_Caja_2025'!$E$3:$E$542,"Otros Ingresos")</f>
        <v>490017.58</v>
      </c>
      <c r="E8" s="9" t="n">
        <f aca="false">SUMIFS('90_Origen_Caja_2025'!$F$3:$F$542,'90_Origen_Caja_2025'!$A$3:$A$542,"Chile",'90_Origen_Caja_2025'!$C$3:$C$542,3,'90_Origen_Caja_2025'!$E$3:$E$542,"Costos Op.")+SUMIFS('90_Origen_Caja_2025'!$F$3:$F$542,'90_Origen_Caja_2025'!$A$3:$A$542,"Chile",'90_Origen_Caja_2025'!$C$3:$C$542,3,'90_Origen_Caja_2025'!$E$3:$E$542,"Costos Admin.")+SUMIFS('90_Origen_Caja_2025'!$F$3:$F$542,'90_Origen_Caja_2025'!$A$3:$A$542,"Chile",'90_Origen_Caja_2025'!$C$3:$C$542,3,'90_Origen_Caja_2025'!$E$3:$E$542,"Activo")+SUMIFS('90_Origen_Caja_2025'!$F$3:$F$542,'90_Origen_Caja_2025'!$A$3:$A$542,"Chile",'90_Origen_Caja_2025'!$C$3:$C$542,3,'90_Origen_Caja_2025'!$E$3:$E$542,"Egresos No Op.")+SUMIFS('90_Origen_Caja_2025'!$F$3:$F$542,'90_Origen_Caja_2025'!$A$3:$A$542,"Chile",'90_Origen_Caja_2025'!$C$3:$C$542,3,'90_Origen_Caja_2025'!$E$3:$E$542,"Pagos Cta.Cte.")</f>
        <v>559907.99</v>
      </c>
      <c r="F8" s="10" t="n">
        <f aca="false">C8+D8-E8</f>
        <v>233924.46</v>
      </c>
      <c r="G8" s="10" t="n">
        <f aca="false">D8-E8</f>
        <v>-69890.41</v>
      </c>
    </row>
    <row r="9" customFormat="false" ht="15" hidden="false" customHeight="false" outlineLevel="0" collapsed="false">
      <c r="A9" s="8" t="s">
        <v>48</v>
      </c>
      <c r="B9" s="8" t="s">
        <v>52</v>
      </c>
      <c r="C9" s="9" t="n">
        <f aca="false">SUMIFS('90_Origen_Caja_2025'!$F$3:$F$542,'90_Origen_Caja_2025'!$A$3:$A$542,"Chile",'90_Origen_Caja_2025'!$C$3:$C$542,4,'90_Origen_Caja_2025'!$E$3:$E$542,"Caja Inicial")</f>
        <v>233924.45</v>
      </c>
      <c r="D9" s="9" t="n">
        <f aca="false">SUMIFS('90_Origen_Caja_2025'!$F$3:$F$542,'90_Origen_Caja_2025'!$A$3:$A$542,"Chile",'90_Origen_Caja_2025'!$C$3:$C$542,4,'90_Origen_Caja_2025'!$E$3:$E$542,"Ingresos Op.")+SUMIFS('90_Origen_Caja_2025'!$F$3:$F$542,'90_Origen_Caja_2025'!$A$3:$A$542,"Chile",'90_Origen_Caja_2025'!$C$3:$C$542,4,'90_Origen_Caja_2025'!$E$3:$E$542,"Otros Ingresos")</f>
        <v>501115.29</v>
      </c>
      <c r="E9" s="9" t="n">
        <f aca="false">SUMIFS('90_Origen_Caja_2025'!$F$3:$F$542,'90_Origen_Caja_2025'!$A$3:$A$542,"Chile",'90_Origen_Caja_2025'!$C$3:$C$542,4,'90_Origen_Caja_2025'!$E$3:$E$542,"Costos Op.")+SUMIFS('90_Origen_Caja_2025'!$F$3:$F$542,'90_Origen_Caja_2025'!$A$3:$A$542,"Chile",'90_Origen_Caja_2025'!$C$3:$C$542,4,'90_Origen_Caja_2025'!$E$3:$E$542,"Costos Admin.")+SUMIFS('90_Origen_Caja_2025'!$F$3:$F$542,'90_Origen_Caja_2025'!$A$3:$A$542,"Chile",'90_Origen_Caja_2025'!$C$3:$C$542,4,'90_Origen_Caja_2025'!$E$3:$E$542,"Activo")+SUMIFS('90_Origen_Caja_2025'!$F$3:$F$542,'90_Origen_Caja_2025'!$A$3:$A$542,"Chile",'90_Origen_Caja_2025'!$C$3:$C$542,4,'90_Origen_Caja_2025'!$E$3:$E$542,"Egresos No Op.")+SUMIFS('90_Origen_Caja_2025'!$F$3:$F$542,'90_Origen_Caja_2025'!$A$3:$A$542,"Chile",'90_Origen_Caja_2025'!$C$3:$C$542,4,'90_Origen_Caja_2025'!$E$3:$E$542,"Pagos Cta.Cte.")</f>
        <v>614316.02</v>
      </c>
      <c r="F9" s="10" t="n">
        <f aca="false">C9+D9-E9</f>
        <v>120723.72</v>
      </c>
      <c r="G9" s="10" t="n">
        <f aca="false">D9-E9</f>
        <v>-113200.73</v>
      </c>
    </row>
    <row r="10" customFormat="false" ht="15" hidden="false" customHeight="false" outlineLevel="0" collapsed="false">
      <c r="A10" s="8" t="s">
        <v>48</v>
      </c>
      <c r="B10" s="8" t="s">
        <v>53</v>
      </c>
      <c r="C10" s="9" t="n">
        <f aca="false">SUMIFS('90_Origen_Caja_2025'!$F$3:$F$542,'90_Origen_Caja_2025'!$A$3:$A$542,"Chile",'90_Origen_Caja_2025'!$C$3:$C$542,5,'90_Origen_Caja_2025'!$E$3:$E$542,"Caja Inicial")</f>
        <v>120723.72</v>
      </c>
      <c r="D10" s="9" t="n">
        <f aca="false">SUMIFS('90_Origen_Caja_2025'!$F$3:$F$542,'90_Origen_Caja_2025'!$A$3:$A$542,"Chile",'90_Origen_Caja_2025'!$C$3:$C$542,5,'90_Origen_Caja_2025'!$E$3:$E$542,"Ingresos Op.")+SUMIFS('90_Origen_Caja_2025'!$F$3:$F$542,'90_Origen_Caja_2025'!$A$3:$A$542,"Chile",'90_Origen_Caja_2025'!$C$3:$C$542,5,'90_Origen_Caja_2025'!$E$3:$E$542,"Otros Ingresos")</f>
        <v>432617.57</v>
      </c>
      <c r="E10" s="9" t="n">
        <f aca="false">SUMIFS('90_Origen_Caja_2025'!$F$3:$F$542,'90_Origen_Caja_2025'!$A$3:$A$542,"Chile",'90_Origen_Caja_2025'!$C$3:$C$542,5,'90_Origen_Caja_2025'!$E$3:$E$542,"Costos Op.")+SUMIFS('90_Origen_Caja_2025'!$F$3:$F$542,'90_Origen_Caja_2025'!$A$3:$A$542,"Chile",'90_Origen_Caja_2025'!$C$3:$C$542,5,'90_Origen_Caja_2025'!$E$3:$E$542,"Costos Admin.")+SUMIFS('90_Origen_Caja_2025'!$F$3:$F$542,'90_Origen_Caja_2025'!$A$3:$A$542,"Chile",'90_Origen_Caja_2025'!$C$3:$C$542,5,'90_Origen_Caja_2025'!$E$3:$E$542,"Activo")+SUMIFS('90_Origen_Caja_2025'!$F$3:$F$542,'90_Origen_Caja_2025'!$A$3:$A$542,"Chile",'90_Origen_Caja_2025'!$C$3:$C$542,5,'90_Origen_Caja_2025'!$E$3:$E$542,"Egresos No Op.")+SUMIFS('90_Origen_Caja_2025'!$F$3:$F$542,'90_Origen_Caja_2025'!$A$3:$A$542,"Chile",'90_Origen_Caja_2025'!$C$3:$C$542,5,'90_Origen_Caja_2025'!$E$3:$E$542,"Pagos Cta.Cte.")</f>
        <v>473383.13</v>
      </c>
      <c r="F10" s="10" t="n">
        <f aca="false">C10+D10-E10</f>
        <v>79958.16</v>
      </c>
      <c r="G10" s="10" t="n">
        <f aca="false">D10-E10</f>
        <v>-40765.5600000001</v>
      </c>
    </row>
    <row r="11" customFormat="false" ht="15" hidden="false" customHeight="false" outlineLevel="0" collapsed="false">
      <c r="A11" s="8" t="s">
        <v>48</v>
      </c>
      <c r="B11" s="8" t="s">
        <v>54</v>
      </c>
      <c r="C11" s="9" t="n">
        <f aca="false">SUMIFS('90_Origen_Caja_2025'!$F$3:$F$542,'90_Origen_Caja_2025'!$A$3:$A$542,"Chile",'90_Origen_Caja_2025'!$C$3:$C$542,6,'90_Origen_Caja_2025'!$E$3:$E$542,"Caja Inicial")</f>
        <v>79958.16</v>
      </c>
      <c r="D11" s="9" t="n">
        <f aca="false">SUMIFS('90_Origen_Caja_2025'!$F$3:$F$542,'90_Origen_Caja_2025'!$A$3:$A$542,"Chile",'90_Origen_Caja_2025'!$C$3:$C$542,6,'90_Origen_Caja_2025'!$E$3:$E$542,"Ingresos Op.")+SUMIFS('90_Origen_Caja_2025'!$F$3:$F$542,'90_Origen_Caja_2025'!$A$3:$A$542,"Chile",'90_Origen_Caja_2025'!$C$3:$C$542,6,'90_Origen_Caja_2025'!$E$3:$E$542,"Otros Ingresos")</f>
        <v>420992.32</v>
      </c>
      <c r="E11" s="9" t="n">
        <f aca="false">SUMIFS('90_Origen_Caja_2025'!$F$3:$F$542,'90_Origen_Caja_2025'!$A$3:$A$542,"Chile",'90_Origen_Caja_2025'!$C$3:$C$542,6,'90_Origen_Caja_2025'!$E$3:$E$542,"Costos Op.")+SUMIFS('90_Origen_Caja_2025'!$F$3:$F$542,'90_Origen_Caja_2025'!$A$3:$A$542,"Chile",'90_Origen_Caja_2025'!$C$3:$C$542,6,'90_Origen_Caja_2025'!$E$3:$E$542,"Costos Admin.")+SUMIFS('90_Origen_Caja_2025'!$F$3:$F$542,'90_Origen_Caja_2025'!$A$3:$A$542,"Chile",'90_Origen_Caja_2025'!$C$3:$C$542,6,'90_Origen_Caja_2025'!$E$3:$E$542,"Activo")+SUMIFS('90_Origen_Caja_2025'!$F$3:$F$542,'90_Origen_Caja_2025'!$A$3:$A$542,"Chile",'90_Origen_Caja_2025'!$C$3:$C$542,6,'90_Origen_Caja_2025'!$E$3:$E$542,"Egresos No Op.")+SUMIFS('90_Origen_Caja_2025'!$F$3:$F$542,'90_Origen_Caja_2025'!$A$3:$A$542,"Chile",'90_Origen_Caja_2025'!$C$3:$C$542,6,'90_Origen_Caja_2025'!$E$3:$E$542,"Pagos Cta.Cte.")</f>
        <v>469053.99</v>
      </c>
      <c r="F11" s="10" t="n">
        <f aca="false">C11+D11-E11</f>
        <v>31896.49</v>
      </c>
      <c r="G11" s="10" t="n">
        <f aca="false">D11-E11</f>
        <v>-48061.67</v>
      </c>
    </row>
    <row r="12" customFormat="false" ht="15" hidden="false" customHeight="false" outlineLevel="0" collapsed="false">
      <c r="A12" s="8" t="s">
        <v>48</v>
      </c>
      <c r="B12" s="8" t="s">
        <v>55</v>
      </c>
      <c r="C12" s="9" t="n">
        <f aca="false">SUMIFS('90_Origen_Caja_2025'!$F$3:$F$542,'90_Origen_Caja_2025'!$A$3:$A$542,"Chile",'90_Origen_Caja_2025'!$C$3:$C$542,7,'90_Origen_Caja_2025'!$E$3:$E$542,"Caja Inicial")</f>
        <v>31896.49</v>
      </c>
      <c r="D12" s="9" t="n">
        <f aca="false">SUMIFS('90_Origen_Caja_2025'!$F$3:$F$542,'90_Origen_Caja_2025'!$A$3:$A$542,"Chile",'90_Origen_Caja_2025'!$C$3:$C$542,7,'90_Origen_Caja_2025'!$E$3:$E$542,"Ingresos Op.")+SUMIFS('90_Origen_Caja_2025'!$F$3:$F$542,'90_Origen_Caja_2025'!$A$3:$A$542,"Chile",'90_Origen_Caja_2025'!$C$3:$C$542,7,'90_Origen_Caja_2025'!$E$3:$E$542,"Otros Ingresos")</f>
        <v>694589.56</v>
      </c>
      <c r="E12" s="9" t="n">
        <f aca="false">SUMIFS('90_Origen_Caja_2025'!$F$3:$F$542,'90_Origen_Caja_2025'!$A$3:$A$542,"Chile",'90_Origen_Caja_2025'!$C$3:$C$542,7,'90_Origen_Caja_2025'!$E$3:$E$542,"Costos Op.")+SUMIFS('90_Origen_Caja_2025'!$F$3:$F$542,'90_Origen_Caja_2025'!$A$3:$A$542,"Chile",'90_Origen_Caja_2025'!$C$3:$C$542,7,'90_Origen_Caja_2025'!$E$3:$E$542,"Costos Admin.")+SUMIFS('90_Origen_Caja_2025'!$F$3:$F$542,'90_Origen_Caja_2025'!$A$3:$A$542,"Chile",'90_Origen_Caja_2025'!$C$3:$C$542,7,'90_Origen_Caja_2025'!$E$3:$E$542,"Activo")+SUMIFS('90_Origen_Caja_2025'!$F$3:$F$542,'90_Origen_Caja_2025'!$A$3:$A$542,"Chile",'90_Origen_Caja_2025'!$C$3:$C$542,7,'90_Origen_Caja_2025'!$E$3:$E$542,"Egresos No Op.")+SUMIFS('90_Origen_Caja_2025'!$F$3:$F$542,'90_Origen_Caja_2025'!$A$3:$A$542,"Chile",'90_Origen_Caja_2025'!$C$3:$C$542,7,'90_Origen_Caja_2025'!$E$3:$E$542,"Pagos Cta.Cte.")</f>
        <v>502823.19</v>
      </c>
      <c r="F12" s="10" t="n">
        <f aca="false">C12+D12-E12</f>
        <v>223662.86</v>
      </c>
      <c r="G12" s="10" t="n">
        <f aca="false">D12-E12</f>
        <v>191766.37</v>
      </c>
    </row>
    <row r="13" customFormat="false" ht="15" hidden="false" customHeight="false" outlineLevel="0" collapsed="false">
      <c r="A13" s="8" t="s">
        <v>48</v>
      </c>
      <c r="B13" s="8" t="s">
        <v>56</v>
      </c>
      <c r="C13" s="9" t="n">
        <f aca="false">SUMIFS('90_Origen_Caja_2025'!$F$3:$F$542,'90_Origen_Caja_2025'!$A$3:$A$542,"Chile",'90_Origen_Caja_2025'!$C$3:$C$542,8,'90_Origen_Caja_2025'!$E$3:$E$542,"Caja Inicial")</f>
        <v>223662.84</v>
      </c>
      <c r="D13" s="9" t="n">
        <f aca="false">SUMIFS('90_Origen_Caja_2025'!$F$3:$F$542,'90_Origen_Caja_2025'!$A$3:$A$542,"Chile",'90_Origen_Caja_2025'!$C$3:$C$542,8,'90_Origen_Caja_2025'!$E$3:$E$542,"Ingresos Op.")+SUMIFS('90_Origen_Caja_2025'!$F$3:$F$542,'90_Origen_Caja_2025'!$A$3:$A$542,"Chile",'90_Origen_Caja_2025'!$C$3:$C$542,8,'90_Origen_Caja_2025'!$E$3:$E$542,"Otros Ingresos")</f>
        <v>684254.25</v>
      </c>
      <c r="E13" s="9" t="n">
        <f aca="false">SUMIFS('90_Origen_Caja_2025'!$F$3:$F$542,'90_Origen_Caja_2025'!$A$3:$A$542,"Chile",'90_Origen_Caja_2025'!$C$3:$C$542,8,'90_Origen_Caja_2025'!$E$3:$E$542,"Costos Op.")+SUMIFS('90_Origen_Caja_2025'!$F$3:$F$542,'90_Origen_Caja_2025'!$A$3:$A$542,"Chile",'90_Origen_Caja_2025'!$C$3:$C$542,8,'90_Origen_Caja_2025'!$E$3:$E$542,"Costos Admin.")+SUMIFS('90_Origen_Caja_2025'!$F$3:$F$542,'90_Origen_Caja_2025'!$A$3:$A$542,"Chile",'90_Origen_Caja_2025'!$C$3:$C$542,8,'90_Origen_Caja_2025'!$E$3:$E$542,"Activo")+SUMIFS('90_Origen_Caja_2025'!$F$3:$F$542,'90_Origen_Caja_2025'!$A$3:$A$542,"Chile",'90_Origen_Caja_2025'!$C$3:$C$542,8,'90_Origen_Caja_2025'!$E$3:$E$542,"Egresos No Op.")+SUMIFS('90_Origen_Caja_2025'!$F$3:$F$542,'90_Origen_Caja_2025'!$A$3:$A$542,"Chile",'90_Origen_Caja_2025'!$C$3:$C$542,8,'90_Origen_Caja_2025'!$E$3:$E$542,"Pagos Cta.Cte.")</f>
        <v>549999.74</v>
      </c>
      <c r="F13" s="10" t="n">
        <f aca="false">C13+D13-E13</f>
        <v>357917.35</v>
      </c>
      <c r="G13" s="10" t="n">
        <f aca="false">D13-E13</f>
        <v>134254.51</v>
      </c>
    </row>
    <row r="14" customFormat="false" ht="15" hidden="false" customHeight="false" outlineLevel="0" collapsed="false">
      <c r="A14" s="8" t="s">
        <v>48</v>
      </c>
      <c r="B14" s="8" t="s">
        <v>57</v>
      </c>
      <c r="C14" s="9" t="n">
        <f aca="false">SUMIFS('90_Origen_Caja_2025'!$F$3:$F$542,'90_Origen_Caja_2025'!$A$3:$A$542,"Chile",'90_Origen_Caja_2025'!$C$3:$C$542,9,'90_Origen_Caja_2025'!$E$3:$E$542,"Caja Inicial")</f>
        <v>357917.35</v>
      </c>
      <c r="D14" s="9" t="n">
        <f aca="false">SUMIFS('90_Origen_Caja_2025'!$F$3:$F$542,'90_Origen_Caja_2025'!$A$3:$A$542,"Chile",'90_Origen_Caja_2025'!$C$3:$C$542,9,'90_Origen_Caja_2025'!$E$3:$E$542,"Ingresos Op.")+SUMIFS('90_Origen_Caja_2025'!$F$3:$F$542,'90_Origen_Caja_2025'!$A$3:$A$542,"Chile",'90_Origen_Caja_2025'!$C$3:$C$542,9,'90_Origen_Caja_2025'!$E$3:$E$542,"Otros Ingresos")</f>
        <v>386490.19</v>
      </c>
      <c r="E14" s="9" t="n">
        <f aca="false">SUMIFS('90_Origen_Caja_2025'!$F$3:$F$542,'90_Origen_Caja_2025'!$A$3:$A$542,"Chile",'90_Origen_Caja_2025'!$C$3:$C$542,9,'90_Origen_Caja_2025'!$E$3:$E$542,"Costos Op.")+SUMIFS('90_Origen_Caja_2025'!$F$3:$F$542,'90_Origen_Caja_2025'!$A$3:$A$542,"Chile",'90_Origen_Caja_2025'!$C$3:$C$542,9,'90_Origen_Caja_2025'!$E$3:$E$542,"Costos Admin.")+SUMIFS('90_Origen_Caja_2025'!$F$3:$F$542,'90_Origen_Caja_2025'!$A$3:$A$542,"Chile",'90_Origen_Caja_2025'!$C$3:$C$542,9,'90_Origen_Caja_2025'!$E$3:$E$542,"Activo")+SUMIFS('90_Origen_Caja_2025'!$F$3:$F$542,'90_Origen_Caja_2025'!$A$3:$A$542,"Chile",'90_Origen_Caja_2025'!$C$3:$C$542,9,'90_Origen_Caja_2025'!$E$3:$E$542,"Egresos No Op.")+SUMIFS('90_Origen_Caja_2025'!$F$3:$F$542,'90_Origen_Caja_2025'!$A$3:$A$542,"Chile",'90_Origen_Caja_2025'!$C$3:$C$542,9,'90_Origen_Caja_2025'!$E$3:$E$542,"Pagos Cta.Cte.")</f>
        <v>543016.09</v>
      </c>
      <c r="F14" s="10" t="n">
        <f aca="false">C14+D14-E14</f>
        <v>201391.45</v>
      </c>
      <c r="G14" s="10" t="n">
        <f aca="false">D14-E14</f>
        <v>-156525.9</v>
      </c>
    </row>
    <row r="15" customFormat="false" ht="15" hidden="false" customHeight="false" outlineLevel="0" collapsed="false">
      <c r="A15" s="8" t="s">
        <v>48</v>
      </c>
      <c r="B15" s="8" t="s">
        <v>58</v>
      </c>
      <c r="C15" s="9" t="n">
        <f aca="false">SUMIFS('90_Origen_Caja_2025'!$F$3:$F$542,'90_Origen_Caja_2025'!$A$3:$A$542,"Chile",'90_Origen_Caja_2025'!$C$3:$C$542,10,'90_Origen_Caja_2025'!$E$3:$E$542,"Caja Inicial")</f>
        <v>201391.46</v>
      </c>
      <c r="D15" s="9" t="n">
        <f aca="false">SUMIFS('90_Origen_Caja_2025'!$F$3:$F$542,'90_Origen_Caja_2025'!$A$3:$A$542,"Chile",'90_Origen_Caja_2025'!$C$3:$C$542,10,'90_Origen_Caja_2025'!$E$3:$E$542,"Ingresos Op.")+SUMIFS('90_Origen_Caja_2025'!$F$3:$F$542,'90_Origen_Caja_2025'!$A$3:$A$542,"Chile",'90_Origen_Caja_2025'!$C$3:$C$542,10,'90_Origen_Caja_2025'!$E$3:$E$542,"Otros Ingresos")</f>
        <v>449664.61</v>
      </c>
      <c r="E15" s="9" t="n">
        <f aca="false">SUMIFS('90_Origen_Caja_2025'!$F$3:$F$542,'90_Origen_Caja_2025'!$A$3:$A$542,"Chile",'90_Origen_Caja_2025'!$C$3:$C$542,10,'90_Origen_Caja_2025'!$E$3:$E$542,"Costos Op.")+SUMIFS('90_Origen_Caja_2025'!$F$3:$F$542,'90_Origen_Caja_2025'!$A$3:$A$542,"Chile",'90_Origen_Caja_2025'!$C$3:$C$542,10,'90_Origen_Caja_2025'!$E$3:$E$542,"Costos Admin.")+SUMIFS('90_Origen_Caja_2025'!$F$3:$F$542,'90_Origen_Caja_2025'!$A$3:$A$542,"Chile",'90_Origen_Caja_2025'!$C$3:$C$542,10,'90_Origen_Caja_2025'!$E$3:$E$542,"Activo")+SUMIFS('90_Origen_Caja_2025'!$F$3:$F$542,'90_Origen_Caja_2025'!$A$3:$A$542,"Chile",'90_Origen_Caja_2025'!$C$3:$C$542,10,'90_Origen_Caja_2025'!$E$3:$E$542,"Egresos No Op.")+SUMIFS('90_Origen_Caja_2025'!$F$3:$F$542,'90_Origen_Caja_2025'!$A$3:$A$542,"Chile",'90_Origen_Caja_2025'!$C$3:$C$542,10,'90_Origen_Caja_2025'!$E$3:$E$542,"Pagos Cta.Cte.")</f>
        <v>595355.26</v>
      </c>
      <c r="F15" s="10" t="n">
        <f aca="false">C15+D15-E15</f>
        <v>55700.8100000001</v>
      </c>
      <c r="G15" s="10" t="n">
        <f aca="false">D15-E15</f>
        <v>-145690.65</v>
      </c>
    </row>
    <row r="16" customFormat="false" ht="15" hidden="false" customHeight="false" outlineLevel="0" collapsed="false">
      <c r="A16" s="8" t="s">
        <v>48</v>
      </c>
      <c r="B16" s="8" t="s">
        <v>59</v>
      </c>
      <c r="C16" s="9" t="n">
        <f aca="false">SUMIFS('90_Origen_Caja_2025'!$F$3:$F$542,'90_Origen_Caja_2025'!$A$3:$A$542,"Chile",'90_Origen_Caja_2025'!$C$3:$C$542,11,'90_Origen_Caja_2025'!$E$3:$E$542,"Caja Inicial")</f>
        <v>55700.81</v>
      </c>
      <c r="D16" s="9" t="n">
        <f aca="false">SUMIFS('90_Origen_Caja_2025'!$F$3:$F$542,'90_Origen_Caja_2025'!$A$3:$A$542,"Chile",'90_Origen_Caja_2025'!$C$3:$C$542,11,'90_Origen_Caja_2025'!$E$3:$E$542,"Ingresos Op.")+SUMIFS('90_Origen_Caja_2025'!$F$3:$F$542,'90_Origen_Caja_2025'!$A$3:$A$542,"Chile",'90_Origen_Caja_2025'!$C$3:$C$542,11,'90_Origen_Caja_2025'!$E$3:$E$542,"Otros Ingresos")</f>
        <v>434071.77</v>
      </c>
      <c r="E16" s="9" t="n">
        <f aca="false">SUMIFS('90_Origen_Caja_2025'!$F$3:$F$542,'90_Origen_Caja_2025'!$A$3:$A$542,"Chile",'90_Origen_Caja_2025'!$C$3:$C$542,11,'90_Origen_Caja_2025'!$E$3:$E$542,"Costos Op.")+SUMIFS('90_Origen_Caja_2025'!$F$3:$F$542,'90_Origen_Caja_2025'!$A$3:$A$542,"Chile",'90_Origen_Caja_2025'!$C$3:$C$542,11,'90_Origen_Caja_2025'!$E$3:$E$542,"Costos Admin.")+SUMIFS('90_Origen_Caja_2025'!$F$3:$F$542,'90_Origen_Caja_2025'!$A$3:$A$542,"Chile",'90_Origen_Caja_2025'!$C$3:$C$542,11,'90_Origen_Caja_2025'!$E$3:$E$542,"Activo")+SUMIFS('90_Origen_Caja_2025'!$F$3:$F$542,'90_Origen_Caja_2025'!$A$3:$A$542,"Chile",'90_Origen_Caja_2025'!$C$3:$C$542,11,'90_Origen_Caja_2025'!$E$3:$E$542,"Egresos No Op.")+SUMIFS('90_Origen_Caja_2025'!$F$3:$F$542,'90_Origen_Caja_2025'!$A$3:$A$542,"Chile",'90_Origen_Caja_2025'!$C$3:$C$542,11,'90_Origen_Caja_2025'!$E$3:$E$542,"Pagos Cta.Cte.")</f>
        <v>469718.2</v>
      </c>
      <c r="F16" s="10" t="n">
        <f aca="false">C16+D16-E16</f>
        <v>20054.38</v>
      </c>
      <c r="G16" s="10" t="n">
        <f aca="false">D16-E16</f>
        <v>-35646.43</v>
      </c>
    </row>
    <row r="17" customFormat="false" ht="15" hidden="false" customHeight="false" outlineLevel="0" collapsed="false">
      <c r="A17" s="8" t="s">
        <v>48</v>
      </c>
      <c r="B17" s="8" t="s">
        <v>60</v>
      </c>
      <c r="C17" s="9" t="n">
        <f aca="false">SUMIFS('90_Origen_Caja_2025'!$F$3:$F$542,'90_Origen_Caja_2025'!$A$3:$A$542,"Chile",'90_Origen_Caja_2025'!$C$3:$C$542,12,'90_Origen_Caja_2025'!$E$3:$E$542,"Caja Inicial")</f>
        <v>20054.38</v>
      </c>
      <c r="D17" s="9" t="n">
        <f aca="false">SUMIFS('90_Origen_Caja_2025'!$F$3:$F$542,'90_Origen_Caja_2025'!$A$3:$A$542,"Chile",'90_Origen_Caja_2025'!$C$3:$C$542,12,'90_Origen_Caja_2025'!$E$3:$E$542,"Ingresos Op.")+SUMIFS('90_Origen_Caja_2025'!$F$3:$F$542,'90_Origen_Caja_2025'!$A$3:$A$542,"Chile",'90_Origen_Caja_2025'!$C$3:$C$542,12,'90_Origen_Caja_2025'!$E$3:$E$542,"Otros Ingresos")</f>
        <v>602066.43</v>
      </c>
      <c r="E17" s="9" t="n">
        <f aca="false">SUMIFS('90_Origen_Caja_2025'!$F$3:$F$542,'90_Origen_Caja_2025'!$A$3:$A$542,"Chile",'90_Origen_Caja_2025'!$C$3:$C$542,12,'90_Origen_Caja_2025'!$E$3:$E$542,"Costos Op.")+SUMIFS('90_Origen_Caja_2025'!$F$3:$F$542,'90_Origen_Caja_2025'!$A$3:$A$542,"Chile",'90_Origen_Caja_2025'!$C$3:$C$542,12,'90_Origen_Caja_2025'!$E$3:$E$542,"Costos Admin.")+SUMIFS('90_Origen_Caja_2025'!$F$3:$F$542,'90_Origen_Caja_2025'!$A$3:$A$542,"Chile",'90_Origen_Caja_2025'!$C$3:$C$542,12,'90_Origen_Caja_2025'!$E$3:$E$542,"Activo")+SUMIFS('90_Origen_Caja_2025'!$F$3:$F$542,'90_Origen_Caja_2025'!$A$3:$A$542,"Chile",'90_Origen_Caja_2025'!$C$3:$C$542,12,'90_Origen_Caja_2025'!$E$3:$E$542,"Egresos No Op.")+SUMIFS('90_Origen_Caja_2025'!$F$3:$F$542,'90_Origen_Caja_2025'!$A$3:$A$542,"Chile",'90_Origen_Caja_2025'!$C$3:$C$542,12,'90_Origen_Caja_2025'!$E$3:$E$542,"Pagos Cta.Cte.")</f>
        <v>598836.75</v>
      </c>
      <c r="F17" s="10" t="n">
        <f aca="false">C17+D17-E17</f>
        <v>23284.0599999999</v>
      </c>
      <c r="G17" s="10" t="n">
        <f aca="false">D17-E17</f>
        <v>3229.67999999994</v>
      </c>
    </row>
    <row r="18" customFormat="false" ht="15" hidden="false" customHeight="false" outlineLevel="0" collapsed="false">
      <c r="A18" s="8" t="s">
        <v>61</v>
      </c>
      <c r="B18" s="8" t="s">
        <v>49</v>
      </c>
      <c r="C18" s="9" t="n">
        <f aca="false">SUMIFS('90_Origen_Caja_2025'!$F$3:$F$542,'90_Origen_Caja_2025'!$A$3:$A$542,"Perú",'90_Origen_Caja_2025'!$C$3:$C$542,1,'90_Origen_Caja_2025'!$E$3:$E$542,"Caja Inicial")</f>
        <v>136767.69</v>
      </c>
      <c r="D18" s="9" t="n">
        <f aca="false">SUMIFS('90_Origen_Caja_2025'!$F$3:$F$542,'90_Origen_Caja_2025'!$A$3:$A$542,"Perú",'90_Origen_Caja_2025'!$C$3:$C$542,1,'90_Origen_Caja_2025'!$E$3:$E$542,"Ingresos Op.")+SUMIFS('90_Origen_Caja_2025'!$F$3:$F$542,'90_Origen_Caja_2025'!$A$3:$A$542,"Perú",'90_Origen_Caja_2025'!$C$3:$C$542,1,'90_Origen_Caja_2025'!$E$3:$E$542,"Otros Ingresos")</f>
        <v>135755</v>
      </c>
      <c r="E18" s="9" t="n">
        <f aca="false">SUMIFS('90_Origen_Caja_2025'!$F$3:$F$542,'90_Origen_Caja_2025'!$A$3:$A$542,"Perú",'90_Origen_Caja_2025'!$C$3:$C$542,1,'90_Origen_Caja_2025'!$E$3:$E$542,"Costos Op.")+SUMIFS('90_Origen_Caja_2025'!$F$3:$F$542,'90_Origen_Caja_2025'!$A$3:$A$542,"Perú",'90_Origen_Caja_2025'!$C$3:$C$542,1,'90_Origen_Caja_2025'!$E$3:$E$542,"Costos Admin.")+SUMIFS('90_Origen_Caja_2025'!$F$3:$F$542,'90_Origen_Caja_2025'!$A$3:$A$542,"Perú",'90_Origen_Caja_2025'!$C$3:$C$542,1,'90_Origen_Caja_2025'!$E$3:$E$542,"Activo")+SUMIFS('90_Origen_Caja_2025'!$F$3:$F$542,'90_Origen_Caja_2025'!$A$3:$A$542,"Perú",'90_Origen_Caja_2025'!$C$3:$C$542,1,'90_Origen_Caja_2025'!$E$3:$E$542,"Egresos No Op.")+SUMIFS('90_Origen_Caja_2025'!$F$3:$F$542,'90_Origen_Caja_2025'!$A$3:$A$542,"Perú",'90_Origen_Caja_2025'!$C$3:$C$542,1,'90_Origen_Caja_2025'!$E$3:$E$542,"Pagos Cta.Cte.")</f>
        <v>131956.85</v>
      </c>
      <c r="F18" s="10" t="n">
        <f aca="false">C18+D18-E18</f>
        <v>140565.84</v>
      </c>
      <c r="G18" s="10" t="n">
        <f aca="false">D18-E18</f>
        <v>3798.14999999999</v>
      </c>
    </row>
    <row r="19" customFormat="false" ht="15" hidden="false" customHeight="false" outlineLevel="0" collapsed="false">
      <c r="A19" s="8" t="s">
        <v>61</v>
      </c>
      <c r="B19" s="8" t="s">
        <v>50</v>
      </c>
      <c r="C19" s="9" t="n">
        <f aca="false">SUMIFS('90_Origen_Caja_2025'!$F$3:$F$542,'90_Origen_Caja_2025'!$A$3:$A$542,"Perú",'90_Origen_Caja_2025'!$C$3:$C$542,2,'90_Origen_Caja_2025'!$E$3:$E$542,"Caja Inicial")</f>
        <v>140565.84</v>
      </c>
      <c r="D19" s="9" t="n">
        <f aca="false">SUMIFS('90_Origen_Caja_2025'!$F$3:$F$542,'90_Origen_Caja_2025'!$A$3:$A$542,"Perú",'90_Origen_Caja_2025'!$C$3:$C$542,2,'90_Origen_Caja_2025'!$E$3:$E$542,"Ingresos Op.")+SUMIFS('90_Origen_Caja_2025'!$F$3:$F$542,'90_Origen_Caja_2025'!$A$3:$A$542,"Perú",'90_Origen_Caja_2025'!$C$3:$C$542,2,'90_Origen_Caja_2025'!$E$3:$E$542,"Otros Ingresos")</f>
        <v>78954</v>
      </c>
      <c r="E19" s="9" t="n">
        <f aca="false">SUMIFS('90_Origen_Caja_2025'!$F$3:$F$542,'90_Origen_Caja_2025'!$A$3:$A$542,"Perú",'90_Origen_Caja_2025'!$C$3:$C$542,2,'90_Origen_Caja_2025'!$E$3:$E$542,"Costos Op.")+SUMIFS('90_Origen_Caja_2025'!$F$3:$F$542,'90_Origen_Caja_2025'!$A$3:$A$542,"Perú",'90_Origen_Caja_2025'!$C$3:$C$542,2,'90_Origen_Caja_2025'!$E$3:$E$542,"Costos Admin.")+SUMIFS('90_Origen_Caja_2025'!$F$3:$F$542,'90_Origen_Caja_2025'!$A$3:$A$542,"Perú",'90_Origen_Caja_2025'!$C$3:$C$542,2,'90_Origen_Caja_2025'!$E$3:$E$542,"Activo")+SUMIFS('90_Origen_Caja_2025'!$F$3:$F$542,'90_Origen_Caja_2025'!$A$3:$A$542,"Perú",'90_Origen_Caja_2025'!$C$3:$C$542,2,'90_Origen_Caja_2025'!$E$3:$E$542,"Egresos No Op.")+SUMIFS('90_Origen_Caja_2025'!$F$3:$F$542,'90_Origen_Caja_2025'!$A$3:$A$542,"Perú",'90_Origen_Caja_2025'!$C$3:$C$542,2,'90_Origen_Caja_2025'!$E$3:$E$542,"Pagos Cta.Cte.")</f>
        <v>81597</v>
      </c>
      <c r="F19" s="10" t="n">
        <f aca="false">C19+D19-E19</f>
        <v>137922.84</v>
      </c>
      <c r="G19" s="10" t="n">
        <f aca="false">D19-E19</f>
        <v>-2643</v>
      </c>
    </row>
    <row r="20" customFormat="false" ht="15" hidden="false" customHeight="false" outlineLevel="0" collapsed="false">
      <c r="A20" s="8" t="s">
        <v>61</v>
      </c>
      <c r="B20" s="8" t="s">
        <v>51</v>
      </c>
      <c r="C20" s="9" t="n">
        <f aca="false">SUMIFS('90_Origen_Caja_2025'!$F$3:$F$542,'90_Origen_Caja_2025'!$A$3:$A$542,"Perú",'90_Origen_Caja_2025'!$C$3:$C$542,3,'90_Origen_Caja_2025'!$E$3:$E$542,"Caja Inicial")</f>
        <v>137922.84</v>
      </c>
      <c r="D20" s="9" t="n">
        <f aca="false">SUMIFS('90_Origen_Caja_2025'!$F$3:$F$542,'90_Origen_Caja_2025'!$A$3:$A$542,"Perú",'90_Origen_Caja_2025'!$C$3:$C$542,3,'90_Origen_Caja_2025'!$E$3:$E$542,"Ingresos Op.")+SUMIFS('90_Origen_Caja_2025'!$F$3:$F$542,'90_Origen_Caja_2025'!$A$3:$A$542,"Perú",'90_Origen_Caja_2025'!$C$3:$C$542,3,'90_Origen_Caja_2025'!$E$3:$E$542,"Otros Ingresos")</f>
        <v>177338</v>
      </c>
      <c r="E20" s="9" t="n">
        <f aca="false">SUMIFS('90_Origen_Caja_2025'!$F$3:$F$542,'90_Origen_Caja_2025'!$A$3:$A$542,"Perú",'90_Origen_Caja_2025'!$C$3:$C$542,3,'90_Origen_Caja_2025'!$E$3:$E$542,"Costos Op.")+SUMIFS('90_Origen_Caja_2025'!$F$3:$F$542,'90_Origen_Caja_2025'!$A$3:$A$542,"Perú",'90_Origen_Caja_2025'!$C$3:$C$542,3,'90_Origen_Caja_2025'!$E$3:$E$542,"Costos Admin.")+SUMIFS('90_Origen_Caja_2025'!$F$3:$F$542,'90_Origen_Caja_2025'!$A$3:$A$542,"Perú",'90_Origen_Caja_2025'!$C$3:$C$542,3,'90_Origen_Caja_2025'!$E$3:$E$542,"Activo")+SUMIFS('90_Origen_Caja_2025'!$F$3:$F$542,'90_Origen_Caja_2025'!$A$3:$A$542,"Perú",'90_Origen_Caja_2025'!$C$3:$C$542,3,'90_Origen_Caja_2025'!$E$3:$E$542,"Egresos No Op.")+SUMIFS('90_Origen_Caja_2025'!$F$3:$F$542,'90_Origen_Caja_2025'!$A$3:$A$542,"Perú",'90_Origen_Caja_2025'!$C$3:$C$542,3,'90_Origen_Caja_2025'!$E$3:$E$542,"Pagos Cta.Cte.")</f>
        <v>112203</v>
      </c>
      <c r="F20" s="10" t="n">
        <f aca="false">C20+D20-E20</f>
        <v>203057.84</v>
      </c>
      <c r="G20" s="10" t="n">
        <f aca="false">D20-E20</f>
        <v>65135</v>
      </c>
    </row>
    <row r="21" customFormat="false" ht="15" hidden="false" customHeight="false" outlineLevel="0" collapsed="false">
      <c r="A21" s="8" t="s">
        <v>61</v>
      </c>
      <c r="B21" s="8" t="s">
        <v>52</v>
      </c>
      <c r="C21" s="9" t="n">
        <f aca="false">SUMIFS('90_Origen_Caja_2025'!$F$3:$F$542,'90_Origen_Caja_2025'!$A$3:$A$542,"Perú",'90_Origen_Caja_2025'!$C$3:$C$542,4,'90_Origen_Caja_2025'!$E$3:$E$542,"Caja Inicial")</f>
        <v>203057.84</v>
      </c>
      <c r="D21" s="9" t="n">
        <f aca="false">SUMIFS('90_Origen_Caja_2025'!$F$3:$F$542,'90_Origen_Caja_2025'!$A$3:$A$542,"Perú",'90_Origen_Caja_2025'!$C$3:$C$542,4,'90_Origen_Caja_2025'!$E$3:$E$542,"Ingresos Op.")+SUMIFS('90_Origen_Caja_2025'!$F$3:$F$542,'90_Origen_Caja_2025'!$A$3:$A$542,"Perú",'90_Origen_Caja_2025'!$C$3:$C$542,4,'90_Origen_Caja_2025'!$E$3:$E$542,"Otros Ingresos")</f>
        <v>138606</v>
      </c>
      <c r="E21" s="9" t="n">
        <f aca="false">SUMIFS('90_Origen_Caja_2025'!$F$3:$F$542,'90_Origen_Caja_2025'!$A$3:$A$542,"Perú",'90_Origen_Caja_2025'!$C$3:$C$542,4,'90_Origen_Caja_2025'!$E$3:$E$542,"Costos Op.")+SUMIFS('90_Origen_Caja_2025'!$F$3:$F$542,'90_Origen_Caja_2025'!$A$3:$A$542,"Perú",'90_Origen_Caja_2025'!$C$3:$C$542,4,'90_Origen_Caja_2025'!$E$3:$E$542,"Costos Admin.")+SUMIFS('90_Origen_Caja_2025'!$F$3:$F$542,'90_Origen_Caja_2025'!$A$3:$A$542,"Perú",'90_Origen_Caja_2025'!$C$3:$C$542,4,'90_Origen_Caja_2025'!$E$3:$E$542,"Activo")+SUMIFS('90_Origen_Caja_2025'!$F$3:$F$542,'90_Origen_Caja_2025'!$A$3:$A$542,"Perú",'90_Origen_Caja_2025'!$C$3:$C$542,4,'90_Origen_Caja_2025'!$E$3:$E$542,"Egresos No Op.")+SUMIFS('90_Origen_Caja_2025'!$F$3:$F$542,'90_Origen_Caja_2025'!$A$3:$A$542,"Perú",'90_Origen_Caja_2025'!$C$3:$C$542,4,'90_Origen_Caja_2025'!$E$3:$E$542,"Pagos Cta.Cte.")</f>
        <v>139670.3</v>
      </c>
      <c r="F21" s="10" t="n">
        <f aca="false">C21+D21-E21</f>
        <v>201993.54</v>
      </c>
      <c r="G21" s="10" t="n">
        <f aca="false">D21-E21</f>
        <v>-1064.29999999999</v>
      </c>
    </row>
    <row r="22" customFormat="false" ht="15" hidden="false" customHeight="false" outlineLevel="0" collapsed="false">
      <c r="A22" s="8" t="s">
        <v>61</v>
      </c>
      <c r="B22" s="8" t="s">
        <v>53</v>
      </c>
      <c r="C22" s="9" t="n">
        <f aca="false">SUMIFS('90_Origen_Caja_2025'!$F$3:$F$542,'90_Origen_Caja_2025'!$A$3:$A$542,"Perú",'90_Origen_Caja_2025'!$C$3:$C$542,5,'90_Origen_Caja_2025'!$E$3:$E$542,"Caja Inicial")</f>
        <v>201993.54</v>
      </c>
      <c r="D22" s="9" t="n">
        <f aca="false">SUMIFS('90_Origen_Caja_2025'!$F$3:$F$542,'90_Origen_Caja_2025'!$A$3:$A$542,"Perú",'90_Origen_Caja_2025'!$C$3:$C$542,5,'90_Origen_Caja_2025'!$E$3:$E$542,"Ingresos Op.")+SUMIFS('90_Origen_Caja_2025'!$F$3:$F$542,'90_Origen_Caja_2025'!$A$3:$A$542,"Perú",'90_Origen_Caja_2025'!$C$3:$C$542,5,'90_Origen_Caja_2025'!$E$3:$E$542,"Otros Ingresos")</f>
        <v>173914</v>
      </c>
      <c r="E22" s="9" t="n">
        <f aca="false">SUMIFS('90_Origen_Caja_2025'!$F$3:$F$542,'90_Origen_Caja_2025'!$A$3:$A$542,"Perú",'90_Origen_Caja_2025'!$C$3:$C$542,5,'90_Origen_Caja_2025'!$E$3:$E$542,"Costos Op.")+SUMIFS('90_Origen_Caja_2025'!$F$3:$F$542,'90_Origen_Caja_2025'!$A$3:$A$542,"Perú",'90_Origen_Caja_2025'!$C$3:$C$542,5,'90_Origen_Caja_2025'!$E$3:$E$542,"Costos Admin.")+SUMIFS('90_Origen_Caja_2025'!$F$3:$F$542,'90_Origen_Caja_2025'!$A$3:$A$542,"Perú",'90_Origen_Caja_2025'!$C$3:$C$542,5,'90_Origen_Caja_2025'!$E$3:$E$542,"Activo")+SUMIFS('90_Origen_Caja_2025'!$F$3:$F$542,'90_Origen_Caja_2025'!$A$3:$A$542,"Perú",'90_Origen_Caja_2025'!$C$3:$C$542,5,'90_Origen_Caja_2025'!$E$3:$E$542,"Egresos No Op.")+SUMIFS('90_Origen_Caja_2025'!$F$3:$F$542,'90_Origen_Caja_2025'!$A$3:$A$542,"Perú",'90_Origen_Caja_2025'!$C$3:$C$542,5,'90_Origen_Caja_2025'!$E$3:$E$542,"Pagos Cta.Cte.")</f>
        <v>178913</v>
      </c>
      <c r="F22" s="10" t="n">
        <f aca="false">C22+D22-E22</f>
        <v>196994.54</v>
      </c>
      <c r="G22" s="10" t="n">
        <f aca="false">D22-E22</f>
        <v>-4999</v>
      </c>
    </row>
    <row r="23" customFormat="false" ht="15" hidden="false" customHeight="false" outlineLevel="0" collapsed="false">
      <c r="A23" s="8" t="s">
        <v>61</v>
      </c>
      <c r="B23" s="8" t="s">
        <v>54</v>
      </c>
      <c r="C23" s="9" t="n">
        <f aca="false">SUMIFS('90_Origen_Caja_2025'!$F$3:$F$542,'90_Origen_Caja_2025'!$A$3:$A$542,"Perú",'90_Origen_Caja_2025'!$C$3:$C$542,6,'90_Origen_Caja_2025'!$E$3:$E$542,"Caja Inicial")</f>
        <v>196994.54</v>
      </c>
      <c r="D23" s="9" t="n">
        <f aca="false">SUMIFS('90_Origen_Caja_2025'!$F$3:$F$542,'90_Origen_Caja_2025'!$A$3:$A$542,"Perú",'90_Origen_Caja_2025'!$C$3:$C$542,6,'90_Origen_Caja_2025'!$E$3:$E$542,"Ingresos Op.")+SUMIFS('90_Origen_Caja_2025'!$F$3:$F$542,'90_Origen_Caja_2025'!$A$3:$A$542,"Perú",'90_Origen_Caja_2025'!$C$3:$C$542,6,'90_Origen_Caja_2025'!$E$3:$E$542,"Otros Ingresos")</f>
        <v>265715</v>
      </c>
      <c r="E23" s="9" t="n">
        <f aca="false">SUMIFS('90_Origen_Caja_2025'!$F$3:$F$542,'90_Origen_Caja_2025'!$A$3:$A$542,"Perú",'90_Origen_Caja_2025'!$C$3:$C$542,6,'90_Origen_Caja_2025'!$E$3:$E$542,"Costos Op.")+SUMIFS('90_Origen_Caja_2025'!$F$3:$F$542,'90_Origen_Caja_2025'!$A$3:$A$542,"Perú",'90_Origen_Caja_2025'!$C$3:$C$542,6,'90_Origen_Caja_2025'!$E$3:$E$542,"Costos Admin.")+SUMIFS('90_Origen_Caja_2025'!$F$3:$F$542,'90_Origen_Caja_2025'!$A$3:$A$542,"Perú",'90_Origen_Caja_2025'!$C$3:$C$542,6,'90_Origen_Caja_2025'!$E$3:$E$542,"Activo")+SUMIFS('90_Origen_Caja_2025'!$F$3:$F$542,'90_Origen_Caja_2025'!$A$3:$A$542,"Perú",'90_Origen_Caja_2025'!$C$3:$C$542,6,'90_Origen_Caja_2025'!$E$3:$E$542,"Egresos No Op.")+SUMIFS('90_Origen_Caja_2025'!$F$3:$F$542,'90_Origen_Caja_2025'!$A$3:$A$542,"Perú",'90_Origen_Caja_2025'!$C$3:$C$542,6,'90_Origen_Caja_2025'!$E$3:$E$542,"Pagos Cta.Cte.")</f>
        <v>223620</v>
      </c>
      <c r="F23" s="10" t="n">
        <f aca="false">C23+D23-E23</f>
        <v>239089.54</v>
      </c>
      <c r="G23" s="10" t="n">
        <f aca="false">D23-E23</f>
        <v>42095</v>
      </c>
    </row>
    <row r="24" customFormat="false" ht="15" hidden="false" customHeight="false" outlineLevel="0" collapsed="false">
      <c r="A24" s="8" t="s">
        <v>61</v>
      </c>
      <c r="B24" s="8" t="s">
        <v>55</v>
      </c>
      <c r="C24" s="9" t="n">
        <f aca="false">SUMIFS('90_Origen_Caja_2025'!$F$3:$F$542,'90_Origen_Caja_2025'!$A$3:$A$542,"Perú",'90_Origen_Caja_2025'!$C$3:$C$542,7,'90_Origen_Caja_2025'!$E$3:$E$542,"Caja Inicial")</f>
        <v>239089.54</v>
      </c>
      <c r="D24" s="9" t="n">
        <f aca="false">SUMIFS('90_Origen_Caja_2025'!$F$3:$F$542,'90_Origen_Caja_2025'!$A$3:$A$542,"Perú",'90_Origen_Caja_2025'!$C$3:$C$542,7,'90_Origen_Caja_2025'!$E$3:$E$542,"Ingresos Op.")+SUMIFS('90_Origen_Caja_2025'!$F$3:$F$542,'90_Origen_Caja_2025'!$A$3:$A$542,"Perú",'90_Origen_Caja_2025'!$C$3:$C$542,7,'90_Origen_Caja_2025'!$E$3:$E$542,"Otros Ingresos")</f>
        <v>285885</v>
      </c>
      <c r="E24" s="9" t="n">
        <f aca="false">SUMIFS('90_Origen_Caja_2025'!$F$3:$F$542,'90_Origen_Caja_2025'!$A$3:$A$542,"Perú",'90_Origen_Caja_2025'!$C$3:$C$542,7,'90_Origen_Caja_2025'!$E$3:$E$542,"Costos Op.")+SUMIFS('90_Origen_Caja_2025'!$F$3:$F$542,'90_Origen_Caja_2025'!$A$3:$A$542,"Perú",'90_Origen_Caja_2025'!$C$3:$C$542,7,'90_Origen_Caja_2025'!$E$3:$E$542,"Costos Admin.")+SUMIFS('90_Origen_Caja_2025'!$F$3:$F$542,'90_Origen_Caja_2025'!$A$3:$A$542,"Perú",'90_Origen_Caja_2025'!$C$3:$C$542,7,'90_Origen_Caja_2025'!$E$3:$E$542,"Activo")+SUMIFS('90_Origen_Caja_2025'!$F$3:$F$542,'90_Origen_Caja_2025'!$A$3:$A$542,"Perú",'90_Origen_Caja_2025'!$C$3:$C$542,7,'90_Origen_Caja_2025'!$E$3:$E$542,"Egresos No Op.")+SUMIFS('90_Origen_Caja_2025'!$F$3:$F$542,'90_Origen_Caja_2025'!$A$3:$A$542,"Perú",'90_Origen_Caja_2025'!$C$3:$C$542,7,'90_Origen_Caja_2025'!$E$3:$E$542,"Pagos Cta.Cte.")</f>
        <v>237006</v>
      </c>
      <c r="F24" s="10" t="n">
        <f aca="false">C24+D24-E24</f>
        <v>287968.54</v>
      </c>
      <c r="G24" s="10" t="n">
        <f aca="false">D24-E24</f>
        <v>48879</v>
      </c>
    </row>
    <row r="25" customFormat="false" ht="15" hidden="false" customHeight="false" outlineLevel="0" collapsed="false">
      <c r="A25" s="8" t="s">
        <v>61</v>
      </c>
      <c r="B25" s="8" t="s">
        <v>56</v>
      </c>
      <c r="C25" s="9" t="n">
        <f aca="false">SUMIFS('90_Origen_Caja_2025'!$F$3:$F$542,'90_Origen_Caja_2025'!$A$3:$A$542,"Perú",'90_Origen_Caja_2025'!$C$3:$C$542,8,'90_Origen_Caja_2025'!$E$3:$E$542,"Caja Inicial")</f>
        <v>287968.54</v>
      </c>
      <c r="D25" s="9" t="n">
        <f aca="false">SUMIFS('90_Origen_Caja_2025'!$F$3:$F$542,'90_Origen_Caja_2025'!$A$3:$A$542,"Perú",'90_Origen_Caja_2025'!$C$3:$C$542,8,'90_Origen_Caja_2025'!$E$3:$E$542,"Ingresos Op.")+SUMIFS('90_Origen_Caja_2025'!$F$3:$F$542,'90_Origen_Caja_2025'!$A$3:$A$542,"Perú",'90_Origen_Caja_2025'!$C$3:$C$542,8,'90_Origen_Caja_2025'!$E$3:$E$542,"Otros Ingresos")</f>
        <v>768008</v>
      </c>
      <c r="E25" s="9" t="n">
        <f aca="false">SUMIFS('90_Origen_Caja_2025'!$F$3:$F$542,'90_Origen_Caja_2025'!$A$3:$A$542,"Perú",'90_Origen_Caja_2025'!$C$3:$C$542,8,'90_Origen_Caja_2025'!$E$3:$E$542,"Costos Op.")+SUMIFS('90_Origen_Caja_2025'!$F$3:$F$542,'90_Origen_Caja_2025'!$A$3:$A$542,"Perú",'90_Origen_Caja_2025'!$C$3:$C$542,8,'90_Origen_Caja_2025'!$E$3:$E$542,"Costos Admin.")+SUMIFS('90_Origen_Caja_2025'!$F$3:$F$542,'90_Origen_Caja_2025'!$A$3:$A$542,"Perú",'90_Origen_Caja_2025'!$C$3:$C$542,8,'90_Origen_Caja_2025'!$E$3:$E$542,"Activo")+SUMIFS('90_Origen_Caja_2025'!$F$3:$F$542,'90_Origen_Caja_2025'!$A$3:$A$542,"Perú",'90_Origen_Caja_2025'!$C$3:$C$542,8,'90_Origen_Caja_2025'!$E$3:$E$542,"Egresos No Op.")+SUMIFS('90_Origen_Caja_2025'!$F$3:$F$542,'90_Origen_Caja_2025'!$A$3:$A$542,"Perú",'90_Origen_Caja_2025'!$C$3:$C$542,8,'90_Origen_Caja_2025'!$E$3:$E$542,"Pagos Cta.Cte.")</f>
        <v>800514</v>
      </c>
      <c r="F25" s="10" t="n">
        <f aca="false">C25+D25-E25</f>
        <v>255462.54</v>
      </c>
      <c r="G25" s="10" t="n">
        <f aca="false">D25-E25</f>
        <v>-32506</v>
      </c>
    </row>
    <row r="26" customFormat="false" ht="15" hidden="false" customHeight="false" outlineLevel="0" collapsed="false">
      <c r="A26" s="8" t="s">
        <v>61</v>
      </c>
      <c r="B26" s="8" t="s">
        <v>57</v>
      </c>
      <c r="C26" s="9" t="n">
        <f aca="false">SUMIFS('90_Origen_Caja_2025'!$F$3:$F$542,'90_Origen_Caja_2025'!$A$3:$A$542,"Perú",'90_Origen_Caja_2025'!$C$3:$C$542,9,'90_Origen_Caja_2025'!$E$3:$E$542,"Caja Inicial")</f>
        <v>255462.54</v>
      </c>
      <c r="D26" s="9" t="n">
        <f aca="false">SUMIFS('90_Origen_Caja_2025'!$F$3:$F$542,'90_Origen_Caja_2025'!$A$3:$A$542,"Perú",'90_Origen_Caja_2025'!$C$3:$C$542,9,'90_Origen_Caja_2025'!$E$3:$E$542,"Ingresos Op.")+SUMIFS('90_Origen_Caja_2025'!$F$3:$F$542,'90_Origen_Caja_2025'!$A$3:$A$542,"Perú",'90_Origen_Caja_2025'!$C$3:$C$542,9,'90_Origen_Caja_2025'!$E$3:$E$542,"Otros Ingresos")</f>
        <v>135170</v>
      </c>
      <c r="E26" s="9" t="n">
        <f aca="false">SUMIFS('90_Origen_Caja_2025'!$F$3:$F$542,'90_Origen_Caja_2025'!$A$3:$A$542,"Perú",'90_Origen_Caja_2025'!$C$3:$C$542,9,'90_Origen_Caja_2025'!$E$3:$E$542,"Costos Op.")+SUMIFS('90_Origen_Caja_2025'!$F$3:$F$542,'90_Origen_Caja_2025'!$A$3:$A$542,"Perú",'90_Origen_Caja_2025'!$C$3:$C$542,9,'90_Origen_Caja_2025'!$E$3:$E$542,"Costos Admin.")+SUMIFS('90_Origen_Caja_2025'!$F$3:$F$542,'90_Origen_Caja_2025'!$A$3:$A$542,"Perú",'90_Origen_Caja_2025'!$C$3:$C$542,9,'90_Origen_Caja_2025'!$E$3:$E$542,"Activo")+SUMIFS('90_Origen_Caja_2025'!$F$3:$F$542,'90_Origen_Caja_2025'!$A$3:$A$542,"Perú",'90_Origen_Caja_2025'!$C$3:$C$542,9,'90_Origen_Caja_2025'!$E$3:$E$542,"Egresos No Op.")+SUMIFS('90_Origen_Caja_2025'!$F$3:$F$542,'90_Origen_Caja_2025'!$A$3:$A$542,"Perú",'90_Origen_Caja_2025'!$C$3:$C$542,9,'90_Origen_Caja_2025'!$E$3:$E$542,"Pagos Cta.Cte.")</f>
        <v>173873</v>
      </c>
      <c r="F26" s="10" t="n">
        <f aca="false">C26+D26-E26</f>
        <v>216759.54</v>
      </c>
      <c r="G26" s="10" t="n">
        <f aca="false">D26-E26</f>
        <v>-38703</v>
      </c>
    </row>
    <row r="27" customFormat="false" ht="15" hidden="false" customHeight="false" outlineLevel="0" collapsed="false">
      <c r="A27" s="8" t="s">
        <v>61</v>
      </c>
      <c r="B27" s="8" t="s">
        <v>58</v>
      </c>
      <c r="C27" s="9" t="n">
        <f aca="false">SUMIFS('90_Origen_Caja_2025'!$F$3:$F$542,'90_Origen_Caja_2025'!$A$3:$A$542,"Perú",'90_Origen_Caja_2025'!$C$3:$C$542,10,'90_Origen_Caja_2025'!$E$3:$E$542,"Caja Inicial")</f>
        <v>216759.54</v>
      </c>
      <c r="D27" s="9" t="n">
        <f aca="false">SUMIFS('90_Origen_Caja_2025'!$F$3:$F$542,'90_Origen_Caja_2025'!$A$3:$A$542,"Perú",'90_Origen_Caja_2025'!$C$3:$C$542,10,'90_Origen_Caja_2025'!$E$3:$E$542,"Ingresos Op.")+SUMIFS('90_Origen_Caja_2025'!$F$3:$F$542,'90_Origen_Caja_2025'!$A$3:$A$542,"Perú",'90_Origen_Caja_2025'!$C$3:$C$542,10,'90_Origen_Caja_2025'!$E$3:$E$542,"Otros Ingresos")</f>
        <v>307566</v>
      </c>
      <c r="E27" s="9" t="n">
        <f aca="false">SUMIFS('90_Origen_Caja_2025'!$F$3:$F$542,'90_Origen_Caja_2025'!$A$3:$A$542,"Perú",'90_Origen_Caja_2025'!$C$3:$C$542,10,'90_Origen_Caja_2025'!$E$3:$E$542,"Costos Op.")+SUMIFS('90_Origen_Caja_2025'!$F$3:$F$542,'90_Origen_Caja_2025'!$A$3:$A$542,"Perú",'90_Origen_Caja_2025'!$C$3:$C$542,10,'90_Origen_Caja_2025'!$E$3:$E$542,"Costos Admin.")+SUMIFS('90_Origen_Caja_2025'!$F$3:$F$542,'90_Origen_Caja_2025'!$A$3:$A$542,"Perú",'90_Origen_Caja_2025'!$C$3:$C$542,10,'90_Origen_Caja_2025'!$E$3:$E$542,"Activo")+SUMIFS('90_Origen_Caja_2025'!$F$3:$F$542,'90_Origen_Caja_2025'!$A$3:$A$542,"Perú",'90_Origen_Caja_2025'!$C$3:$C$542,10,'90_Origen_Caja_2025'!$E$3:$E$542,"Egresos No Op.")+SUMIFS('90_Origen_Caja_2025'!$F$3:$F$542,'90_Origen_Caja_2025'!$A$3:$A$542,"Perú",'90_Origen_Caja_2025'!$C$3:$C$542,10,'90_Origen_Caja_2025'!$E$3:$E$542,"Pagos Cta.Cte.")</f>
        <v>294213</v>
      </c>
      <c r="F27" s="10" t="n">
        <f aca="false">C27+D27-E27</f>
        <v>230112.54</v>
      </c>
      <c r="G27" s="10" t="n">
        <f aca="false">D27-E27</f>
        <v>13353</v>
      </c>
    </row>
    <row r="28" customFormat="false" ht="15" hidden="false" customHeight="false" outlineLevel="0" collapsed="false">
      <c r="A28" s="8" t="s">
        <v>61</v>
      </c>
      <c r="B28" s="8" t="s">
        <v>59</v>
      </c>
      <c r="C28" s="9" t="n">
        <f aca="false">SUMIFS('90_Origen_Caja_2025'!$F$3:$F$542,'90_Origen_Caja_2025'!$A$3:$A$542,"Perú",'90_Origen_Caja_2025'!$C$3:$C$542,11,'90_Origen_Caja_2025'!$E$3:$E$542,"Caja Inicial")</f>
        <v>230112.54</v>
      </c>
      <c r="D28" s="9" t="n">
        <f aca="false">SUMIFS('90_Origen_Caja_2025'!$F$3:$F$542,'90_Origen_Caja_2025'!$A$3:$A$542,"Perú",'90_Origen_Caja_2025'!$C$3:$C$542,11,'90_Origen_Caja_2025'!$E$3:$E$542,"Ingresos Op.")+SUMIFS('90_Origen_Caja_2025'!$F$3:$F$542,'90_Origen_Caja_2025'!$A$3:$A$542,"Perú",'90_Origen_Caja_2025'!$C$3:$C$542,11,'90_Origen_Caja_2025'!$E$3:$E$542,"Otros Ingresos")</f>
        <v>201203</v>
      </c>
      <c r="E28" s="9" t="n">
        <f aca="false">SUMIFS('90_Origen_Caja_2025'!$F$3:$F$542,'90_Origen_Caja_2025'!$A$3:$A$542,"Perú",'90_Origen_Caja_2025'!$C$3:$C$542,11,'90_Origen_Caja_2025'!$E$3:$E$542,"Costos Op.")+SUMIFS('90_Origen_Caja_2025'!$F$3:$F$542,'90_Origen_Caja_2025'!$A$3:$A$542,"Perú",'90_Origen_Caja_2025'!$C$3:$C$542,11,'90_Origen_Caja_2025'!$E$3:$E$542,"Costos Admin.")+SUMIFS('90_Origen_Caja_2025'!$F$3:$F$542,'90_Origen_Caja_2025'!$A$3:$A$542,"Perú",'90_Origen_Caja_2025'!$C$3:$C$542,11,'90_Origen_Caja_2025'!$E$3:$E$542,"Activo")+SUMIFS('90_Origen_Caja_2025'!$F$3:$F$542,'90_Origen_Caja_2025'!$A$3:$A$542,"Perú",'90_Origen_Caja_2025'!$C$3:$C$542,11,'90_Origen_Caja_2025'!$E$3:$E$542,"Egresos No Op.")+SUMIFS('90_Origen_Caja_2025'!$F$3:$F$542,'90_Origen_Caja_2025'!$A$3:$A$542,"Perú",'90_Origen_Caja_2025'!$C$3:$C$542,11,'90_Origen_Caja_2025'!$E$3:$E$542,"Pagos Cta.Cte.")</f>
        <v>325200.64</v>
      </c>
      <c r="F28" s="10" t="n">
        <f aca="false">C28+D28-E28</f>
        <v>106114.9</v>
      </c>
      <c r="G28" s="10" t="n">
        <f aca="false">D28-E28</f>
        <v>-123997.64</v>
      </c>
    </row>
    <row r="29" customFormat="false" ht="15" hidden="false" customHeight="false" outlineLevel="0" collapsed="false">
      <c r="A29" s="8" t="s">
        <v>61</v>
      </c>
      <c r="B29" s="8" t="s">
        <v>60</v>
      </c>
      <c r="C29" s="9" t="n">
        <f aca="false">SUMIFS('90_Origen_Caja_2025'!$F$3:$F$542,'90_Origen_Caja_2025'!$A$3:$A$542,"Perú",'90_Origen_Caja_2025'!$C$3:$C$542,12,'90_Origen_Caja_2025'!$E$3:$E$542,"Caja Inicial")</f>
        <v>106114.9</v>
      </c>
      <c r="D29" s="9" t="n">
        <f aca="false">SUMIFS('90_Origen_Caja_2025'!$F$3:$F$542,'90_Origen_Caja_2025'!$A$3:$A$542,"Perú",'90_Origen_Caja_2025'!$C$3:$C$542,12,'90_Origen_Caja_2025'!$E$3:$E$542,"Ingresos Op.")+SUMIFS('90_Origen_Caja_2025'!$F$3:$F$542,'90_Origen_Caja_2025'!$A$3:$A$542,"Perú",'90_Origen_Caja_2025'!$C$3:$C$542,12,'90_Origen_Caja_2025'!$E$3:$E$542,"Otros Ingresos")</f>
        <v>345317</v>
      </c>
      <c r="E29" s="9" t="n">
        <f aca="false">SUMIFS('90_Origen_Caja_2025'!$F$3:$F$542,'90_Origen_Caja_2025'!$A$3:$A$542,"Perú",'90_Origen_Caja_2025'!$C$3:$C$542,12,'90_Origen_Caja_2025'!$E$3:$E$542,"Costos Op.")+SUMIFS('90_Origen_Caja_2025'!$F$3:$F$542,'90_Origen_Caja_2025'!$A$3:$A$542,"Perú",'90_Origen_Caja_2025'!$C$3:$C$542,12,'90_Origen_Caja_2025'!$E$3:$E$542,"Costos Admin.")+SUMIFS('90_Origen_Caja_2025'!$F$3:$F$542,'90_Origen_Caja_2025'!$A$3:$A$542,"Perú",'90_Origen_Caja_2025'!$C$3:$C$542,12,'90_Origen_Caja_2025'!$E$3:$E$542,"Activo")+SUMIFS('90_Origen_Caja_2025'!$F$3:$F$542,'90_Origen_Caja_2025'!$A$3:$A$542,"Perú",'90_Origen_Caja_2025'!$C$3:$C$542,12,'90_Origen_Caja_2025'!$E$3:$E$542,"Egresos No Op.")+SUMIFS('90_Origen_Caja_2025'!$F$3:$F$542,'90_Origen_Caja_2025'!$A$3:$A$542,"Perú",'90_Origen_Caja_2025'!$C$3:$C$542,12,'90_Origen_Caja_2025'!$E$3:$E$542,"Pagos Cta.Cte.")</f>
        <v>370614</v>
      </c>
      <c r="F29" s="10" t="n">
        <f aca="false">C29+D29-E29</f>
        <v>80817.9</v>
      </c>
      <c r="G29" s="10" t="n">
        <f aca="false">D29-E29</f>
        <v>-25297</v>
      </c>
    </row>
    <row r="30" customFormat="false" ht="15" hidden="false" customHeight="false" outlineLevel="0" collapsed="false">
      <c r="A30" s="8" t="s">
        <v>62</v>
      </c>
      <c r="B30" s="8" t="s">
        <v>49</v>
      </c>
      <c r="C30" s="9" t="n">
        <f aca="false">SUMIFS('90_Origen_Caja_2025'!$F$3:$F$542,'90_Origen_Caja_2025'!$A$3:$A$542,"Brasil",'90_Origen_Caja_2025'!$C$3:$C$542,1,'90_Origen_Caja_2025'!$E$3:$E$542,"Caja Inicial")</f>
        <v>9622.33</v>
      </c>
      <c r="D30" s="9" t="n">
        <f aca="false">SUMIFS('90_Origen_Caja_2025'!$F$3:$F$542,'90_Origen_Caja_2025'!$A$3:$A$542,"Brasil",'90_Origen_Caja_2025'!$C$3:$C$542,1,'90_Origen_Caja_2025'!$E$3:$E$542,"Ingresos Op.")+SUMIFS('90_Origen_Caja_2025'!$F$3:$F$542,'90_Origen_Caja_2025'!$A$3:$A$542,"Brasil",'90_Origen_Caja_2025'!$C$3:$C$542,1,'90_Origen_Caja_2025'!$E$3:$E$542,"Otros Ingresos")</f>
        <v>86890</v>
      </c>
      <c r="E30" s="9" t="n">
        <f aca="false">SUMIFS('90_Origen_Caja_2025'!$F$3:$F$542,'90_Origen_Caja_2025'!$A$3:$A$542,"Brasil",'90_Origen_Caja_2025'!$C$3:$C$542,1,'90_Origen_Caja_2025'!$E$3:$E$542,"Costos Op.")+SUMIFS('90_Origen_Caja_2025'!$F$3:$F$542,'90_Origen_Caja_2025'!$A$3:$A$542,"Brasil",'90_Origen_Caja_2025'!$C$3:$C$542,1,'90_Origen_Caja_2025'!$E$3:$E$542,"Costos Admin.")+SUMIFS('90_Origen_Caja_2025'!$F$3:$F$542,'90_Origen_Caja_2025'!$A$3:$A$542,"Brasil",'90_Origen_Caja_2025'!$C$3:$C$542,1,'90_Origen_Caja_2025'!$E$3:$E$542,"Activo")+SUMIFS('90_Origen_Caja_2025'!$F$3:$F$542,'90_Origen_Caja_2025'!$A$3:$A$542,"Brasil",'90_Origen_Caja_2025'!$C$3:$C$542,1,'90_Origen_Caja_2025'!$E$3:$E$542,"Egresos No Op.")+SUMIFS('90_Origen_Caja_2025'!$F$3:$F$542,'90_Origen_Caja_2025'!$A$3:$A$542,"Brasil",'90_Origen_Caja_2025'!$C$3:$C$542,1,'90_Origen_Caja_2025'!$E$3:$E$542,"Pagos Cta.Cte.")</f>
        <v>34980</v>
      </c>
      <c r="F30" s="10" t="n">
        <f aca="false">C30+D30-E30</f>
        <v>61532.33</v>
      </c>
      <c r="G30" s="10" t="n">
        <f aca="false">D30-E30</f>
        <v>51910</v>
      </c>
    </row>
    <row r="31" customFormat="false" ht="15" hidden="false" customHeight="false" outlineLevel="0" collapsed="false">
      <c r="A31" s="8" t="s">
        <v>62</v>
      </c>
      <c r="B31" s="8" t="s">
        <v>50</v>
      </c>
      <c r="C31" s="9" t="n">
        <f aca="false">SUMIFS('90_Origen_Caja_2025'!$F$3:$F$542,'90_Origen_Caja_2025'!$A$3:$A$542,"Brasil",'90_Origen_Caja_2025'!$C$3:$C$542,2,'90_Origen_Caja_2025'!$E$3:$E$542,"Caja Inicial")</f>
        <v>61532.33</v>
      </c>
      <c r="D31" s="9" t="n">
        <f aca="false">SUMIFS('90_Origen_Caja_2025'!$F$3:$F$542,'90_Origen_Caja_2025'!$A$3:$A$542,"Brasil",'90_Origen_Caja_2025'!$C$3:$C$542,2,'90_Origen_Caja_2025'!$E$3:$E$542,"Ingresos Op.")+SUMIFS('90_Origen_Caja_2025'!$F$3:$F$542,'90_Origen_Caja_2025'!$A$3:$A$542,"Brasil",'90_Origen_Caja_2025'!$C$3:$C$542,2,'90_Origen_Caja_2025'!$E$3:$E$542,"Otros Ingresos")</f>
        <v>60046</v>
      </c>
      <c r="E31" s="9" t="n">
        <f aca="false">SUMIFS('90_Origen_Caja_2025'!$F$3:$F$542,'90_Origen_Caja_2025'!$A$3:$A$542,"Brasil",'90_Origen_Caja_2025'!$C$3:$C$542,2,'90_Origen_Caja_2025'!$E$3:$E$542,"Costos Op.")+SUMIFS('90_Origen_Caja_2025'!$F$3:$F$542,'90_Origen_Caja_2025'!$A$3:$A$542,"Brasil",'90_Origen_Caja_2025'!$C$3:$C$542,2,'90_Origen_Caja_2025'!$E$3:$E$542,"Costos Admin.")+SUMIFS('90_Origen_Caja_2025'!$F$3:$F$542,'90_Origen_Caja_2025'!$A$3:$A$542,"Brasil",'90_Origen_Caja_2025'!$C$3:$C$542,2,'90_Origen_Caja_2025'!$E$3:$E$542,"Activo")+SUMIFS('90_Origen_Caja_2025'!$F$3:$F$542,'90_Origen_Caja_2025'!$A$3:$A$542,"Brasil",'90_Origen_Caja_2025'!$C$3:$C$542,2,'90_Origen_Caja_2025'!$E$3:$E$542,"Egresos No Op.")+SUMIFS('90_Origen_Caja_2025'!$F$3:$F$542,'90_Origen_Caja_2025'!$A$3:$A$542,"Brasil",'90_Origen_Caja_2025'!$C$3:$C$542,2,'90_Origen_Caja_2025'!$E$3:$E$542,"Pagos Cta.Cte.")</f>
        <v>43055</v>
      </c>
      <c r="F31" s="10" t="n">
        <f aca="false">C31+D31-E31</f>
        <v>78523.33</v>
      </c>
      <c r="G31" s="10" t="n">
        <f aca="false">D31-E31</f>
        <v>16991</v>
      </c>
    </row>
    <row r="32" customFormat="false" ht="15" hidden="false" customHeight="false" outlineLevel="0" collapsed="false">
      <c r="A32" s="8" t="s">
        <v>62</v>
      </c>
      <c r="B32" s="8" t="s">
        <v>51</v>
      </c>
      <c r="C32" s="9" t="n">
        <f aca="false">SUMIFS('90_Origen_Caja_2025'!$F$3:$F$542,'90_Origen_Caja_2025'!$A$3:$A$542,"Brasil",'90_Origen_Caja_2025'!$C$3:$C$542,3,'90_Origen_Caja_2025'!$E$3:$E$542,"Caja Inicial")</f>
        <v>78523.33</v>
      </c>
      <c r="D32" s="9" t="n">
        <f aca="false">SUMIFS('90_Origen_Caja_2025'!$F$3:$F$542,'90_Origen_Caja_2025'!$A$3:$A$542,"Brasil",'90_Origen_Caja_2025'!$C$3:$C$542,3,'90_Origen_Caja_2025'!$E$3:$E$542,"Ingresos Op.")+SUMIFS('90_Origen_Caja_2025'!$F$3:$F$542,'90_Origen_Caja_2025'!$A$3:$A$542,"Brasil",'90_Origen_Caja_2025'!$C$3:$C$542,3,'90_Origen_Caja_2025'!$E$3:$E$542,"Otros Ingresos")</f>
        <v>96322</v>
      </c>
      <c r="E32" s="9" t="n">
        <f aca="false">SUMIFS('90_Origen_Caja_2025'!$F$3:$F$542,'90_Origen_Caja_2025'!$A$3:$A$542,"Brasil",'90_Origen_Caja_2025'!$C$3:$C$542,3,'90_Origen_Caja_2025'!$E$3:$E$542,"Costos Op.")+SUMIFS('90_Origen_Caja_2025'!$F$3:$F$542,'90_Origen_Caja_2025'!$A$3:$A$542,"Brasil",'90_Origen_Caja_2025'!$C$3:$C$542,3,'90_Origen_Caja_2025'!$E$3:$E$542,"Costos Admin.")+SUMIFS('90_Origen_Caja_2025'!$F$3:$F$542,'90_Origen_Caja_2025'!$A$3:$A$542,"Brasil",'90_Origen_Caja_2025'!$C$3:$C$542,3,'90_Origen_Caja_2025'!$E$3:$E$542,"Activo")+SUMIFS('90_Origen_Caja_2025'!$F$3:$F$542,'90_Origen_Caja_2025'!$A$3:$A$542,"Brasil",'90_Origen_Caja_2025'!$C$3:$C$542,3,'90_Origen_Caja_2025'!$E$3:$E$542,"Egresos No Op.")+SUMIFS('90_Origen_Caja_2025'!$F$3:$F$542,'90_Origen_Caja_2025'!$A$3:$A$542,"Brasil",'90_Origen_Caja_2025'!$C$3:$C$542,3,'90_Origen_Caja_2025'!$E$3:$E$542,"Pagos Cta.Cte.")</f>
        <v>34370</v>
      </c>
      <c r="F32" s="10" t="n">
        <f aca="false">C32+D32-E32</f>
        <v>140475.33</v>
      </c>
      <c r="G32" s="10" t="n">
        <f aca="false">D32-E32</f>
        <v>61952</v>
      </c>
    </row>
    <row r="33" customFormat="false" ht="15" hidden="false" customHeight="false" outlineLevel="0" collapsed="false">
      <c r="A33" s="8" t="s">
        <v>62</v>
      </c>
      <c r="B33" s="8" t="s">
        <v>52</v>
      </c>
      <c r="C33" s="9" t="n">
        <f aca="false">SUMIFS('90_Origen_Caja_2025'!$F$3:$F$542,'90_Origen_Caja_2025'!$A$3:$A$542,"Brasil",'90_Origen_Caja_2025'!$C$3:$C$542,4,'90_Origen_Caja_2025'!$E$3:$E$542,"Caja Inicial")</f>
        <v>140475.33</v>
      </c>
      <c r="D33" s="9" t="n">
        <f aca="false">SUMIFS('90_Origen_Caja_2025'!$F$3:$F$542,'90_Origen_Caja_2025'!$A$3:$A$542,"Brasil",'90_Origen_Caja_2025'!$C$3:$C$542,4,'90_Origen_Caja_2025'!$E$3:$E$542,"Ingresos Op.")+SUMIFS('90_Origen_Caja_2025'!$F$3:$F$542,'90_Origen_Caja_2025'!$A$3:$A$542,"Brasil",'90_Origen_Caja_2025'!$C$3:$C$542,4,'90_Origen_Caja_2025'!$E$3:$E$542,"Otros Ingresos")</f>
        <v>97209.7</v>
      </c>
      <c r="E33" s="9" t="n">
        <f aca="false">SUMIFS('90_Origen_Caja_2025'!$F$3:$F$542,'90_Origen_Caja_2025'!$A$3:$A$542,"Brasil",'90_Origen_Caja_2025'!$C$3:$C$542,4,'90_Origen_Caja_2025'!$E$3:$E$542,"Costos Op.")+SUMIFS('90_Origen_Caja_2025'!$F$3:$F$542,'90_Origen_Caja_2025'!$A$3:$A$542,"Brasil",'90_Origen_Caja_2025'!$C$3:$C$542,4,'90_Origen_Caja_2025'!$E$3:$E$542,"Costos Admin.")+SUMIFS('90_Origen_Caja_2025'!$F$3:$F$542,'90_Origen_Caja_2025'!$A$3:$A$542,"Brasil",'90_Origen_Caja_2025'!$C$3:$C$542,4,'90_Origen_Caja_2025'!$E$3:$E$542,"Activo")+SUMIFS('90_Origen_Caja_2025'!$F$3:$F$542,'90_Origen_Caja_2025'!$A$3:$A$542,"Brasil",'90_Origen_Caja_2025'!$C$3:$C$542,4,'90_Origen_Caja_2025'!$E$3:$E$542,"Egresos No Op.")+SUMIFS('90_Origen_Caja_2025'!$F$3:$F$542,'90_Origen_Caja_2025'!$A$3:$A$542,"Brasil",'90_Origen_Caja_2025'!$C$3:$C$542,4,'90_Origen_Caja_2025'!$E$3:$E$542,"Pagos Cta.Cte.")</f>
        <v>78402.4</v>
      </c>
      <c r="F33" s="10" t="n">
        <f aca="false">C33+D33-E33</f>
        <v>159282.63</v>
      </c>
      <c r="G33" s="10" t="n">
        <f aca="false">D33-E33</f>
        <v>18807.3</v>
      </c>
    </row>
    <row r="34" customFormat="false" ht="15" hidden="false" customHeight="false" outlineLevel="0" collapsed="false">
      <c r="A34" s="8" t="s">
        <v>62</v>
      </c>
      <c r="B34" s="8" t="s">
        <v>53</v>
      </c>
      <c r="C34" s="9" t="n">
        <f aca="false">SUMIFS('90_Origen_Caja_2025'!$F$3:$F$542,'90_Origen_Caja_2025'!$A$3:$A$542,"Brasil",'90_Origen_Caja_2025'!$C$3:$C$542,5,'90_Origen_Caja_2025'!$E$3:$E$542,"Caja Inicial")</f>
        <v>159282.63</v>
      </c>
      <c r="D34" s="9" t="n">
        <f aca="false">SUMIFS('90_Origen_Caja_2025'!$F$3:$F$542,'90_Origen_Caja_2025'!$A$3:$A$542,"Brasil",'90_Origen_Caja_2025'!$C$3:$C$542,5,'90_Origen_Caja_2025'!$E$3:$E$542,"Ingresos Op.")+SUMIFS('90_Origen_Caja_2025'!$F$3:$F$542,'90_Origen_Caja_2025'!$A$3:$A$542,"Brasil",'90_Origen_Caja_2025'!$C$3:$C$542,5,'90_Origen_Caja_2025'!$E$3:$E$542,"Otros Ingresos")</f>
        <v>38600</v>
      </c>
      <c r="E34" s="9" t="n">
        <f aca="false">SUMIFS('90_Origen_Caja_2025'!$F$3:$F$542,'90_Origen_Caja_2025'!$A$3:$A$542,"Brasil",'90_Origen_Caja_2025'!$C$3:$C$542,5,'90_Origen_Caja_2025'!$E$3:$E$542,"Costos Op.")+SUMIFS('90_Origen_Caja_2025'!$F$3:$F$542,'90_Origen_Caja_2025'!$A$3:$A$542,"Brasil",'90_Origen_Caja_2025'!$C$3:$C$542,5,'90_Origen_Caja_2025'!$E$3:$E$542,"Costos Admin.")+SUMIFS('90_Origen_Caja_2025'!$F$3:$F$542,'90_Origen_Caja_2025'!$A$3:$A$542,"Brasil",'90_Origen_Caja_2025'!$C$3:$C$542,5,'90_Origen_Caja_2025'!$E$3:$E$542,"Activo")+SUMIFS('90_Origen_Caja_2025'!$F$3:$F$542,'90_Origen_Caja_2025'!$A$3:$A$542,"Brasil",'90_Origen_Caja_2025'!$C$3:$C$542,5,'90_Origen_Caja_2025'!$E$3:$E$542,"Egresos No Op.")+SUMIFS('90_Origen_Caja_2025'!$F$3:$F$542,'90_Origen_Caja_2025'!$A$3:$A$542,"Brasil",'90_Origen_Caja_2025'!$C$3:$C$542,5,'90_Origen_Caja_2025'!$E$3:$E$542,"Pagos Cta.Cte.")</f>
        <v>176450</v>
      </c>
      <c r="F34" s="10" t="n">
        <f aca="false">C34+D34-E34</f>
        <v>21432.63</v>
      </c>
      <c r="G34" s="10" t="n">
        <f aca="false">D34-E34</f>
        <v>-137850</v>
      </c>
    </row>
    <row r="35" customFormat="false" ht="15" hidden="false" customHeight="false" outlineLevel="0" collapsed="false">
      <c r="A35" s="8" t="s">
        <v>62</v>
      </c>
      <c r="B35" s="8" t="s">
        <v>54</v>
      </c>
      <c r="C35" s="9" t="n">
        <f aca="false">SUMIFS('90_Origen_Caja_2025'!$F$3:$F$542,'90_Origen_Caja_2025'!$A$3:$A$542,"Brasil",'90_Origen_Caja_2025'!$C$3:$C$542,6,'90_Origen_Caja_2025'!$E$3:$E$542,"Caja Inicial")</f>
        <v>21432.63</v>
      </c>
      <c r="D35" s="9" t="n">
        <f aca="false">SUMIFS('90_Origen_Caja_2025'!$F$3:$F$542,'90_Origen_Caja_2025'!$A$3:$A$542,"Brasil",'90_Origen_Caja_2025'!$C$3:$C$542,6,'90_Origen_Caja_2025'!$E$3:$E$542,"Ingresos Op.")+SUMIFS('90_Origen_Caja_2025'!$F$3:$F$542,'90_Origen_Caja_2025'!$A$3:$A$542,"Brasil",'90_Origen_Caja_2025'!$C$3:$C$542,6,'90_Origen_Caja_2025'!$E$3:$E$542,"Otros Ingresos")</f>
        <v>66563</v>
      </c>
      <c r="E35" s="9" t="n">
        <f aca="false">SUMIFS('90_Origen_Caja_2025'!$F$3:$F$542,'90_Origen_Caja_2025'!$A$3:$A$542,"Brasil",'90_Origen_Caja_2025'!$C$3:$C$542,6,'90_Origen_Caja_2025'!$E$3:$E$542,"Costos Op.")+SUMIFS('90_Origen_Caja_2025'!$F$3:$F$542,'90_Origen_Caja_2025'!$A$3:$A$542,"Brasil",'90_Origen_Caja_2025'!$C$3:$C$542,6,'90_Origen_Caja_2025'!$E$3:$E$542,"Costos Admin.")+SUMIFS('90_Origen_Caja_2025'!$F$3:$F$542,'90_Origen_Caja_2025'!$A$3:$A$542,"Brasil",'90_Origen_Caja_2025'!$C$3:$C$542,6,'90_Origen_Caja_2025'!$E$3:$E$542,"Activo")+SUMIFS('90_Origen_Caja_2025'!$F$3:$F$542,'90_Origen_Caja_2025'!$A$3:$A$542,"Brasil",'90_Origen_Caja_2025'!$C$3:$C$542,6,'90_Origen_Caja_2025'!$E$3:$E$542,"Egresos No Op.")+SUMIFS('90_Origen_Caja_2025'!$F$3:$F$542,'90_Origen_Caja_2025'!$A$3:$A$542,"Brasil",'90_Origen_Caja_2025'!$C$3:$C$542,6,'90_Origen_Caja_2025'!$E$3:$E$542,"Pagos Cta.Cte.")</f>
        <v>88740</v>
      </c>
      <c r="F35" s="10" t="n">
        <f aca="false">C35+D35-E35</f>
        <v>-744.369999999995</v>
      </c>
      <c r="G35" s="10" t="n">
        <f aca="false">D35-E35</f>
        <v>-22177</v>
      </c>
    </row>
    <row r="36" customFormat="false" ht="15" hidden="false" customHeight="false" outlineLevel="0" collapsed="false">
      <c r="A36" s="8" t="s">
        <v>62</v>
      </c>
      <c r="B36" s="8" t="s">
        <v>55</v>
      </c>
      <c r="C36" s="9" t="n">
        <f aca="false">SUMIFS('90_Origen_Caja_2025'!$F$3:$F$542,'90_Origen_Caja_2025'!$A$3:$A$542,"Brasil",'90_Origen_Caja_2025'!$C$3:$C$542,7,'90_Origen_Caja_2025'!$E$3:$E$542,"Caja Inicial")</f>
        <v>-744.37</v>
      </c>
      <c r="D36" s="9" t="n">
        <f aca="false">SUMIFS('90_Origen_Caja_2025'!$F$3:$F$542,'90_Origen_Caja_2025'!$A$3:$A$542,"Brasil",'90_Origen_Caja_2025'!$C$3:$C$542,7,'90_Origen_Caja_2025'!$E$3:$E$542,"Ingresos Op.")+SUMIFS('90_Origen_Caja_2025'!$F$3:$F$542,'90_Origen_Caja_2025'!$A$3:$A$542,"Brasil",'90_Origen_Caja_2025'!$C$3:$C$542,7,'90_Origen_Caja_2025'!$E$3:$E$542,"Otros Ingresos")</f>
        <v>47717</v>
      </c>
      <c r="E36" s="9" t="n">
        <f aca="false">SUMIFS('90_Origen_Caja_2025'!$F$3:$F$542,'90_Origen_Caja_2025'!$A$3:$A$542,"Brasil",'90_Origen_Caja_2025'!$C$3:$C$542,7,'90_Origen_Caja_2025'!$E$3:$E$542,"Costos Op.")+SUMIFS('90_Origen_Caja_2025'!$F$3:$F$542,'90_Origen_Caja_2025'!$A$3:$A$542,"Brasil",'90_Origen_Caja_2025'!$C$3:$C$542,7,'90_Origen_Caja_2025'!$E$3:$E$542,"Costos Admin.")+SUMIFS('90_Origen_Caja_2025'!$F$3:$F$542,'90_Origen_Caja_2025'!$A$3:$A$542,"Brasil",'90_Origen_Caja_2025'!$C$3:$C$542,7,'90_Origen_Caja_2025'!$E$3:$E$542,"Activo")+SUMIFS('90_Origen_Caja_2025'!$F$3:$F$542,'90_Origen_Caja_2025'!$A$3:$A$542,"Brasil",'90_Origen_Caja_2025'!$C$3:$C$542,7,'90_Origen_Caja_2025'!$E$3:$E$542,"Egresos No Op.")+SUMIFS('90_Origen_Caja_2025'!$F$3:$F$542,'90_Origen_Caja_2025'!$A$3:$A$542,"Brasil",'90_Origen_Caja_2025'!$C$3:$C$542,7,'90_Origen_Caja_2025'!$E$3:$E$542,"Pagos Cta.Cte.")</f>
        <v>49549</v>
      </c>
      <c r="F36" s="10" t="n">
        <f aca="false">C36+D36-E36</f>
        <v>-2576.37</v>
      </c>
      <c r="G36" s="10" t="n">
        <f aca="false">D36-E36</f>
        <v>-1832</v>
      </c>
    </row>
    <row r="37" customFormat="false" ht="15" hidden="false" customHeight="false" outlineLevel="0" collapsed="false">
      <c r="A37" s="8" t="s">
        <v>62</v>
      </c>
      <c r="B37" s="8" t="s">
        <v>56</v>
      </c>
      <c r="C37" s="9" t="n">
        <f aca="false">SUMIFS('90_Origen_Caja_2025'!$F$3:$F$542,'90_Origen_Caja_2025'!$A$3:$A$542,"Brasil",'90_Origen_Caja_2025'!$C$3:$C$542,8,'90_Origen_Caja_2025'!$E$3:$E$542,"Caja Inicial")</f>
        <v>-2576.37</v>
      </c>
      <c r="D37" s="9" t="n">
        <f aca="false">SUMIFS('90_Origen_Caja_2025'!$F$3:$F$542,'90_Origen_Caja_2025'!$A$3:$A$542,"Brasil",'90_Origen_Caja_2025'!$C$3:$C$542,8,'90_Origen_Caja_2025'!$E$3:$E$542,"Ingresos Op.")+SUMIFS('90_Origen_Caja_2025'!$F$3:$F$542,'90_Origen_Caja_2025'!$A$3:$A$542,"Brasil",'90_Origen_Caja_2025'!$C$3:$C$542,8,'90_Origen_Caja_2025'!$E$3:$E$542,"Otros Ingresos")</f>
        <v>119652</v>
      </c>
      <c r="E37" s="9" t="n">
        <f aca="false">SUMIFS('90_Origen_Caja_2025'!$F$3:$F$542,'90_Origen_Caja_2025'!$A$3:$A$542,"Brasil",'90_Origen_Caja_2025'!$C$3:$C$542,8,'90_Origen_Caja_2025'!$E$3:$E$542,"Costos Op.")+SUMIFS('90_Origen_Caja_2025'!$F$3:$F$542,'90_Origen_Caja_2025'!$A$3:$A$542,"Brasil",'90_Origen_Caja_2025'!$C$3:$C$542,8,'90_Origen_Caja_2025'!$E$3:$E$542,"Costos Admin.")+SUMIFS('90_Origen_Caja_2025'!$F$3:$F$542,'90_Origen_Caja_2025'!$A$3:$A$542,"Brasil",'90_Origen_Caja_2025'!$C$3:$C$542,8,'90_Origen_Caja_2025'!$E$3:$E$542,"Activo")+SUMIFS('90_Origen_Caja_2025'!$F$3:$F$542,'90_Origen_Caja_2025'!$A$3:$A$542,"Brasil",'90_Origen_Caja_2025'!$C$3:$C$542,8,'90_Origen_Caja_2025'!$E$3:$E$542,"Egresos No Op.")+SUMIFS('90_Origen_Caja_2025'!$F$3:$F$542,'90_Origen_Caja_2025'!$A$3:$A$542,"Brasil",'90_Origen_Caja_2025'!$C$3:$C$542,8,'90_Origen_Caja_2025'!$E$3:$E$542,"Pagos Cta.Cte.")</f>
        <v>49036</v>
      </c>
      <c r="F37" s="10" t="n">
        <f aca="false">C37+D37-E37</f>
        <v>68039.63</v>
      </c>
      <c r="G37" s="10" t="n">
        <f aca="false">D37-E37</f>
        <v>70616</v>
      </c>
    </row>
    <row r="38" customFormat="false" ht="15" hidden="false" customHeight="false" outlineLevel="0" collapsed="false">
      <c r="A38" s="8" t="s">
        <v>62</v>
      </c>
      <c r="B38" s="8" t="s">
        <v>57</v>
      </c>
      <c r="C38" s="9" t="n">
        <f aca="false">SUMIFS('90_Origen_Caja_2025'!$F$3:$F$542,'90_Origen_Caja_2025'!$A$3:$A$542,"Brasil",'90_Origen_Caja_2025'!$C$3:$C$542,9,'90_Origen_Caja_2025'!$E$3:$E$542,"Caja Inicial")</f>
        <v>68039.63</v>
      </c>
      <c r="D38" s="9" t="n">
        <f aca="false">SUMIFS('90_Origen_Caja_2025'!$F$3:$F$542,'90_Origen_Caja_2025'!$A$3:$A$542,"Brasil",'90_Origen_Caja_2025'!$C$3:$C$542,9,'90_Origen_Caja_2025'!$E$3:$E$542,"Ingresos Op.")+SUMIFS('90_Origen_Caja_2025'!$F$3:$F$542,'90_Origen_Caja_2025'!$A$3:$A$542,"Brasil",'90_Origen_Caja_2025'!$C$3:$C$542,9,'90_Origen_Caja_2025'!$E$3:$E$542,"Otros Ingresos")</f>
        <v>203588</v>
      </c>
      <c r="E38" s="9" t="n">
        <f aca="false">SUMIFS('90_Origen_Caja_2025'!$F$3:$F$542,'90_Origen_Caja_2025'!$A$3:$A$542,"Brasil",'90_Origen_Caja_2025'!$C$3:$C$542,9,'90_Origen_Caja_2025'!$E$3:$E$542,"Costos Op.")+SUMIFS('90_Origen_Caja_2025'!$F$3:$F$542,'90_Origen_Caja_2025'!$A$3:$A$542,"Brasil",'90_Origen_Caja_2025'!$C$3:$C$542,9,'90_Origen_Caja_2025'!$E$3:$E$542,"Costos Admin.")+SUMIFS('90_Origen_Caja_2025'!$F$3:$F$542,'90_Origen_Caja_2025'!$A$3:$A$542,"Brasil",'90_Origen_Caja_2025'!$C$3:$C$542,9,'90_Origen_Caja_2025'!$E$3:$E$542,"Activo")+SUMIFS('90_Origen_Caja_2025'!$F$3:$F$542,'90_Origen_Caja_2025'!$A$3:$A$542,"Brasil",'90_Origen_Caja_2025'!$C$3:$C$542,9,'90_Origen_Caja_2025'!$E$3:$E$542,"Egresos No Op.")+SUMIFS('90_Origen_Caja_2025'!$F$3:$F$542,'90_Origen_Caja_2025'!$A$3:$A$542,"Brasil",'90_Origen_Caja_2025'!$C$3:$C$542,9,'90_Origen_Caja_2025'!$E$3:$E$542,"Pagos Cta.Cte.")</f>
        <v>99306</v>
      </c>
      <c r="F38" s="10" t="n">
        <f aca="false">C38+D38-E38</f>
        <v>172321.63</v>
      </c>
      <c r="G38" s="10" t="n">
        <f aca="false">D38-E38</f>
        <v>104282</v>
      </c>
    </row>
    <row r="39" customFormat="false" ht="15" hidden="false" customHeight="false" outlineLevel="0" collapsed="false">
      <c r="A39" s="8" t="s">
        <v>62</v>
      </c>
      <c r="B39" s="8" t="s">
        <v>58</v>
      </c>
      <c r="C39" s="9" t="n">
        <f aca="false">SUMIFS('90_Origen_Caja_2025'!$F$3:$F$542,'90_Origen_Caja_2025'!$A$3:$A$542,"Brasil",'90_Origen_Caja_2025'!$C$3:$C$542,10,'90_Origen_Caja_2025'!$E$3:$E$542,"Caja Inicial")</f>
        <v>179973.63</v>
      </c>
      <c r="D39" s="9" t="n">
        <f aca="false">SUMIFS('90_Origen_Caja_2025'!$F$3:$F$542,'90_Origen_Caja_2025'!$A$3:$A$542,"Brasil",'90_Origen_Caja_2025'!$C$3:$C$542,10,'90_Origen_Caja_2025'!$E$3:$E$542,"Ingresos Op.")+SUMIFS('90_Origen_Caja_2025'!$F$3:$F$542,'90_Origen_Caja_2025'!$A$3:$A$542,"Brasil",'90_Origen_Caja_2025'!$C$3:$C$542,10,'90_Origen_Caja_2025'!$E$3:$E$542,"Otros Ingresos")</f>
        <v>326865</v>
      </c>
      <c r="E39" s="9" t="n">
        <f aca="false">SUMIFS('90_Origen_Caja_2025'!$F$3:$F$542,'90_Origen_Caja_2025'!$A$3:$A$542,"Brasil",'90_Origen_Caja_2025'!$C$3:$C$542,10,'90_Origen_Caja_2025'!$E$3:$E$542,"Costos Op.")+SUMIFS('90_Origen_Caja_2025'!$F$3:$F$542,'90_Origen_Caja_2025'!$A$3:$A$542,"Brasil",'90_Origen_Caja_2025'!$C$3:$C$542,10,'90_Origen_Caja_2025'!$E$3:$E$542,"Costos Admin.")+SUMIFS('90_Origen_Caja_2025'!$F$3:$F$542,'90_Origen_Caja_2025'!$A$3:$A$542,"Brasil",'90_Origen_Caja_2025'!$C$3:$C$542,10,'90_Origen_Caja_2025'!$E$3:$E$542,"Activo")+SUMIFS('90_Origen_Caja_2025'!$F$3:$F$542,'90_Origen_Caja_2025'!$A$3:$A$542,"Brasil",'90_Origen_Caja_2025'!$C$3:$C$542,10,'90_Origen_Caja_2025'!$E$3:$E$542,"Egresos No Op.")+SUMIFS('90_Origen_Caja_2025'!$F$3:$F$542,'90_Origen_Caja_2025'!$A$3:$A$542,"Brasil",'90_Origen_Caja_2025'!$C$3:$C$542,10,'90_Origen_Caja_2025'!$E$3:$E$542,"Pagos Cta.Cte.")</f>
        <v>82009</v>
      </c>
      <c r="F39" s="10" t="n">
        <f aca="false">C39+D39-E39</f>
        <v>424829.63</v>
      </c>
      <c r="G39" s="10" t="n">
        <f aca="false">D39-E39</f>
        <v>244856</v>
      </c>
    </row>
    <row r="40" customFormat="false" ht="15" hidden="false" customHeight="false" outlineLevel="0" collapsed="false">
      <c r="A40" s="8" t="s">
        <v>62</v>
      </c>
      <c r="B40" s="8" t="s">
        <v>59</v>
      </c>
      <c r="C40" s="9" t="n">
        <f aca="false">SUMIFS('90_Origen_Caja_2025'!$F$3:$F$542,'90_Origen_Caja_2025'!$A$3:$A$542,"Brasil",'90_Origen_Caja_2025'!$C$3:$C$542,11,'90_Origen_Caja_2025'!$E$3:$E$542,"Caja Inicial")</f>
        <v>426650.63</v>
      </c>
      <c r="D40" s="9" t="n">
        <f aca="false">SUMIFS('90_Origen_Caja_2025'!$F$3:$F$542,'90_Origen_Caja_2025'!$A$3:$A$542,"Brasil",'90_Origen_Caja_2025'!$C$3:$C$542,11,'90_Origen_Caja_2025'!$E$3:$E$542,"Ingresos Op.")+SUMIFS('90_Origen_Caja_2025'!$F$3:$F$542,'90_Origen_Caja_2025'!$A$3:$A$542,"Brasil",'90_Origen_Caja_2025'!$C$3:$C$542,11,'90_Origen_Caja_2025'!$E$3:$E$542,"Otros Ingresos")</f>
        <v>241225</v>
      </c>
      <c r="E40" s="9" t="n">
        <f aca="false">SUMIFS('90_Origen_Caja_2025'!$F$3:$F$542,'90_Origen_Caja_2025'!$A$3:$A$542,"Brasil",'90_Origen_Caja_2025'!$C$3:$C$542,11,'90_Origen_Caja_2025'!$E$3:$E$542,"Costos Op.")+SUMIFS('90_Origen_Caja_2025'!$F$3:$F$542,'90_Origen_Caja_2025'!$A$3:$A$542,"Brasil",'90_Origen_Caja_2025'!$C$3:$C$542,11,'90_Origen_Caja_2025'!$E$3:$E$542,"Costos Admin.")+SUMIFS('90_Origen_Caja_2025'!$F$3:$F$542,'90_Origen_Caja_2025'!$A$3:$A$542,"Brasil",'90_Origen_Caja_2025'!$C$3:$C$542,11,'90_Origen_Caja_2025'!$E$3:$E$542,"Activo")+SUMIFS('90_Origen_Caja_2025'!$F$3:$F$542,'90_Origen_Caja_2025'!$A$3:$A$542,"Brasil",'90_Origen_Caja_2025'!$C$3:$C$542,11,'90_Origen_Caja_2025'!$E$3:$E$542,"Egresos No Op.")+SUMIFS('90_Origen_Caja_2025'!$F$3:$F$542,'90_Origen_Caja_2025'!$A$3:$A$542,"Brasil",'90_Origen_Caja_2025'!$C$3:$C$542,11,'90_Origen_Caja_2025'!$E$3:$E$542,"Pagos Cta.Cte.")</f>
        <v>384296</v>
      </c>
      <c r="F40" s="10" t="n">
        <f aca="false">C40+D40-E40</f>
        <v>283579.63</v>
      </c>
      <c r="G40" s="10" t="n">
        <f aca="false">D40-E40</f>
        <v>-143071</v>
      </c>
    </row>
    <row r="41" customFormat="false" ht="15" hidden="false" customHeight="false" outlineLevel="0" collapsed="false">
      <c r="A41" s="8" t="s">
        <v>62</v>
      </c>
      <c r="B41" s="8" t="s">
        <v>60</v>
      </c>
      <c r="C41" s="9" t="n">
        <f aca="false">SUMIFS('90_Origen_Caja_2025'!$F$3:$F$542,'90_Origen_Caja_2025'!$A$3:$A$542,"Brasil",'90_Origen_Caja_2025'!$C$3:$C$542,12,'90_Origen_Caja_2025'!$E$3:$E$542,"Caja Inicial")</f>
        <v>283579.63</v>
      </c>
      <c r="D41" s="9" t="n">
        <f aca="false">SUMIFS('90_Origen_Caja_2025'!$F$3:$F$542,'90_Origen_Caja_2025'!$A$3:$A$542,"Brasil",'90_Origen_Caja_2025'!$C$3:$C$542,12,'90_Origen_Caja_2025'!$E$3:$E$542,"Ingresos Op.")+SUMIFS('90_Origen_Caja_2025'!$F$3:$F$542,'90_Origen_Caja_2025'!$A$3:$A$542,"Brasil",'90_Origen_Caja_2025'!$C$3:$C$542,12,'90_Origen_Caja_2025'!$E$3:$E$542,"Otros Ingresos")</f>
        <v>224116.51</v>
      </c>
      <c r="E41" s="9" t="n">
        <f aca="false">SUMIFS('90_Origen_Caja_2025'!$F$3:$F$542,'90_Origen_Caja_2025'!$A$3:$A$542,"Brasil",'90_Origen_Caja_2025'!$C$3:$C$542,12,'90_Origen_Caja_2025'!$E$3:$E$542,"Costos Op.")+SUMIFS('90_Origen_Caja_2025'!$F$3:$F$542,'90_Origen_Caja_2025'!$A$3:$A$542,"Brasil",'90_Origen_Caja_2025'!$C$3:$C$542,12,'90_Origen_Caja_2025'!$E$3:$E$542,"Costos Admin.")+SUMIFS('90_Origen_Caja_2025'!$F$3:$F$542,'90_Origen_Caja_2025'!$A$3:$A$542,"Brasil",'90_Origen_Caja_2025'!$C$3:$C$542,12,'90_Origen_Caja_2025'!$E$3:$E$542,"Activo")+SUMIFS('90_Origen_Caja_2025'!$F$3:$F$542,'90_Origen_Caja_2025'!$A$3:$A$542,"Brasil",'90_Origen_Caja_2025'!$C$3:$C$542,12,'90_Origen_Caja_2025'!$E$3:$E$542,"Egresos No Op.")+SUMIFS('90_Origen_Caja_2025'!$F$3:$F$542,'90_Origen_Caja_2025'!$A$3:$A$542,"Brasil",'90_Origen_Caja_2025'!$C$3:$C$542,12,'90_Origen_Caja_2025'!$E$3:$E$542,"Pagos Cta.Cte.")</f>
        <v>118608</v>
      </c>
      <c r="F41" s="10" t="n">
        <f aca="false">C41+D41-E41</f>
        <v>389088.14</v>
      </c>
      <c r="G41" s="10" t="n">
        <f aca="false">D41-E41</f>
        <v>105508.51</v>
      </c>
    </row>
    <row r="42" customFormat="false" ht="15" hidden="false" customHeight="false" outlineLevel="0" collapsed="false">
      <c r="A42" s="8" t="s">
        <v>63</v>
      </c>
      <c r="B42" s="8" t="s">
        <v>49</v>
      </c>
      <c r="C42" s="9" t="n">
        <f aca="false">SUMIFS('90_Origen_Caja_2025'!$F$3:$F$542,'90_Origen_Caja_2025'!$A$3:$A$542,"USA",'90_Origen_Caja_2025'!$C$3:$C$542,1,'90_Origen_Caja_2025'!$E$3:$E$542,"Caja Inicial")</f>
        <v>55345</v>
      </c>
      <c r="D42" s="9" t="n">
        <f aca="false">SUMIFS('90_Origen_Caja_2025'!$F$3:$F$542,'90_Origen_Caja_2025'!$A$3:$A$542,"USA",'90_Origen_Caja_2025'!$C$3:$C$542,1,'90_Origen_Caja_2025'!$E$3:$E$542,"Ingresos Op.")+SUMIFS('90_Origen_Caja_2025'!$F$3:$F$542,'90_Origen_Caja_2025'!$A$3:$A$542,"USA",'90_Origen_Caja_2025'!$C$3:$C$542,1,'90_Origen_Caja_2025'!$E$3:$E$542,"Otros Ingresos")</f>
        <v>150453</v>
      </c>
      <c r="E42" s="9" t="n">
        <f aca="false">SUMIFS('90_Origen_Caja_2025'!$F$3:$F$542,'90_Origen_Caja_2025'!$A$3:$A$542,"USA",'90_Origen_Caja_2025'!$C$3:$C$542,1,'90_Origen_Caja_2025'!$E$3:$E$542,"Costos Op.")+SUMIFS('90_Origen_Caja_2025'!$F$3:$F$542,'90_Origen_Caja_2025'!$A$3:$A$542,"USA",'90_Origen_Caja_2025'!$C$3:$C$542,1,'90_Origen_Caja_2025'!$E$3:$E$542,"Costos Admin.")+SUMIFS('90_Origen_Caja_2025'!$F$3:$F$542,'90_Origen_Caja_2025'!$A$3:$A$542,"USA",'90_Origen_Caja_2025'!$C$3:$C$542,1,'90_Origen_Caja_2025'!$E$3:$E$542,"Activo")+SUMIFS('90_Origen_Caja_2025'!$F$3:$F$542,'90_Origen_Caja_2025'!$A$3:$A$542,"USA",'90_Origen_Caja_2025'!$C$3:$C$542,1,'90_Origen_Caja_2025'!$E$3:$E$542,"Egresos No Op.")+SUMIFS('90_Origen_Caja_2025'!$F$3:$F$542,'90_Origen_Caja_2025'!$A$3:$A$542,"USA",'90_Origen_Caja_2025'!$C$3:$C$542,1,'90_Origen_Caja_2025'!$E$3:$E$542,"Pagos Cta.Cte.")</f>
        <v>15</v>
      </c>
      <c r="F42" s="10" t="n">
        <f aca="false">C42+D42-E42</f>
        <v>205783</v>
      </c>
      <c r="G42" s="10" t="n">
        <f aca="false">D42-E42</f>
        <v>150438</v>
      </c>
    </row>
    <row r="43" customFormat="false" ht="15" hidden="false" customHeight="false" outlineLevel="0" collapsed="false">
      <c r="A43" s="8" t="s">
        <v>63</v>
      </c>
      <c r="B43" s="8" t="s">
        <v>50</v>
      </c>
      <c r="C43" s="9" t="n">
        <f aca="false">SUMIFS('90_Origen_Caja_2025'!$F$3:$F$542,'90_Origen_Caja_2025'!$A$3:$A$542,"USA",'90_Origen_Caja_2025'!$C$3:$C$542,2,'90_Origen_Caja_2025'!$E$3:$E$542,"Caja Inicial")</f>
        <v>205783</v>
      </c>
      <c r="D43" s="9" t="n">
        <f aca="false">SUMIFS('90_Origen_Caja_2025'!$F$3:$F$542,'90_Origen_Caja_2025'!$A$3:$A$542,"USA",'90_Origen_Caja_2025'!$C$3:$C$542,2,'90_Origen_Caja_2025'!$E$3:$E$542,"Ingresos Op.")+SUMIFS('90_Origen_Caja_2025'!$F$3:$F$542,'90_Origen_Caja_2025'!$A$3:$A$542,"USA",'90_Origen_Caja_2025'!$C$3:$C$542,2,'90_Origen_Caja_2025'!$E$3:$E$542,"Otros Ingresos")</f>
        <v>243465.21</v>
      </c>
      <c r="E43" s="9" t="n">
        <f aca="false">SUMIFS('90_Origen_Caja_2025'!$F$3:$F$542,'90_Origen_Caja_2025'!$A$3:$A$542,"USA",'90_Origen_Caja_2025'!$C$3:$C$542,2,'90_Origen_Caja_2025'!$E$3:$E$542,"Costos Op.")+SUMIFS('90_Origen_Caja_2025'!$F$3:$F$542,'90_Origen_Caja_2025'!$A$3:$A$542,"USA",'90_Origen_Caja_2025'!$C$3:$C$542,2,'90_Origen_Caja_2025'!$E$3:$E$542,"Costos Admin.")+SUMIFS('90_Origen_Caja_2025'!$F$3:$F$542,'90_Origen_Caja_2025'!$A$3:$A$542,"USA",'90_Origen_Caja_2025'!$C$3:$C$542,2,'90_Origen_Caja_2025'!$E$3:$E$542,"Activo")+SUMIFS('90_Origen_Caja_2025'!$F$3:$F$542,'90_Origen_Caja_2025'!$A$3:$A$542,"USA",'90_Origen_Caja_2025'!$C$3:$C$542,2,'90_Origen_Caja_2025'!$E$3:$E$542,"Egresos No Op.")+SUMIFS('90_Origen_Caja_2025'!$F$3:$F$542,'90_Origen_Caja_2025'!$A$3:$A$542,"USA",'90_Origen_Caja_2025'!$C$3:$C$542,2,'90_Origen_Caja_2025'!$E$3:$E$542,"Pagos Cta.Cte.")</f>
        <v>2025</v>
      </c>
      <c r="F43" s="10" t="n">
        <f aca="false">C43+D43-E43</f>
        <v>447223.21</v>
      </c>
      <c r="G43" s="10" t="n">
        <f aca="false">D43-E43</f>
        <v>241440.21</v>
      </c>
    </row>
    <row r="44" customFormat="false" ht="15" hidden="false" customHeight="false" outlineLevel="0" collapsed="false">
      <c r="A44" s="8" t="s">
        <v>63</v>
      </c>
      <c r="B44" s="8" t="s">
        <v>51</v>
      </c>
      <c r="C44" s="9" t="n">
        <f aca="false">SUMIFS('90_Origen_Caja_2025'!$F$3:$F$542,'90_Origen_Caja_2025'!$A$3:$A$542,"USA",'90_Origen_Caja_2025'!$C$3:$C$542,3,'90_Origen_Caja_2025'!$E$3:$E$542,"Caja Inicial")</f>
        <v>447223.21</v>
      </c>
      <c r="D44" s="9" t="n">
        <f aca="false">SUMIFS('90_Origen_Caja_2025'!$F$3:$F$542,'90_Origen_Caja_2025'!$A$3:$A$542,"USA",'90_Origen_Caja_2025'!$C$3:$C$542,3,'90_Origen_Caja_2025'!$E$3:$E$542,"Ingresos Op.")+SUMIFS('90_Origen_Caja_2025'!$F$3:$F$542,'90_Origen_Caja_2025'!$A$3:$A$542,"USA",'90_Origen_Caja_2025'!$C$3:$C$542,3,'90_Origen_Caja_2025'!$E$3:$E$542,"Otros Ingresos")</f>
        <v>141526</v>
      </c>
      <c r="E44" s="9" t="n">
        <f aca="false">SUMIFS('90_Origen_Caja_2025'!$F$3:$F$542,'90_Origen_Caja_2025'!$A$3:$A$542,"USA",'90_Origen_Caja_2025'!$C$3:$C$542,3,'90_Origen_Caja_2025'!$E$3:$E$542,"Costos Op.")+SUMIFS('90_Origen_Caja_2025'!$F$3:$F$542,'90_Origen_Caja_2025'!$A$3:$A$542,"USA",'90_Origen_Caja_2025'!$C$3:$C$542,3,'90_Origen_Caja_2025'!$E$3:$E$542,"Costos Admin.")+SUMIFS('90_Origen_Caja_2025'!$F$3:$F$542,'90_Origen_Caja_2025'!$A$3:$A$542,"USA",'90_Origen_Caja_2025'!$C$3:$C$542,3,'90_Origen_Caja_2025'!$E$3:$E$542,"Activo")+SUMIFS('90_Origen_Caja_2025'!$F$3:$F$542,'90_Origen_Caja_2025'!$A$3:$A$542,"USA",'90_Origen_Caja_2025'!$C$3:$C$542,3,'90_Origen_Caja_2025'!$E$3:$E$542,"Egresos No Op.")+SUMIFS('90_Origen_Caja_2025'!$F$3:$F$542,'90_Origen_Caja_2025'!$A$3:$A$542,"USA",'90_Origen_Caja_2025'!$C$3:$C$542,3,'90_Origen_Caja_2025'!$E$3:$E$542,"Pagos Cta.Cte.")</f>
        <v>58728</v>
      </c>
      <c r="F44" s="10" t="n">
        <f aca="false">C44+D44-E44</f>
        <v>530021.21</v>
      </c>
      <c r="G44" s="10" t="n">
        <f aca="false">D44-E44</f>
        <v>82798</v>
      </c>
    </row>
    <row r="45" customFormat="false" ht="15" hidden="false" customHeight="false" outlineLevel="0" collapsed="false">
      <c r="A45" s="8" t="s">
        <v>63</v>
      </c>
      <c r="B45" s="8" t="s">
        <v>52</v>
      </c>
      <c r="C45" s="9" t="n">
        <f aca="false">SUMIFS('90_Origen_Caja_2025'!$F$3:$F$542,'90_Origen_Caja_2025'!$A$3:$A$542,"USA",'90_Origen_Caja_2025'!$C$3:$C$542,4,'90_Origen_Caja_2025'!$E$3:$E$542,"Caja Inicial")</f>
        <v>530021.21</v>
      </c>
      <c r="D45" s="9" t="n">
        <f aca="false">SUMIFS('90_Origen_Caja_2025'!$F$3:$F$542,'90_Origen_Caja_2025'!$A$3:$A$542,"USA",'90_Origen_Caja_2025'!$C$3:$C$542,4,'90_Origen_Caja_2025'!$E$3:$E$542,"Ingresos Op.")+SUMIFS('90_Origen_Caja_2025'!$F$3:$F$542,'90_Origen_Caja_2025'!$A$3:$A$542,"USA",'90_Origen_Caja_2025'!$C$3:$C$542,4,'90_Origen_Caja_2025'!$E$3:$E$542,"Otros Ingresos")</f>
        <v>169200</v>
      </c>
      <c r="E45" s="9" t="n">
        <f aca="false">SUMIFS('90_Origen_Caja_2025'!$F$3:$F$542,'90_Origen_Caja_2025'!$A$3:$A$542,"USA",'90_Origen_Caja_2025'!$C$3:$C$542,4,'90_Origen_Caja_2025'!$E$3:$E$542,"Costos Op.")+SUMIFS('90_Origen_Caja_2025'!$F$3:$F$542,'90_Origen_Caja_2025'!$A$3:$A$542,"USA",'90_Origen_Caja_2025'!$C$3:$C$542,4,'90_Origen_Caja_2025'!$E$3:$E$542,"Costos Admin.")+SUMIFS('90_Origen_Caja_2025'!$F$3:$F$542,'90_Origen_Caja_2025'!$A$3:$A$542,"USA",'90_Origen_Caja_2025'!$C$3:$C$542,4,'90_Origen_Caja_2025'!$E$3:$E$542,"Activo")+SUMIFS('90_Origen_Caja_2025'!$F$3:$F$542,'90_Origen_Caja_2025'!$A$3:$A$542,"USA",'90_Origen_Caja_2025'!$C$3:$C$542,4,'90_Origen_Caja_2025'!$E$3:$E$542,"Egresos No Op.")+SUMIFS('90_Origen_Caja_2025'!$F$3:$F$542,'90_Origen_Caja_2025'!$A$3:$A$542,"USA",'90_Origen_Caja_2025'!$C$3:$C$542,4,'90_Origen_Caja_2025'!$E$3:$E$542,"Pagos Cta.Cte.")</f>
        <v>9898</v>
      </c>
      <c r="F45" s="10" t="n">
        <f aca="false">C45+D45-E45</f>
        <v>689323.21</v>
      </c>
      <c r="G45" s="10" t="n">
        <f aca="false">D45-E45</f>
        <v>159302</v>
      </c>
    </row>
    <row r="46" customFormat="false" ht="15" hidden="false" customHeight="false" outlineLevel="0" collapsed="false">
      <c r="A46" s="8" t="s">
        <v>63</v>
      </c>
      <c r="B46" s="8" t="s">
        <v>53</v>
      </c>
      <c r="C46" s="9" t="n">
        <f aca="false">SUMIFS('90_Origen_Caja_2025'!$F$3:$F$542,'90_Origen_Caja_2025'!$A$3:$A$542,"USA",'90_Origen_Caja_2025'!$C$3:$C$542,5,'90_Origen_Caja_2025'!$E$3:$E$542,"Caja Inicial")</f>
        <v>689323.21</v>
      </c>
      <c r="D46" s="9" t="n">
        <f aca="false">SUMIFS('90_Origen_Caja_2025'!$F$3:$F$542,'90_Origen_Caja_2025'!$A$3:$A$542,"USA",'90_Origen_Caja_2025'!$C$3:$C$542,5,'90_Origen_Caja_2025'!$E$3:$E$542,"Ingresos Op.")+SUMIFS('90_Origen_Caja_2025'!$F$3:$F$542,'90_Origen_Caja_2025'!$A$3:$A$542,"USA",'90_Origen_Caja_2025'!$C$3:$C$542,5,'90_Origen_Caja_2025'!$E$3:$E$542,"Otros Ingresos")</f>
        <v>195090</v>
      </c>
      <c r="E46" s="9" t="n">
        <f aca="false">SUMIFS('90_Origen_Caja_2025'!$F$3:$F$542,'90_Origen_Caja_2025'!$A$3:$A$542,"USA",'90_Origen_Caja_2025'!$C$3:$C$542,5,'90_Origen_Caja_2025'!$E$3:$E$542,"Costos Op.")+SUMIFS('90_Origen_Caja_2025'!$F$3:$F$542,'90_Origen_Caja_2025'!$A$3:$A$542,"USA",'90_Origen_Caja_2025'!$C$3:$C$542,5,'90_Origen_Caja_2025'!$E$3:$E$542,"Costos Admin.")+SUMIFS('90_Origen_Caja_2025'!$F$3:$F$542,'90_Origen_Caja_2025'!$A$3:$A$542,"USA",'90_Origen_Caja_2025'!$C$3:$C$542,5,'90_Origen_Caja_2025'!$E$3:$E$542,"Activo")+SUMIFS('90_Origen_Caja_2025'!$F$3:$F$542,'90_Origen_Caja_2025'!$A$3:$A$542,"USA",'90_Origen_Caja_2025'!$C$3:$C$542,5,'90_Origen_Caja_2025'!$E$3:$E$542,"Egresos No Op.")+SUMIFS('90_Origen_Caja_2025'!$F$3:$F$542,'90_Origen_Caja_2025'!$A$3:$A$542,"USA",'90_Origen_Caja_2025'!$C$3:$C$542,5,'90_Origen_Caja_2025'!$E$3:$E$542,"Pagos Cta.Cte.")</f>
        <v>329524</v>
      </c>
      <c r="F46" s="10" t="n">
        <f aca="false">C46+D46-E46</f>
        <v>554889.21</v>
      </c>
      <c r="G46" s="10" t="n">
        <f aca="false">D46-E46</f>
        <v>-134434</v>
      </c>
    </row>
    <row r="47" customFormat="false" ht="15" hidden="false" customHeight="false" outlineLevel="0" collapsed="false">
      <c r="A47" s="8" t="s">
        <v>63</v>
      </c>
      <c r="B47" s="8" t="s">
        <v>54</v>
      </c>
      <c r="C47" s="9" t="n">
        <f aca="false">SUMIFS('90_Origen_Caja_2025'!$F$3:$F$542,'90_Origen_Caja_2025'!$A$3:$A$542,"USA",'90_Origen_Caja_2025'!$C$3:$C$542,6,'90_Origen_Caja_2025'!$E$3:$E$542,"Caja Inicial")</f>
        <v>554889.21</v>
      </c>
      <c r="D47" s="9" t="n">
        <f aca="false">SUMIFS('90_Origen_Caja_2025'!$F$3:$F$542,'90_Origen_Caja_2025'!$A$3:$A$542,"USA",'90_Origen_Caja_2025'!$C$3:$C$542,6,'90_Origen_Caja_2025'!$E$3:$E$542,"Ingresos Op.")+SUMIFS('90_Origen_Caja_2025'!$F$3:$F$542,'90_Origen_Caja_2025'!$A$3:$A$542,"USA",'90_Origen_Caja_2025'!$C$3:$C$542,6,'90_Origen_Caja_2025'!$E$3:$E$542,"Otros Ingresos")</f>
        <v>61796</v>
      </c>
      <c r="E47" s="9" t="n">
        <f aca="false">SUMIFS('90_Origen_Caja_2025'!$F$3:$F$542,'90_Origen_Caja_2025'!$A$3:$A$542,"USA",'90_Origen_Caja_2025'!$C$3:$C$542,6,'90_Origen_Caja_2025'!$E$3:$E$542,"Costos Op.")+SUMIFS('90_Origen_Caja_2025'!$F$3:$F$542,'90_Origen_Caja_2025'!$A$3:$A$542,"USA",'90_Origen_Caja_2025'!$C$3:$C$542,6,'90_Origen_Caja_2025'!$E$3:$E$542,"Costos Admin.")+SUMIFS('90_Origen_Caja_2025'!$F$3:$F$542,'90_Origen_Caja_2025'!$A$3:$A$542,"USA",'90_Origen_Caja_2025'!$C$3:$C$542,6,'90_Origen_Caja_2025'!$E$3:$E$542,"Activo")+SUMIFS('90_Origen_Caja_2025'!$F$3:$F$542,'90_Origen_Caja_2025'!$A$3:$A$542,"USA",'90_Origen_Caja_2025'!$C$3:$C$542,6,'90_Origen_Caja_2025'!$E$3:$E$542,"Egresos No Op.")+SUMIFS('90_Origen_Caja_2025'!$F$3:$F$542,'90_Origen_Caja_2025'!$A$3:$A$542,"USA",'90_Origen_Caja_2025'!$C$3:$C$542,6,'90_Origen_Caja_2025'!$E$3:$E$542,"Pagos Cta.Cte.")</f>
        <v>4178</v>
      </c>
      <c r="F47" s="10" t="n">
        <f aca="false">C47+D47-E47</f>
        <v>612507.21</v>
      </c>
      <c r="G47" s="10" t="n">
        <f aca="false">D47-E47</f>
        <v>57618</v>
      </c>
    </row>
    <row r="48" customFormat="false" ht="15" hidden="false" customHeight="false" outlineLevel="0" collapsed="false">
      <c r="A48" s="8" t="s">
        <v>63</v>
      </c>
      <c r="B48" s="8" t="s">
        <v>55</v>
      </c>
      <c r="C48" s="9" t="n">
        <f aca="false">SUMIFS('90_Origen_Caja_2025'!$F$3:$F$542,'90_Origen_Caja_2025'!$A$3:$A$542,"USA",'90_Origen_Caja_2025'!$C$3:$C$542,7,'90_Origen_Caja_2025'!$E$3:$E$542,"Caja Inicial")</f>
        <v>612507.21</v>
      </c>
      <c r="D48" s="9" t="n">
        <f aca="false">SUMIFS('90_Origen_Caja_2025'!$F$3:$F$542,'90_Origen_Caja_2025'!$A$3:$A$542,"USA",'90_Origen_Caja_2025'!$C$3:$C$542,7,'90_Origen_Caja_2025'!$E$3:$E$542,"Ingresos Op.")+SUMIFS('90_Origen_Caja_2025'!$F$3:$F$542,'90_Origen_Caja_2025'!$A$3:$A$542,"USA",'90_Origen_Caja_2025'!$C$3:$C$542,7,'90_Origen_Caja_2025'!$E$3:$E$542,"Otros Ingresos")</f>
        <v>0</v>
      </c>
      <c r="E48" s="9" t="n">
        <f aca="false">SUMIFS('90_Origen_Caja_2025'!$F$3:$F$542,'90_Origen_Caja_2025'!$A$3:$A$542,"USA",'90_Origen_Caja_2025'!$C$3:$C$542,7,'90_Origen_Caja_2025'!$E$3:$E$542,"Costos Op.")+SUMIFS('90_Origen_Caja_2025'!$F$3:$F$542,'90_Origen_Caja_2025'!$A$3:$A$542,"USA",'90_Origen_Caja_2025'!$C$3:$C$542,7,'90_Origen_Caja_2025'!$E$3:$E$542,"Costos Admin.")+SUMIFS('90_Origen_Caja_2025'!$F$3:$F$542,'90_Origen_Caja_2025'!$A$3:$A$542,"USA",'90_Origen_Caja_2025'!$C$3:$C$542,7,'90_Origen_Caja_2025'!$E$3:$E$542,"Activo")+SUMIFS('90_Origen_Caja_2025'!$F$3:$F$542,'90_Origen_Caja_2025'!$A$3:$A$542,"USA",'90_Origen_Caja_2025'!$C$3:$C$542,7,'90_Origen_Caja_2025'!$E$3:$E$542,"Egresos No Op.")+SUMIFS('90_Origen_Caja_2025'!$F$3:$F$542,'90_Origen_Caja_2025'!$A$3:$A$542,"USA",'90_Origen_Caja_2025'!$C$3:$C$542,7,'90_Origen_Caja_2025'!$E$3:$E$542,"Pagos Cta.Cte.")</f>
        <v>10017</v>
      </c>
      <c r="F48" s="10" t="n">
        <f aca="false">C48+D48-E48</f>
        <v>602490.21</v>
      </c>
      <c r="G48" s="10" t="n">
        <f aca="false">D48-E48</f>
        <v>-10017</v>
      </c>
    </row>
    <row r="49" customFormat="false" ht="15" hidden="false" customHeight="false" outlineLevel="0" collapsed="false">
      <c r="A49" s="8" t="s">
        <v>63</v>
      </c>
      <c r="B49" s="8" t="s">
        <v>56</v>
      </c>
      <c r="C49" s="9" t="n">
        <f aca="false">SUMIFS('90_Origen_Caja_2025'!$F$3:$F$542,'90_Origen_Caja_2025'!$A$3:$A$542,"USA",'90_Origen_Caja_2025'!$C$3:$C$542,8,'90_Origen_Caja_2025'!$E$3:$E$542,"Caja Inicial")</f>
        <v>602490.21</v>
      </c>
      <c r="D49" s="9" t="n">
        <f aca="false">SUMIFS('90_Origen_Caja_2025'!$F$3:$F$542,'90_Origen_Caja_2025'!$A$3:$A$542,"USA",'90_Origen_Caja_2025'!$C$3:$C$542,8,'90_Origen_Caja_2025'!$E$3:$E$542,"Ingresos Op.")+SUMIFS('90_Origen_Caja_2025'!$F$3:$F$542,'90_Origen_Caja_2025'!$A$3:$A$542,"USA",'90_Origen_Caja_2025'!$C$3:$C$542,8,'90_Origen_Caja_2025'!$E$3:$E$542,"Otros Ingresos")</f>
        <v>20000</v>
      </c>
      <c r="E49" s="9" t="n">
        <f aca="false">SUMIFS('90_Origen_Caja_2025'!$F$3:$F$542,'90_Origen_Caja_2025'!$A$3:$A$542,"USA",'90_Origen_Caja_2025'!$C$3:$C$542,8,'90_Origen_Caja_2025'!$E$3:$E$542,"Costos Op.")+SUMIFS('90_Origen_Caja_2025'!$F$3:$F$542,'90_Origen_Caja_2025'!$A$3:$A$542,"USA",'90_Origen_Caja_2025'!$C$3:$C$542,8,'90_Origen_Caja_2025'!$E$3:$E$542,"Costos Admin.")+SUMIFS('90_Origen_Caja_2025'!$F$3:$F$542,'90_Origen_Caja_2025'!$A$3:$A$542,"USA",'90_Origen_Caja_2025'!$C$3:$C$542,8,'90_Origen_Caja_2025'!$E$3:$E$542,"Activo")+SUMIFS('90_Origen_Caja_2025'!$F$3:$F$542,'90_Origen_Caja_2025'!$A$3:$A$542,"USA",'90_Origen_Caja_2025'!$C$3:$C$542,8,'90_Origen_Caja_2025'!$E$3:$E$542,"Egresos No Op.")+SUMIFS('90_Origen_Caja_2025'!$F$3:$F$542,'90_Origen_Caja_2025'!$A$3:$A$542,"USA",'90_Origen_Caja_2025'!$C$3:$C$542,8,'90_Origen_Caja_2025'!$E$3:$E$542,"Pagos Cta.Cte.")</f>
        <v>1015</v>
      </c>
      <c r="F49" s="10" t="n">
        <f aca="false">C49+D49-E49</f>
        <v>621475.21</v>
      </c>
      <c r="G49" s="10" t="n">
        <f aca="false">D49-E49</f>
        <v>18985</v>
      </c>
    </row>
    <row r="50" customFormat="false" ht="15" hidden="false" customHeight="false" outlineLevel="0" collapsed="false">
      <c r="A50" s="8" t="s">
        <v>63</v>
      </c>
      <c r="B50" s="8" t="s">
        <v>57</v>
      </c>
      <c r="C50" s="9" t="n">
        <f aca="false">SUMIFS('90_Origen_Caja_2025'!$F$3:$F$542,'90_Origen_Caja_2025'!$A$3:$A$542,"USA",'90_Origen_Caja_2025'!$C$3:$C$542,9,'90_Origen_Caja_2025'!$E$3:$E$542,"Caja Inicial")</f>
        <v>621475.21</v>
      </c>
      <c r="D50" s="9" t="n">
        <f aca="false">SUMIFS('90_Origen_Caja_2025'!$F$3:$F$542,'90_Origen_Caja_2025'!$A$3:$A$542,"USA",'90_Origen_Caja_2025'!$C$3:$C$542,9,'90_Origen_Caja_2025'!$E$3:$E$542,"Ingresos Op.")+SUMIFS('90_Origen_Caja_2025'!$F$3:$F$542,'90_Origen_Caja_2025'!$A$3:$A$542,"USA",'90_Origen_Caja_2025'!$C$3:$C$542,9,'90_Origen_Caja_2025'!$E$3:$E$542,"Otros Ingresos")</f>
        <v>0</v>
      </c>
      <c r="E50" s="9" t="n">
        <f aca="false">SUMIFS('90_Origen_Caja_2025'!$F$3:$F$542,'90_Origen_Caja_2025'!$A$3:$A$542,"USA",'90_Origen_Caja_2025'!$C$3:$C$542,9,'90_Origen_Caja_2025'!$E$3:$E$542,"Costos Op.")+SUMIFS('90_Origen_Caja_2025'!$F$3:$F$542,'90_Origen_Caja_2025'!$A$3:$A$542,"USA",'90_Origen_Caja_2025'!$C$3:$C$542,9,'90_Origen_Caja_2025'!$E$3:$E$542,"Costos Admin.")+SUMIFS('90_Origen_Caja_2025'!$F$3:$F$542,'90_Origen_Caja_2025'!$A$3:$A$542,"USA",'90_Origen_Caja_2025'!$C$3:$C$542,9,'90_Origen_Caja_2025'!$E$3:$E$542,"Activo")+SUMIFS('90_Origen_Caja_2025'!$F$3:$F$542,'90_Origen_Caja_2025'!$A$3:$A$542,"USA",'90_Origen_Caja_2025'!$C$3:$C$542,9,'90_Origen_Caja_2025'!$E$3:$E$542,"Egresos No Op.")+SUMIFS('90_Origen_Caja_2025'!$F$3:$F$542,'90_Origen_Caja_2025'!$A$3:$A$542,"USA",'90_Origen_Caja_2025'!$C$3:$C$542,9,'90_Origen_Caja_2025'!$E$3:$E$542,"Pagos Cta.Cte.")</f>
        <v>1000</v>
      </c>
      <c r="F50" s="10" t="n">
        <f aca="false">C50+D50-E50</f>
        <v>620475.21</v>
      </c>
      <c r="G50" s="10" t="n">
        <f aca="false">D50-E50</f>
        <v>-1000</v>
      </c>
    </row>
    <row r="51" customFormat="false" ht="15" hidden="false" customHeight="false" outlineLevel="0" collapsed="false">
      <c r="A51" s="8" t="s">
        <v>63</v>
      </c>
      <c r="B51" s="8" t="s">
        <v>58</v>
      </c>
      <c r="C51" s="9" t="n">
        <f aca="false">SUMIFS('90_Origen_Caja_2025'!$F$3:$F$542,'90_Origen_Caja_2025'!$A$3:$A$542,"USA",'90_Origen_Caja_2025'!$C$3:$C$542,10,'90_Origen_Caja_2025'!$E$3:$E$542,"Caja Inicial")</f>
        <v>620475.21</v>
      </c>
      <c r="D51" s="9" t="n">
        <f aca="false">SUMIFS('90_Origen_Caja_2025'!$F$3:$F$542,'90_Origen_Caja_2025'!$A$3:$A$542,"USA",'90_Origen_Caja_2025'!$C$3:$C$542,10,'90_Origen_Caja_2025'!$E$3:$E$542,"Ingresos Op.")+SUMIFS('90_Origen_Caja_2025'!$F$3:$F$542,'90_Origen_Caja_2025'!$A$3:$A$542,"USA",'90_Origen_Caja_2025'!$C$3:$C$542,10,'90_Origen_Caja_2025'!$E$3:$E$542,"Otros Ingresos")</f>
        <v>45000</v>
      </c>
      <c r="E51" s="9" t="n">
        <f aca="false">SUMIFS('90_Origen_Caja_2025'!$F$3:$F$542,'90_Origen_Caja_2025'!$A$3:$A$542,"USA",'90_Origen_Caja_2025'!$C$3:$C$542,10,'90_Origen_Caja_2025'!$E$3:$E$542,"Costos Op.")+SUMIFS('90_Origen_Caja_2025'!$F$3:$F$542,'90_Origen_Caja_2025'!$A$3:$A$542,"USA",'90_Origen_Caja_2025'!$C$3:$C$542,10,'90_Origen_Caja_2025'!$E$3:$E$542,"Costos Admin.")+SUMIFS('90_Origen_Caja_2025'!$F$3:$F$542,'90_Origen_Caja_2025'!$A$3:$A$542,"USA",'90_Origen_Caja_2025'!$C$3:$C$542,10,'90_Origen_Caja_2025'!$E$3:$E$542,"Activo")+SUMIFS('90_Origen_Caja_2025'!$F$3:$F$542,'90_Origen_Caja_2025'!$A$3:$A$542,"USA",'90_Origen_Caja_2025'!$C$3:$C$542,10,'90_Origen_Caja_2025'!$E$3:$E$542,"Egresos No Op.")+SUMIFS('90_Origen_Caja_2025'!$F$3:$F$542,'90_Origen_Caja_2025'!$A$3:$A$542,"USA",'90_Origen_Caja_2025'!$C$3:$C$542,10,'90_Origen_Caja_2025'!$E$3:$E$542,"Pagos Cta.Cte.")</f>
        <v>199165</v>
      </c>
      <c r="F51" s="10" t="n">
        <f aca="false">C51+D51-E51</f>
        <v>466310.21</v>
      </c>
      <c r="G51" s="10" t="n">
        <f aca="false">D51-E51</f>
        <v>-154165</v>
      </c>
    </row>
    <row r="52" customFormat="false" ht="15" hidden="false" customHeight="false" outlineLevel="0" collapsed="false">
      <c r="A52" s="8" t="s">
        <v>63</v>
      </c>
      <c r="B52" s="8" t="s">
        <v>59</v>
      </c>
      <c r="C52" s="9" t="n">
        <f aca="false">SUMIFS('90_Origen_Caja_2025'!$F$3:$F$542,'90_Origen_Caja_2025'!$A$3:$A$542,"USA",'90_Origen_Caja_2025'!$C$3:$C$542,11,'90_Origen_Caja_2025'!$E$3:$E$542,"Caja Inicial")</f>
        <v>466310.21</v>
      </c>
      <c r="D52" s="9" t="n">
        <f aca="false">SUMIFS('90_Origen_Caja_2025'!$F$3:$F$542,'90_Origen_Caja_2025'!$A$3:$A$542,"USA",'90_Origen_Caja_2025'!$C$3:$C$542,11,'90_Origen_Caja_2025'!$E$3:$E$542,"Ingresos Op.")+SUMIFS('90_Origen_Caja_2025'!$F$3:$F$542,'90_Origen_Caja_2025'!$A$3:$A$542,"USA",'90_Origen_Caja_2025'!$C$3:$C$542,11,'90_Origen_Caja_2025'!$E$3:$E$542,"Otros Ingresos")</f>
        <v>0</v>
      </c>
      <c r="E52" s="9" t="n">
        <f aca="false">SUMIFS('90_Origen_Caja_2025'!$F$3:$F$542,'90_Origen_Caja_2025'!$A$3:$A$542,"USA",'90_Origen_Caja_2025'!$C$3:$C$542,11,'90_Origen_Caja_2025'!$E$3:$E$542,"Costos Op.")+SUMIFS('90_Origen_Caja_2025'!$F$3:$F$542,'90_Origen_Caja_2025'!$A$3:$A$542,"USA",'90_Origen_Caja_2025'!$C$3:$C$542,11,'90_Origen_Caja_2025'!$E$3:$E$542,"Costos Admin.")+SUMIFS('90_Origen_Caja_2025'!$F$3:$F$542,'90_Origen_Caja_2025'!$A$3:$A$542,"USA",'90_Origen_Caja_2025'!$C$3:$C$542,11,'90_Origen_Caja_2025'!$E$3:$E$542,"Activo")+SUMIFS('90_Origen_Caja_2025'!$F$3:$F$542,'90_Origen_Caja_2025'!$A$3:$A$542,"USA",'90_Origen_Caja_2025'!$C$3:$C$542,11,'90_Origen_Caja_2025'!$E$3:$E$542,"Egresos No Op.")+SUMIFS('90_Origen_Caja_2025'!$F$3:$F$542,'90_Origen_Caja_2025'!$A$3:$A$542,"USA",'90_Origen_Caja_2025'!$C$3:$C$542,11,'90_Origen_Caja_2025'!$E$3:$E$542,"Pagos Cta.Cte.")</f>
        <v>7408</v>
      </c>
      <c r="F52" s="10" t="n">
        <f aca="false">C52+D52-E52</f>
        <v>458902.21</v>
      </c>
      <c r="G52" s="10" t="n">
        <f aca="false">D52-E52</f>
        <v>-7408</v>
      </c>
    </row>
    <row r="53" customFormat="false" ht="15" hidden="false" customHeight="false" outlineLevel="0" collapsed="false">
      <c r="A53" s="8" t="s">
        <v>63</v>
      </c>
      <c r="B53" s="8" t="s">
        <v>60</v>
      </c>
      <c r="C53" s="9" t="n">
        <f aca="false">SUMIFS('90_Origen_Caja_2025'!$F$3:$F$542,'90_Origen_Caja_2025'!$A$3:$A$542,"USA",'90_Origen_Caja_2025'!$C$3:$C$542,12,'90_Origen_Caja_2025'!$E$3:$E$542,"Caja Inicial")</f>
        <v>458902.21</v>
      </c>
      <c r="D53" s="9" t="n">
        <f aca="false">SUMIFS('90_Origen_Caja_2025'!$F$3:$F$542,'90_Origen_Caja_2025'!$A$3:$A$542,"USA",'90_Origen_Caja_2025'!$C$3:$C$542,12,'90_Origen_Caja_2025'!$E$3:$E$542,"Ingresos Op.")+SUMIFS('90_Origen_Caja_2025'!$F$3:$F$542,'90_Origen_Caja_2025'!$A$3:$A$542,"USA",'90_Origen_Caja_2025'!$C$3:$C$542,12,'90_Origen_Caja_2025'!$E$3:$E$542,"Otros Ingresos")</f>
        <v>178785</v>
      </c>
      <c r="E53" s="9" t="n">
        <f aca="false">SUMIFS('90_Origen_Caja_2025'!$F$3:$F$542,'90_Origen_Caja_2025'!$A$3:$A$542,"USA",'90_Origen_Caja_2025'!$C$3:$C$542,12,'90_Origen_Caja_2025'!$E$3:$E$542,"Costos Op.")+SUMIFS('90_Origen_Caja_2025'!$F$3:$F$542,'90_Origen_Caja_2025'!$A$3:$A$542,"USA",'90_Origen_Caja_2025'!$C$3:$C$542,12,'90_Origen_Caja_2025'!$E$3:$E$542,"Costos Admin.")+SUMIFS('90_Origen_Caja_2025'!$F$3:$F$542,'90_Origen_Caja_2025'!$A$3:$A$542,"USA",'90_Origen_Caja_2025'!$C$3:$C$542,12,'90_Origen_Caja_2025'!$E$3:$E$542,"Activo")+SUMIFS('90_Origen_Caja_2025'!$F$3:$F$542,'90_Origen_Caja_2025'!$A$3:$A$542,"USA",'90_Origen_Caja_2025'!$C$3:$C$542,12,'90_Origen_Caja_2025'!$E$3:$E$542,"Egresos No Op.")+SUMIFS('90_Origen_Caja_2025'!$F$3:$F$542,'90_Origen_Caja_2025'!$A$3:$A$542,"USA",'90_Origen_Caja_2025'!$C$3:$C$542,12,'90_Origen_Caja_2025'!$E$3:$E$542,"Pagos Cta.Cte.")</f>
        <v>567924</v>
      </c>
      <c r="F53" s="10" t="n">
        <f aca="false">C53+D53-E53</f>
        <v>69763.21</v>
      </c>
      <c r="G53" s="10" t="n">
        <f aca="false">D53-E53</f>
        <v>-389139</v>
      </c>
    </row>
    <row r="54" customFormat="false" ht="15" hidden="false" customHeight="false" outlineLevel="0" collapsed="false">
      <c r="A54" s="8" t="s">
        <v>179</v>
      </c>
      <c r="B54" s="8" t="s">
        <v>49</v>
      </c>
      <c r="C54" s="9" t="n">
        <f aca="false">SUMIFS('90_Origen_Caja_2025'!$F$3:$F$542,'90_Origen_Caja_2025'!$A$3:$A$542,"BVI",'90_Origen_Caja_2025'!$C$3:$C$542,1,'90_Origen_Caja_2025'!$E$3:$E$542,"Caja Inicial")</f>
        <v>0</v>
      </c>
      <c r="D54" s="9" t="n">
        <f aca="false">SUMIFS('90_Origen_Caja_2025'!$F$3:$F$542,'90_Origen_Caja_2025'!$A$3:$A$542,"BVI",'90_Origen_Caja_2025'!$C$3:$C$542,1,'90_Origen_Caja_2025'!$E$3:$E$542,"Ingresos Op.")+SUMIFS('90_Origen_Caja_2025'!$F$3:$F$542,'90_Origen_Caja_2025'!$A$3:$A$542,"BVI",'90_Origen_Caja_2025'!$C$3:$C$542,1,'90_Origen_Caja_2025'!$E$3:$E$542,"Otros Ingresos")</f>
        <v>0</v>
      </c>
      <c r="E54" s="9" t="n">
        <f aca="false">SUMIFS('90_Origen_Caja_2025'!$F$3:$F$542,'90_Origen_Caja_2025'!$A$3:$A$542,"BVI",'90_Origen_Caja_2025'!$C$3:$C$542,1,'90_Origen_Caja_2025'!$E$3:$E$542,"Costos Op.")+SUMIFS('90_Origen_Caja_2025'!$F$3:$F$542,'90_Origen_Caja_2025'!$A$3:$A$542,"BVI",'90_Origen_Caja_2025'!$C$3:$C$542,1,'90_Origen_Caja_2025'!$E$3:$E$542,"Costos Admin.")+SUMIFS('90_Origen_Caja_2025'!$F$3:$F$542,'90_Origen_Caja_2025'!$A$3:$A$542,"BVI",'90_Origen_Caja_2025'!$C$3:$C$542,1,'90_Origen_Caja_2025'!$E$3:$E$542,"Activo")+SUMIFS('90_Origen_Caja_2025'!$F$3:$F$542,'90_Origen_Caja_2025'!$A$3:$A$542,"BVI",'90_Origen_Caja_2025'!$C$3:$C$542,1,'90_Origen_Caja_2025'!$E$3:$E$542,"Egresos No Op.")+SUMIFS('90_Origen_Caja_2025'!$F$3:$F$542,'90_Origen_Caja_2025'!$A$3:$A$542,"BVI",'90_Origen_Caja_2025'!$C$3:$C$542,1,'90_Origen_Caja_2025'!$E$3:$E$542,"Pagos Cta.Cte.")</f>
        <v>14044</v>
      </c>
      <c r="F54" s="10" t="n">
        <f aca="false">C54+D54-E54</f>
        <v>-14044</v>
      </c>
      <c r="G54" s="10" t="n">
        <f aca="false">D54-E54</f>
        <v>-14044</v>
      </c>
    </row>
    <row r="55" customFormat="false" ht="15" hidden="false" customHeight="false" outlineLevel="0" collapsed="false">
      <c r="A55" s="8" t="s">
        <v>179</v>
      </c>
      <c r="B55" s="8" t="s">
        <v>50</v>
      </c>
      <c r="C55" s="9" t="n">
        <f aca="false">SUMIFS('90_Origen_Caja_2025'!$F$3:$F$542,'90_Origen_Caja_2025'!$A$3:$A$542,"BVI",'90_Origen_Caja_2025'!$C$3:$C$542,2,'90_Origen_Caja_2025'!$E$3:$E$542,"Caja Inicial")</f>
        <v>-14044</v>
      </c>
      <c r="D55" s="9" t="n">
        <f aca="false">SUMIFS('90_Origen_Caja_2025'!$F$3:$F$542,'90_Origen_Caja_2025'!$A$3:$A$542,"BVI",'90_Origen_Caja_2025'!$C$3:$C$542,2,'90_Origen_Caja_2025'!$E$3:$E$542,"Ingresos Op.")+SUMIFS('90_Origen_Caja_2025'!$F$3:$F$542,'90_Origen_Caja_2025'!$A$3:$A$542,"BVI",'90_Origen_Caja_2025'!$C$3:$C$542,2,'90_Origen_Caja_2025'!$E$3:$E$542,"Otros Ingresos")</f>
        <v>21682</v>
      </c>
      <c r="E55" s="9" t="n">
        <f aca="false">SUMIFS('90_Origen_Caja_2025'!$F$3:$F$542,'90_Origen_Caja_2025'!$A$3:$A$542,"BVI",'90_Origen_Caja_2025'!$C$3:$C$542,2,'90_Origen_Caja_2025'!$E$3:$E$542,"Costos Op.")+SUMIFS('90_Origen_Caja_2025'!$F$3:$F$542,'90_Origen_Caja_2025'!$A$3:$A$542,"BVI",'90_Origen_Caja_2025'!$C$3:$C$542,2,'90_Origen_Caja_2025'!$E$3:$E$542,"Costos Admin.")+SUMIFS('90_Origen_Caja_2025'!$F$3:$F$542,'90_Origen_Caja_2025'!$A$3:$A$542,"BVI",'90_Origen_Caja_2025'!$C$3:$C$542,2,'90_Origen_Caja_2025'!$E$3:$E$542,"Activo")+SUMIFS('90_Origen_Caja_2025'!$F$3:$F$542,'90_Origen_Caja_2025'!$A$3:$A$542,"BVI",'90_Origen_Caja_2025'!$C$3:$C$542,2,'90_Origen_Caja_2025'!$E$3:$E$542,"Egresos No Op.")+SUMIFS('90_Origen_Caja_2025'!$F$3:$F$542,'90_Origen_Caja_2025'!$A$3:$A$542,"BVI",'90_Origen_Caja_2025'!$C$3:$C$542,2,'90_Origen_Caja_2025'!$E$3:$E$542,"Pagos Cta.Cte.")</f>
        <v>0</v>
      </c>
      <c r="F55" s="10" t="n">
        <f aca="false">C55+D55-E55</f>
        <v>7638</v>
      </c>
      <c r="G55" s="10" t="n">
        <f aca="false">D55-E55</f>
        <v>21682</v>
      </c>
    </row>
    <row r="56" customFormat="false" ht="15" hidden="false" customHeight="false" outlineLevel="0" collapsed="false">
      <c r="A56" s="8" t="s">
        <v>179</v>
      </c>
      <c r="B56" s="8" t="s">
        <v>51</v>
      </c>
      <c r="C56" s="9" t="n">
        <f aca="false">SUMIFS('90_Origen_Caja_2025'!$F$3:$F$542,'90_Origen_Caja_2025'!$A$3:$A$542,"BVI",'90_Origen_Caja_2025'!$C$3:$C$542,3,'90_Origen_Caja_2025'!$E$3:$E$542,"Caja Inicial")</f>
        <v>7638</v>
      </c>
      <c r="D56" s="9" t="n">
        <f aca="false">SUMIFS('90_Origen_Caja_2025'!$F$3:$F$542,'90_Origen_Caja_2025'!$A$3:$A$542,"BVI",'90_Origen_Caja_2025'!$C$3:$C$542,3,'90_Origen_Caja_2025'!$E$3:$E$542,"Ingresos Op.")+SUMIFS('90_Origen_Caja_2025'!$F$3:$F$542,'90_Origen_Caja_2025'!$A$3:$A$542,"BVI",'90_Origen_Caja_2025'!$C$3:$C$542,3,'90_Origen_Caja_2025'!$E$3:$E$542,"Otros Ingresos")</f>
        <v>45478</v>
      </c>
      <c r="E56" s="9" t="n">
        <f aca="false">SUMIFS('90_Origen_Caja_2025'!$F$3:$F$542,'90_Origen_Caja_2025'!$A$3:$A$542,"BVI",'90_Origen_Caja_2025'!$C$3:$C$542,3,'90_Origen_Caja_2025'!$E$3:$E$542,"Costos Op.")+SUMIFS('90_Origen_Caja_2025'!$F$3:$F$542,'90_Origen_Caja_2025'!$A$3:$A$542,"BVI",'90_Origen_Caja_2025'!$C$3:$C$542,3,'90_Origen_Caja_2025'!$E$3:$E$542,"Costos Admin.")+SUMIFS('90_Origen_Caja_2025'!$F$3:$F$542,'90_Origen_Caja_2025'!$A$3:$A$542,"BVI",'90_Origen_Caja_2025'!$C$3:$C$542,3,'90_Origen_Caja_2025'!$E$3:$E$542,"Activo")+SUMIFS('90_Origen_Caja_2025'!$F$3:$F$542,'90_Origen_Caja_2025'!$A$3:$A$542,"BVI",'90_Origen_Caja_2025'!$C$3:$C$542,3,'90_Origen_Caja_2025'!$E$3:$E$542,"Egresos No Op.")+SUMIFS('90_Origen_Caja_2025'!$F$3:$F$542,'90_Origen_Caja_2025'!$A$3:$A$542,"BVI",'90_Origen_Caja_2025'!$C$3:$C$542,3,'90_Origen_Caja_2025'!$E$3:$E$542,"Pagos Cta.Cte.")</f>
        <v>0</v>
      </c>
      <c r="F56" s="10" t="n">
        <f aca="false">C56+D56-E56</f>
        <v>53116</v>
      </c>
      <c r="G56" s="10" t="n">
        <f aca="false">D56-E56</f>
        <v>45478</v>
      </c>
    </row>
    <row r="57" customFormat="false" ht="15" hidden="false" customHeight="false" outlineLevel="0" collapsed="false">
      <c r="A57" s="8" t="s">
        <v>179</v>
      </c>
      <c r="B57" s="8" t="s">
        <v>52</v>
      </c>
      <c r="C57" s="9" t="n">
        <f aca="false">SUMIFS('90_Origen_Caja_2025'!$F$3:$F$542,'90_Origen_Caja_2025'!$A$3:$A$542,"BVI",'90_Origen_Caja_2025'!$C$3:$C$542,4,'90_Origen_Caja_2025'!$E$3:$E$542,"Caja Inicial")</f>
        <v>53116</v>
      </c>
      <c r="D57" s="9" t="n">
        <f aca="false">SUMIFS('90_Origen_Caja_2025'!$F$3:$F$542,'90_Origen_Caja_2025'!$A$3:$A$542,"BVI",'90_Origen_Caja_2025'!$C$3:$C$542,4,'90_Origen_Caja_2025'!$E$3:$E$542,"Ingresos Op.")+SUMIFS('90_Origen_Caja_2025'!$F$3:$F$542,'90_Origen_Caja_2025'!$A$3:$A$542,"BVI",'90_Origen_Caja_2025'!$C$3:$C$542,4,'90_Origen_Caja_2025'!$E$3:$E$542,"Otros Ingresos")</f>
        <v>0</v>
      </c>
      <c r="E57" s="9" t="n">
        <f aca="false">SUMIFS('90_Origen_Caja_2025'!$F$3:$F$542,'90_Origen_Caja_2025'!$A$3:$A$542,"BVI",'90_Origen_Caja_2025'!$C$3:$C$542,4,'90_Origen_Caja_2025'!$E$3:$E$542,"Costos Op.")+SUMIFS('90_Origen_Caja_2025'!$F$3:$F$542,'90_Origen_Caja_2025'!$A$3:$A$542,"BVI",'90_Origen_Caja_2025'!$C$3:$C$542,4,'90_Origen_Caja_2025'!$E$3:$E$542,"Costos Admin.")+SUMIFS('90_Origen_Caja_2025'!$F$3:$F$542,'90_Origen_Caja_2025'!$A$3:$A$542,"BVI",'90_Origen_Caja_2025'!$C$3:$C$542,4,'90_Origen_Caja_2025'!$E$3:$E$542,"Activo")+SUMIFS('90_Origen_Caja_2025'!$F$3:$F$542,'90_Origen_Caja_2025'!$A$3:$A$542,"BVI",'90_Origen_Caja_2025'!$C$3:$C$542,4,'90_Origen_Caja_2025'!$E$3:$E$542,"Egresos No Op.")+SUMIFS('90_Origen_Caja_2025'!$F$3:$F$542,'90_Origen_Caja_2025'!$A$3:$A$542,"BVI",'90_Origen_Caja_2025'!$C$3:$C$542,4,'90_Origen_Caja_2025'!$E$3:$E$542,"Pagos Cta.Cte.")</f>
        <v>14380</v>
      </c>
      <c r="F57" s="10" t="n">
        <f aca="false">C57+D57-E57</f>
        <v>38736</v>
      </c>
      <c r="G57" s="10" t="n">
        <f aca="false">D57-E57</f>
        <v>-14380</v>
      </c>
    </row>
    <row r="58" customFormat="false" ht="15" hidden="false" customHeight="false" outlineLevel="0" collapsed="false">
      <c r="A58" s="8" t="s">
        <v>179</v>
      </c>
      <c r="B58" s="8" t="s">
        <v>53</v>
      </c>
      <c r="C58" s="9" t="n">
        <f aca="false">SUMIFS('90_Origen_Caja_2025'!$F$3:$F$542,'90_Origen_Caja_2025'!$A$3:$A$542,"BVI",'90_Origen_Caja_2025'!$C$3:$C$542,5,'90_Origen_Caja_2025'!$E$3:$E$542,"Caja Inicial")</f>
        <v>38736</v>
      </c>
      <c r="D58" s="9" t="n">
        <f aca="false">SUMIFS('90_Origen_Caja_2025'!$F$3:$F$542,'90_Origen_Caja_2025'!$A$3:$A$542,"BVI",'90_Origen_Caja_2025'!$C$3:$C$542,5,'90_Origen_Caja_2025'!$E$3:$E$542,"Ingresos Op.")+SUMIFS('90_Origen_Caja_2025'!$F$3:$F$542,'90_Origen_Caja_2025'!$A$3:$A$542,"BVI",'90_Origen_Caja_2025'!$C$3:$C$542,5,'90_Origen_Caja_2025'!$E$3:$E$542,"Otros Ingresos")</f>
        <v>415568</v>
      </c>
      <c r="E58" s="9" t="n">
        <f aca="false">SUMIFS('90_Origen_Caja_2025'!$F$3:$F$542,'90_Origen_Caja_2025'!$A$3:$A$542,"BVI",'90_Origen_Caja_2025'!$C$3:$C$542,5,'90_Origen_Caja_2025'!$E$3:$E$542,"Costos Op.")+SUMIFS('90_Origen_Caja_2025'!$F$3:$F$542,'90_Origen_Caja_2025'!$A$3:$A$542,"BVI",'90_Origen_Caja_2025'!$C$3:$C$542,5,'90_Origen_Caja_2025'!$E$3:$E$542,"Costos Admin.")+SUMIFS('90_Origen_Caja_2025'!$F$3:$F$542,'90_Origen_Caja_2025'!$A$3:$A$542,"BVI",'90_Origen_Caja_2025'!$C$3:$C$542,5,'90_Origen_Caja_2025'!$E$3:$E$542,"Activo")+SUMIFS('90_Origen_Caja_2025'!$F$3:$F$542,'90_Origen_Caja_2025'!$A$3:$A$542,"BVI",'90_Origen_Caja_2025'!$C$3:$C$542,5,'90_Origen_Caja_2025'!$E$3:$E$542,"Egresos No Op.")+SUMIFS('90_Origen_Caja_2025'!$F$3:$F$542,'90_Origen_Caja_2025'!$A$3:$A$542,"BVI",'90_Origen_Caja_2025'!$C$3:$C$542,5,'90_Origen_Caja_2025'!$E$3:$E$542,"Pagos Cta.Cte.")</f>
        <v>16000</v>
      </c>
      <c r="F58" s="10" t="n">
        <f aca="false">C58+D58-E58</f>
        <v>438304</v>
      </c>
      <c r="G58" s="10" t="n">
        <f aca="false">D58-E58</f>
        <v>399568</v>
      </c>
    </row>
    <row r="59" customFormat="false" ht="15" hidden="false" customHeight="false" outlineLevel="0" collapsed="false">
      <c r="A59" s="8" t="s">
        <v>179</v>
      </c>
      <c r="B59" s="8" t="s">
        <v>54</v>
      </c>
      <c r="C59" s="9" t="n">
        <f aca="false">SUMIFS('90_Origen_Caja_2025'!$F$3:$F$542,'90_Origen_Caja_2025'!$A$3:$A$542,"BVI",'90_Origen_Caja_2025'!$C$3:$C$542,6,'90_Origen_Caja_2025'!$E$3:$E$542,"Caja Inicial")</f>
        <v>438304</v>
      </c>
      <c r="D59" s="9" t="n">
        <f aca="false">SUMIFS('90_Origen_Caja_2025'!$F$3:$F$542,'90_Origen_Caja_2025'!$A$3:$A$542,"BVI",'90_Origen_Caja_2025'!$C$3:$C$542,6,'90_Origen_Caja_2025'!$E$3:$E$542,"Ingresos Op.")+SUMIFS('90_Origen_Caja_2025'!$F$3:$F$542,'90_Origen_Caja_2025'!$A$3:$A$542,"BVI",'90_Origen_Caja_2025'!$C$3:$C$542,6,'90_Origen_Caja_2025'!$E$3:$E$542,"Otros Ingresos")</f>
        <v>172045</v>
      </c>
      <c r="E59" s="9" t="n">
        <f aca="false">SUMIFS('90_Origen_Caja_2025'!$F$3:$F$542,'90_Origen_Caja_2025'!$A$3:$A$542,"BVI",'90_Origen_Caja_2025'!$C$3:$C$542,6,'90_Origen_Caja_2025'!$E$3:$E$542,"Costos Op.")+SUMIFS('90_Origen_Caja_2025'!$F$3:$F$542,'90_Origen_Caja_2025'!$A$3:$A$542,"BVI",'90_Origen_Caja_2025'!$C$3:$C$542,6,'90_Origen_Caja_2025'!$E$3:$E$542,"Costos Admin.")+SUMIFS('90_Origen_Caja_2025'!$F$3:$F$542,'90_Origen_Caja_2025'!$A$3:$A$542,"BVI",'90_Origen_Caja_2025'!$C$3:$C$542,6,'90_Origen_Caja_2025'!$E$3:$E$542,"Activo")+SUMIFS('90_Origen_Caja_2025'!$F$3:$F$542,'90_Origen_Caja_2025'!$A$3:$A$542,"BVI",'90_Origen_Caja_2025'!$C$3:$C$542,6,'90_Origen_Caja_2025'!$E$3:$E$542,"Egresos No Op.")+SUMIFS('90_Origen_Caja_2025'!$F$3:$F$542,'90_Origen_Caja_2025'!$A$3:$A$542,"BVI",'90_Origen_Caja_2025'!$C$3:$C$542,6,'90_Origen_Caja_2025'!$E$3:$E$542,"Pagos Cta.Cte.")</f>
        <v>15094</v>
      </c>
      <c r="F59" s="10" t="n">
        <f aca="false">C59+D59-E59</f>
        <v>595255</v>
      </c>
      <c r="G59" s="10" t="n">
        <f aca="false">D59-E59</f>
        <v>156951</v>
      </c>
    </row>
    <row r="60" customFormat="false" ht="15" hidden="false" customHeight="false" outlineLevel="0" collapsed="false">
      <c r="A60" s="8" t="s">
        <v>179</v>
      </c>
      <c r="B60" s="8" t="s">
        <v>55</v>
      </c>
      <c r="C60" s="9" t="n">
        <f aca="false">SUMIFS('90_Origen_Caja_2025'!$F$3:$F$542,'90_Origen_Caja_2025'!$A$3:$A$542,"BVI",'90_Origen_Caja_2025'!$C$3:$C$542,7,'90_Origen_Caja_2025'!$E$3:$E$542,"Caja Inicial")</f>
        <v>595255</v>
      </c>
      <c r="D60" s="9" t="n">
        <f aca="false">SUMIFS('90_Origen_Caja_2025'!$F$3:$F$542,'90_Origen_Caja_2025'!$A$3:$A$542,"BVI",'90_Origen_Caja_2025'!$C$3:$C$542,7,'90_Origen_Caja_2025'!$E$3:$E$542,"Ingresos Op.")+SUMIFS('90_Origen_Caja_2025'!$F$3:$F$542,'90_Origen_Caja_2025'!$A$3:$A$542,"BVI",'90_Origen_Caja_2025'!$C$3:$C$542,7,'90_Origen_Caja_2025'!$E$3:$E$542,"Otros Ingresos")</f>
        <v>0</v>
      </c>
      <c r="E60" s="9" t="n">
        <f aca="false">SUMIFS('90_Origen_Caja_2025'!$F$3:$F$542,'90_Origen_Caja_2025'!$A$3:$A$542,"BVI",'90_Origen_Caja_2025'!$C$3:$C$542,7,'90_Origen_Caja_2025'!$E$3:$E$542,"Costos Op.")+SUMIFS('90_Origen_Caja_2025'!$F$3:$F$542,'90_Origen_Caja_2025'!$A$3:$A$542,"BVI",'90_Origen_Caja_2025'!$C$3:$C$542,7,'90_Origen_Caja_2025'!$E$3:$E$542,"Costos Admin.")+SUMIFS('90_Origen_Caja_2025'!$F$3:$F$542,'90_Origen_Caja_2025'!$A$3:$A$542,"BVI",'90_Origen_Caja_2025'!$C$3:$C$542,7,'90_Origen_Caja_2025'!$E$3:$E$542,"Activo")+SUMIFS('90_Origen_Caja_2025'!$F$3:$F$542,'90_Origen_Caja_2025'!$A$3:$A$542,"BVI",'90_Origen_Caja_2025'!$C$3:$C$542,7,'90_Origen_Caja_2025'!$E$3:$E$542,"Egresos No Op.")+SUMIFS('90_Origen_Caja_2025'!$F$3:$F$542,'90_Origen_Caja_2025'!$A$3:$A$542,"BVI",'90_Origen_Caja_2025'!$C$3:$C$542,7,'90_Origen_Caja_2025'!$E$3:$E$542,"Pagos Cta.Cte.")</f>
        <v>5684.8</v>
      </c>
      <c r="F60" s="10" t="n">
        <f aca="false">C60+D60-E60</f>
        <v>589570.2</v>
      </c>
      <c r="G60" s="10" t="n">
        <f aca="false">D60-E60</f>
        <v>-5684.8</v>
      </c>
    </row>
    <row r="61" customFormat="false" ht="15" hidden="false" customHeight="false" outlineLevel="0" collapsed="false">
      <c r="A61" s="8" t="s">
        <v>179</v>
      </c>
      <c r="B61" s="8" t="s">
        <v>56</v>
      </c>
      <c r="C61" s="9" t="n">
        <f aca="false">SUMIFS('90_Origen_Caja_2025'!$F$3:$F$542,'90_Origen_Caja_2025'!$A$3:$A$542,"BVI",'90_Origen_Caja_2025'!$C$3:$C$542,8,'90_Origen_Caja_2025'!$E$3:$E$542,"Caja Inicial")</f>
        <v>589570.2</v>
      </c>
      <c r="D61" s="9" t="n">
        <f aca="false">SUMIFS('90_Origen_Caja_2025'!$F$3:$F$542,'90_Origen_Caja_2025'!$A$3:$A$542,"BVI",'90_Origen_Caja_2025'!$C$3:$C$542,8,'90_Origen_Caja_2025'!$E$3:$E$542,"Ingresos Op.")+SUMIFS('90_Origen_Caja_2025'!$F$3:$F$542,'90_Origen_Caja_2025'!$A$3:$A$542,"BVI",'90_Origen_Caja_2025'!$C$3:$C$542,8,'90_Origen_Caja_2025'!$E$3:$E$542,"Otros Ingresos")</f>
        <v>99524</v>
      </c>
      <c r="E61" s="9" t="n">
        <f aca="false">SUMIFS('90_Origen_Caja_2025'!$F$3:$F$542,'90_Origen_Caja_2025'!$A$3:$A$542,"BVI",'90_Origen_Caja_2025'!$C$3:$C$542,8,'90_Origen_Caja_2025'!$E$3:$E$542,"Costos Op.")+SUMIFS('90_Origen_Caja_2025'!$F$3:$F$542,'90_Origen_Caja_2025'!$A$3:$A$542,"BVI",'90_Origen_Caja_2025'!$C$3:$C$542,8,'90_Origen_Caja_2025'!$E$3:$E$542,"Costos Admin.")+SUMIFS('90_Origen_Caja_2025'!$F$3:$F$542,'90_Origen_Caja_2025'!$A$3:$A$542,"BVI",'90_Origen_Caja_2025'!$C$3:$C$542,8,'90_Origen_Caja_2025'!$E$3:$E$542,"Activo")+SUMIFS('90_Origen_Caja_2025'!$F$3:$F$542,'90_Origen_Caja_2025'!$A$3:$A$542,"BVI",'90_Origen_Caja_2025'!$C$3:$C$542,8,'90_Origen_Caja_2025'!$E$3:$E$542,"Egresos No Op.")+SUMIFS('90_Origen_Caja_2025'!$F$3:$F$542,'90_Origen_Caja_2025'!$A$3:$A$542,"BVI",'90_Origen_Caja_2025'!$C$3:$C$542,8,'90_Origen_Caja_2025'!$E$3:$E$542,"Pagos Cta.Cte.")</f>
        <v>5684.8</v>
      </c>
      <c r="F61" s="10" t="n">
        <f aca="false">C61+D61-E61</f>
        <v>683409.4</v>
      </c>
      <c r="G61" s="10" t="n">
        <f aca="false">D61-E61</f>
        <v>93839.2</v>
      </c>
    </row>
    <row r="62" customFormat="false" ht="15" hidden="false" customHeight="false" outlineLevel="0" collapsed="false">
      <c r="A62" s="8" t="s">
        <v>179</v>
      </c>
      <c r="B62" s="8" t="s">
        <v>57</v>
      </c>
      <c r="C62" s="9" t="n">
        <f aca="false">SUMIFS('90_Origen_Caja_2025'!$F$3:$F$542,'90_Origen_Caja_2025'!$A$3:$A$542,"BVI",'90_Origen_Caja_2025'!$C$3:$C$542,9,'90_Origen_Caja_2025'!$E$3:$E$542,"Caja Inicial")</f>
        <v>683409.4</v>
      </c>
      <c r="D62" s="9" t="n">
        <f aca="false">SUMIFS('90_Origen_Caja_2025'!$F$3:$F$542,'90_Origen_Caja_2025'!$A$3:$A$542,"BVI",'90_Origen_Caja_2025'!$C$3:$C$542,9,'90_Origen_Caja_2025'!$E$3:$E$542,"Ingresos Op.")+SUMIFS('90_Origen_Caja_2025'!$F$3:$F$542,'90_Origen_Caja_2025'!$A$3:$A$542,"BVI",'90_Origen_Caja_2025'!$C$3:$C$542,9,'90_Origen_Caja_2025'!$E$3:$E$542,"Otros Ingresos")</f>
        <v>0</v>
      </c>
      <c r="E62" s="9" t="n">
        <f aca="false">SUMIFS('90_Origen_Caja_2025'!$F$3:$F$542,'90_Origen_Caja_2025'!$A$3:$A$542,"BVI",'90_Origen_Caja_2025'!$C$3:$C$542,9,'90_Origen_Caja_2025'!$E$3:$E$542,"Costos Op.")+SUMIFS('90_Origen_Caja_2025'!$F$3:$F$542,'90_Origen_Caja_2025'!$A$3:$A$542,"BVI",'90_Origen_Caja_2025'!$C$3:$C$542,9,'90_Origen_Caja_2025'!$E$3:$E$542,"Costos Admin.")+SUMIFS('90_Origen_Caja_2025'!$F$3:$F$542,'90_Origen_Caja_2025'!$A$3:$A$542,"BVI",'90_Origen_Caja_2025'!$C$3:$C$542,9,'90_Origen_Caja_2025'!$E$3:$E$542,"Activo")+SUMIFS('90_Origen_Caja_2025'!$F$3:$F$542,'90_Origen_Caja_2025'!$A$3:$A$542,"BVI",'90_Origen_Caja_2025'!$C$3:$C$542,9,'90_Origen_Caja_2025'!$E$3:$E$542,"Egresos No Op.")+SUMIFS('90_Origen_Caja_2025'!$F$3:$F$542,'90_Origen_Caja_2025'!$A$3:$A$542,"BVI",'90_Origen_Caja_2025'!$C$3:$C$542,9,'90_Origen_Caja_2025'!$E$3:$E$542,"Pagos Cta.Cte.")</f>
        <v>5684.8</v>
      </c>
      <c r="F62" s="10" t="n">
        <f aca="false">C62+D62-E62</f>
        <v>677724.6</v>
      </c>
      <c r="G62" s="10" t="n">
        <f aca="false">D62-E62</f>
        <v>-5684.8</v>
      </c>
    </row>
    <row r="63" customFormat="false" ht="15" hidden="false" customHeight="false" outlineLevel="0" collapsed="false">
      <c r="A63" s="8" t="s">
        <v>179</v>
      </c>
      <c r="B63" s="8" t="s">
        <v>58</v>
      </c>
      <c r="C63" s="9" t="n">
        <f aca="false">SUMIFS('90_Origen_Caja_2025'!$F$3:$F$542,'90_Origen_Caja_2025'!$A$3:$A$542,"BVI",'90_Origen_Caja_2025'!$C$3:$C$542,10,'90_Origen_Caja_2025'!$E$3:$E$542,"Caja Inicial")</f>
        <v>677724.6</v>
      </c>
      <c r="D63" s="9" t="n">
        <f aca="false">SUMIFS('90_Origen_Caja_2025'!$F$3:$F$542,'90_Origen_Caja_2025'!$A$3:$A$542,"BVI",'90_Origen_Caja_2025'!$C$3:$C$542,10,'90_Origen_Caja_2025'!$E$3:$E$542,"Ingresos Op.")+SUMIFS('90_Origen_Caja_2025'!$F$3:$F$542,'90_Origen_Caja_2025'!$A$3:$A$542,"BVI",'90_Origen_Caja_2025'!$C$3:$C$542,10,'90_Origen_Caja_2025'!$E$3:$E$542,"Otros Ingresos")</f>
        <v>110754</v>
      </c>
      <c r="E63" s="9" t="n">
        <f aca="false">SUMIFS('90_Origen_Caja_2025'!$F$3:$F$542,'90_Origen_Caja_2025'!$A$3:$A$542,"BVI",'90_Origen_Caja_2025'!$C$3:$C$542,10,'90_Origen_Caja_2025'!$E$3:$E$542,"Costos Op.")+SUMIFS('90_Origen_Caja_2025'!$F$3:$F$542,'90_Origen_Caja_2025'!$A$3:$A$542,"BVI",'90_Origen_Caja_2025'!$C$3:$C$542,10,'90_Origen_Caja_2025'!$E$3:$E$542,"Costos Admin.")+SUMIFS('90_Origen_Caja_2025'!$F$3:$F$542,'90_Origen_Caja_2025'!$A$3:$A$542,"BVI",'90_Origen_Caja_2025'!$C$3:$C$542,10,'90_Origen_Caja_2025'!$E$3:$E$542,"Activo")+SUMIFS('90_Origen_Caja_2025'!$F$3:$F$542,'90_Origen_Caja_2025'!$A$3:$A$542,"BVI",'90_Origen_Caja_2025'!$C$3:$C$542,10,'90_Origen_Caja_2025'!$E$3:$E$542,"Egresos No Op.")+SUMIFS('90_Origen_Caja_2025'!$F$3:$F$542,'90_Origen_Caja_2025'!$A$3:$A$542,"BVI",'90_Origen_Caja_2025'!$C$3:$C$542,10,'90_Origen_Caja_2025'!$E$3:$E$542,"Pagos Cta.Cte.")</f>
        <v>5684.8</v>
      </c>
      <c r="F63" s="10" t="n">
        <f aca="false">C63+D63-E63</f>
        <v>782793.8</v>
      </c>
      <c r="G63" s="10" t="n">
        <f aca="false">D63-E63</f>
        <v>105069.2</v>
      </c>
    </row>
    <row r="64" customFormat="false" ht="15" hidden="false" customHeight="false" outlineLevel="0" collapsed="false">
      <c r="A64" s="8" t="s">
        <v>179</v>
      </c>
      <c r="B64" s="8" t="s">
        <v>59</v>
      </c>
      <c r="C64" s="9" t="n">
        <f aca="false">SUMIFS('90_Origen_Caja_2025'!$F$3:$F$542,'90_Origen_Caja_2025'!$A$3:$A$542,"BVI",'90_Origen_Caja_2025'!$C$3:$C$542,11,'90_Origen_Caja_2025'!$E$3:$E$542,"Caja Inicial")</f>
        <v>782793.8</v>
      </c>
      <c r="D64" s="9" t="n">
        <f aca="false">SUMIFS('90_Origen_Caja_2025'!$F$3:$F$542,'90_Origen_Caja_2025'!$A$3:$A$542,"BVI",'90_Origen_Caja_2025'!$C$3:$C$542,11,'90_Origen_Caja_2025'!$E$3:$E$542,"Ingresos Op.")+SUMIFS('90_Origen_Caja_2025'!$F$3:$F$542,'90_Origen_Caja_2025'!$A$3:$A$542,"BVI",'90_Origen_Caja_2025'!$C$3:$C$542,11,'90_Origen_Caja_2025'!$E$3:$E$542,"Otros Ingresos")</f>
        <v>278213</v>
      </c>
      <c r="E64" s="9" t="n">
        <f aca="false">SUMIFS('90_Origen_Caja_2025'!$F$3:$F$542,'90_Origen_Caja_2025'!$A$3:$A$542,"BVI",'90_Origen_Caja_2025'!$C$3:$C$542,11,'90_Origen_Caja_2025'!$E$3:$E$542,"Costos Op.")+SUMIFS('90_Origen_Caja_2025'!$F$3:$F$542,'90_Origen_Caja_2025'!$A$3:$A$542,"BVI",'90_Origen_Caja_2025'!$C$3:$C$542,11,'90_Origen_Caja_2025'!$E$3:$E$542,"Costos Admin.")+SUMIFS('90_Origen_Caja_2025'!$F$3:$F$542,'90_Origen_Caja_2025'!$A$3:$A$542,"BVI",'90_Origen_Caja_2025'!$C$3:$C$542,11,'90_Origen_Caja_2025'!$E$3:$E$542,"Activo")+SUMIFS('90_Origen_Caja_2025'!$F$3:$F$542,'90_Origen_Caja_2025'!$A$3:$A$542,"BVI",'90_Origen_Caja_2025'!$C$3:$C$542,11,'90_Origen_Caja_2025'!$E$3:$E$542,"Egresos No Op.")+SUMIFS('90_Origen_Caja_2025'!$F$3:$F$542,'90_Origen_Caja_2025'!$A$3:$A$542,"BVI",'90_Origen_Caja_2025'!$C$3:$C$542,11,'90_Origen_Caja_2025'!$E$3:$E$542,"Pagos Cta.Cte.")</f>
        <v>5684.8</v>
      </c>
      <c r="F64" s="10" t="n">
        <f aca="false">C64+D64-E64</f>
        <v>1055322</v>
      </c>
      <c r="G64" s="10" t="n">
        <f aca="false">D64-E64</f>
        <v>272528.2</v>
      </c>
    </row>
    <row r="65" customFormat="false" ht="15" hidden="false" customHeight="false" outlineLevel="0" collapsed="false">
      <c r="A65" s="8" t="s">
        <v>179</v>
      </c>
      <c r="B65" s="8" t="s">
        <v>60</v>
      </c>
      <c r="C65" s="9" t="n">
        <f aca="false">SUMIFS('90_Origen_Caja_2025'!$F$3:$F$542,'90_Origen_Caja_2025'!$A$3:$A$542,"BVI",'90_Origen_Caja_2025'!$C$3:$C$542,12,'90_Origen_Caja_2025'!$E$3:$E$542,"Caja Inicial")</f>
        <v>1055322</v>
      </c>
      <c r="D65" s="9" t="n">
        <f aca="false">SUMIFS('90_Origen_Caja_2025'!$F$3:$F$542,'90_Origen_Caja_2025'!$A$3:$A$542,"BVI",'90_Origen_Caja_2025'!$C$3:$C$542,12,'90_Origen_Caja_2025'!$E$3:$E$542,"Ingresos Op.")+SUMIFS('90_Origen_Caja_2025'!$F$3:$F$542,'90_Origen_Caja_2025'!$A$3:$A$542,"BVI",'90_Origen_Caja_2025'!$C$3:$C$542,12,'90_Origen_Caja_2025'!$E$3:$E$542,"Otros Ingresos")</f>
        <v>349514</v>
      </c>
      <c r="E65" s="9" t="n">
        <f aca="false">SUMIFS('90_Origen_Caja_2025'!$F$3:$F$542,'90_Origen_Caja_2025'!$A$3:$A$542,"BVI",'90_Origen_Caja_2025'!$C$3:$C$542,12,'90_Origen_Caja_2025'!$E$3:$E$542,"Costos Op.")+SUMIFS('90_Origen_Caja_2025'!$F$3:$F$542,'90_Origen_Caja_2025'!$A$3:$A$542,"BVI",'90_Origen_Caja_2025'!$C$3:$C$542,12,'90_Origen_Caja_2025'!$E$3:$E$542,"Costos Admin.")+SUMIFS('90_Origen_Caja_2025'!$F$3:$F$542,'90_Origen_Caja_2025'!$A$3:$A$542,"BVI",'90_Origen_Caja_2025'!$C$3:$C$542,12,'90_Origen_Caja_2025'!$E$3:$E$542,"Activo")+SUMIFS('90_Origen_Caja_2025'!$F$3:$F$542,'90_Origen_Caja_2025'!$A$3:$A$542,"BVI",'90_Origen_Caja_2025'!$C$3:$C$542,12,'90_Origen_Caja_2025'!$E$3:$E$542,"Egresos No Op.")+SUMIFS('90_Origen_Caja_2025'!$F$3:$F$542,'90_Origen_Caja_2025'!$A$3:$A$542,"BVI",'90_Origen_Caja_2025'!$C$3:$C$542,12,'90_Origen_Caja_2025'!$E$3:$E$542,"Pagos Cta.Cte.")</f>
        <v>5684.8</v>
      </c>
      <c r="F65" s="10" t="n">
        <f aca="false">C65+D65-E65</f>
        <v>1399151.2</v>
      </c>
      <c r="G65" s="10" t="n">
        <f aca="false">D65-E65</f>
        <v>343829.2</v>
      </c>
    </row>
    <row r="66" customFormat="false" ht="64.9" hidden="false" customHeight="false" outlineLevel="0" collapsed="false">
      <c r="A66" s="3" t="s">
        <v>219</v>
      </c>
    </row>
    <row r="67" customFormat="false" ht="23.85" hidden="false" customHeight="false" outlineLevel="0" collapsed="false">
      <c r="A67" s="7" t="s">
        <v>220</v>
      </c>
      <c r="B67" s="7" t="s">
        <v>43</v>
      </c>
      <c r="C67" s="7" t="s">
        <v>214</v>
      </c>
      <c r="D67" s="7" t="s">
        <v>221</v>
      </c>
      <c r="E67" s="7" t="s">
        <v>222</v>
      </c>
      <c r="F67" s="7" t="s">
        <v>217</v>
      </c>
      <c r="G67" s="7" t="s">
        <v>218</v>
      </c>
    </row>
    <row r="68" customFormat="false" ht="15" hidden="false" customHeight="false" outlineLevel="0" collapsed="false">
      <c r="A68" s="8" t="s">
        <v>87</v>
      </c>
      <c r="B68" s="8" t="s">
        <v>49</v>
      </c>
      <c r="C68" s="9" t="n">
        <f aca="false">SUMIFS('90_Origen_Caja_2025'!$F$3:$F$542,'90_Origen_Caja_2025'!$C$3:$C$542,1,'90_Origen_Caja_2025'!$E$3:$E$542,"Caja Inicial")</f>
        <v>253992.16</v>
      </c>
      <c r="D68" s="9" t="n">
        <f aca="false">SUMIFS('90_Origen_Caja_2025'!$F$3:$F$542,'90_Origen_Caja_2025'!$C$3:$C$542,1,'90_Origen_Caja_2025'!$E$3:$E$542,"Ingresos Op.")+SUMIFS('90_Origen_Caja_2025'!$F$3:$F$542,'90_Origen_Caja_2025'!$C$3:$C$542,1,'90_Origen_Caja_2025'!$E$3:$E$542,"Otros Ingresos")</f>
        <v>996737.54</v>
      </c>
      <c r="E68" s="9" t="n">
        <f aca="false">SUMIFS('90_Origen_Caja_2025'!$F$3:$F$542,'90_Origen_Caja_2025'!$C$3:$C$542,1,'90_Origen_Caja_2025'!$E$3:$E$542,"Costos Op.")+SUMIFS('90_Origen_Caja_2025'!$F$3:$F$542,'90_Origen_Caja_2025'!$C$3:$C$542,1,'90_Origen_Caja_2025'!$E$3:$E$542,"Costos Admin.")+SUMIFS('90_Origen_Caja_2025'!$F$3:$F$542,'90_Origen_Caja_2025'!$C$3:$C$542,1,'90_Origen_Caja_2025'!$E$3:$E$542,"Activo")+SUMIFS('90_Origen_Caja_2025'!$F$3:$F$542,'90_Origen_Caja_2025'!$C$3:$C$542,1,'90_Origen_Caja_2025'!$E$3:$E$542,"Egresos No Op.")+SUMIFS('90_Origen_Caja_2025'!$F$3:$F$542,'90_Origen_Caja_2025'!$C$3:$C$542,1,'90_Origen_Caja_2025'!$E$3:$E$542,"Pagos Cta.Cte.")</f>
        <v>686239.84</v>
      </c>
      <c r="F68" s="10" t="n">
        <f aca="false">C68+D68-E68</f>
        <v>564489.86</v>
      </c>
      <c r="G68" s="10" t="n">
        <f aca="false">D68-E68</f>
        <v>310497.7</v>
      </c>
    </row>
    <row r="69" customFormat="false" ht="15" hidden="false" customHeight="false" outlineLevel="0" collapsed="false">
      <c r="A69" s="8" t="s">
        <v>87</v>
      </c>
      <c r="B69" s="8" t="s">
        <v>50</v>
      </c>
      <c r="C69" s="9" t="n">
        <f aca="false">SUMIFS('90_Origen_Caja_2025'!$F$3:$F$542,'90_Origen_Caja_2025'!$C$3:$C$542,2,'90_Origen_Caja_2025'!$E$3:$E$542,"Caja Inicial")</f>
        <v>564489.87</v>
      </c>
      <c r="D69" s="9" t="n">
        <f aca="false">SUMIFS('90_Origen_Caja_2025'!$F$3:$F$542,'90_Origen_Caja_2025'!$C$3:$C$542,2,'90_Origen_Caja_2025'!$E$3:$E$542,"Ingresos Op.")+SUMIFS('90_Origen_Caja_2025'!$F$3:$F$542,'90_Origen_Caja_2025'!$C$3:$C$542,2,'90_Origen_Caja_2025'!$E$3:$E$542,"Otros Ingresos")</f>
        <v>1180193.24</v>
      </c>
      <c r="E69" s="9" t="n">
        <f aca="false">SUMIFS('90_Origen_Caja_2025'!$F$3:$F$542,'90_Origen_Caja_2025'!$C$3:$C$542,2,'90_Origen_Caja_2025'!$E$3:$E$542,"Costos Op.")+SUMIFS('90_Origen_Caja_2025'!$F$3:$F$542,'90_Origen_Caja_2025'!$C$3:$C$542,2,'90_Origen_Caja_2025'!$E$3:$E$542,"Costos Admin.")+SUMIFS('90_Origen_Caja_2025'!$F$3:$F$542,'90_Origen_Caja_2025'!$C$3:$C$542,2,'90_Origen_Caja_2025'!$E$3:$E$542,"Activo")+SUMIFS('90_Origen_Caja_2025'!$F$3:$F$542,'90_Origen_Caja_2025'!$C$3:$C$542,2,'90_Origen_Caja_2025'!$E$3:$E$542,"Egresos No Op.")+SUMIFS('90_Origen_Caja_2025'!$F$3:$F$542,'90_Origen_Caja_2025'!$C$3:$C$542,2,'90_Origen_Caja_2025'!$E$3:$E$542,"Pagos Cta.Cte.")</f>
        <v>769560.86</v>
      </c>
      <c r="F69" s="10" t="n">
        <f aca="false">C69+D69-E69</f>
        <v>975122.25</v>
      </c>
      <c r="G69" s="10" t="n">
        <f aca="false">D69-E69</f>
        <v>410632.38</v>
      </c>
    </row>
    <row r="70" customFormat="false" ht="15" hidden="false" customHeight="false" outlineLevel="0" collapsed="false">
      <c r="A70" s="8" t="s">
        <v>87</v>
      </c>
      <c r="B70" s="8" t="s">
        <v>51</v>
      </c>
      <c r="C70" s="9" t="n">
        <f aca="false">SUMIFS('90_Origen_Caja_2025'!$F$3:$F$542,'90_Origen_Caja_2025'!$C$3:$C$542,3,'90_Origen_Caja_2025'!$E$3:$E$542,"Caja Inicial")</f>
        <v>975122.25</v>
      </c>
      <c r="D70" s="9" t="n">
        <f aca="false">SUMIFS('90_Origen_Caja_2025'!$F$3:$F$542,'90_Origen_Caja_2025'!$C$3:$C$542,3,'90_Origen_Caja_2025'!$E$3:$E$542,"Ingresos Op.")+SUMIFS('90_Origen_Caja_2025'!$F$3:$F$542,'90_Origen_Caja_2025'!$C$3:$C$542,3,'90_Origen_Caja_2025'!$E$3:$E$542,"Otros Ingresos")</f>
        <v>950681.58</v>
      </c>
      <c r="E70" s="9" t="n">
        <f aca="false">SUMIFS('90_Origen_Caja_2025'!$F$3:$F$542,'90_Origen_Caja_2025'!$C$3:$C$542,3,'90_Origen_Caja_2025'!$E$3:$E$542,"Costos Op.")+SUMIFS('90_Origen_Caja_2025'!$F$3:$F$542,'90_Origen_Caja_2025'!$C$3:$C$542,3,'90_Origen_Caja_2025'!$E$3:$E$542,"Costos Admin.")+SUMIFS('90_Origen_Caja_2025'!$F$3:$F$542,'90_Origen_Caja_2025'!$C$3:$C$542,3,'90_Origen_Caja_2025'!$E$3:$E$542,"Activo")+SUMIFS('90_Origen_Caja_2025'!$F$3:$F$542,'90_Origen_Caja_2025'!$C$3:$C$542,3,'90_Origen_Caja_2025'!$E$3:$E$542,"Egresos No Op.")+SUMIFS('90_Origen_Caja_2025'!$F$3:$F$542,'90_Origen_Caja_2025'!$C$3:$C$542,3,'90_Origen_Caja_2025'!$E$3:$E$542,"Pagos Cta.Cte.")</f>
        <v>765208.99</v>
      </c>
      <c r="F70" s="10" t="n">
        <f aca="false">C70+D70-E70</f>
        <v>1160594.84</v>
      </c>
      <c r="G70" s="10" t="n">
        <f aca="false">D70-E70</f>
        <v>185472.59</v>
      </c>
    </row>
    <row r="71" customFormat="false" ht="15" hidden="false" customHeight="false" outlineLevel="0" collapsed="false">
      <c r="A71" s="8" t="s">
        <v>87</v>
      </c>
      <c r="B71" s="8" t="s">
        <v>52</v>
      </c>
      <c r="C71" s="9" t="n">
        <f aca="false">SUMIFS('90_Origen_Caja_2025'!$F$3:$F$542,'90_Origen_Caja_2025'!$C$3:$C$542,4,'90_Origen_Caja_2025'!$E$3:$E$542,"Caja Inicial")</f>
        <v>1160594.83</v>
      </c>
      <c r="D71" s="9" t="n">
        <f aca="false">SUMIFS('90_Origen_Caja_2025'!$F$3:$F$542,'90_Origen_Caja_2025'!$C$3:$C$542,4,'90_Origen_Caja_2025'!$E$3:$E$542,"Ingresos Op.")+SUMIFS('90_Origen_Caja_2025'!$F$3:$F$542,'90_Origen_Caja_2025'!$C$3:$C$542,4,'90_Origen_Caja_2025'!$E$3:$E$542,"Otros Ingresos")</f>
        <v>906130.99</v>
      </c>
      <c r="E71" s="9" t="n">
        <f aca="false">SUMIFS('90_Origen_Caja_2025'!$F$3:$F$542,'90_Origen_Caja_2025'!$C$3:$C$542,4,'90_Origen_Caja_2025'!$E$3:$E$542,"Costos Op.")+SUMIFS('90_Origen_Caja_2025'!$F$3:$F$542,'90_Origen_Caja_2025'!$C$3:$C$542,4,'90_Origen_Caja_2025'!$E$3:$E$542,"Costos Admin.")+SUMIFS('90_Origen_Caja_2025'!$F$3:$F$542,'90_Origen_Caja_2025'!$C$3:$C$542,4,'90_Origen_Caja_2025'!$E$3:$E$542,"Activo")+SUMIFS('90_Origen_Caja_2025'!$F$3:$F$542,'90_Origen_Caja_2025'!$C$3:$C$542,4,'90_Origen_Caja_2025'!$E$3:$E$542,"Egresos No Op.")+SUMIFS('90_Origen_Caja_2025'!$F$3:$F$542,'90_Origen_Caja_2025'!$C$3:$C$542,4,'90_Origen_Caja_2025'!$E$3:$E$542,"Pagos Cta.Cte.")</f>
        <v>856666.72</v>
      </c>
      <c r="F71" s="10" t="n">
        <f aca="false">C71+D71-E71</f>
        <v>1210059.1</v>
      </c>
      <c r="G71" s="10" t="n">
        <f aca="false">D71-E71</f>
        <v>49464.27</v>
      </c>
    </row>
    <row r="72" customFormat="false" ht="15" hidden="false" customHeight="false" outlineLevel="0" collapsed="false">
      <c r="A72" s="8" t="s">
        <v>87</v>
      </c>
      <c r="B72" s="8" t="s">
        <v>53</v>
      </c>
      <c r="C72" s="9" t="n">
        <f aca="false">SUMIFS('90_Origen_Caja_2025'!$F$3:$F$542,'90_Origen_Caja_2025'!$C$3:$C$542,5,'90_Origen_Caja_2025'!$E$3:$E$542,"Caja Inicial")</f>
        <v>1210059.1</v>
      </c>
      <c r="D72" s="9" t="n">
        <f aca="false">SUMIFS('90_Origen_Caja_2025'!$F$3:$F$542,'90_Origen_Caja_2025'!$C$3:$C$542,5,'90_Origen_Caja_2025'!$E$3:$E$542,"Ingresos Op.")+SUMIFS('90_Origen_Caja_2025'!$F$3:$F$542,'90_Origen_Caja_2025'!$C$3:$C$542,5,'90_Origen_Caja_2025'!$E$3:$E$542,"Otros Ingresos")</f>
        <v>1255789.57</v>
      </c>
      <c r="E72" s="9" t="n">
        <f aca="false">SUMIFS('90_Origen_Caja_2025'!$F$3:$F$542,'90_Origen_Caja_2025'!$C$3:$C$542,5,'90_Origen_Caja_2025'!$E$3:$E$542,"Costos Op.")+SUMIFS('90_Origen_Caja_2025'!$F$3:$F$542,'90_Origen_Caja_2025'!$C$3:$C$542,5,'90_Origen_Caja_2025'!$E$3:$E$542,"Costos Admin.")+SUMIFS('90_Origen_Caja_2025'!$F$3:$F$542,'90_Origen_Caja_2025'!$C$3:$C$542,5,'90_Origen_Caja_2025'!$E$3:$E$542,"Activo")+SUMIFS('90_Origen_Caja_2025'!$F$3:$F$542,'90_Origen_Caja_2025'!$C$3:$C$542,5,'90_Origen_Caja_2025'!$E$3:$E$542,"Egresos No Op.")+SUMIFS('90_Origen_Caja_2025'!$F$3:$F$542,'90_Origen_Caja_2025'!$C$3:$C$542,5,'90_Origen_Caja_2025'!$E$3:$E$542,"Pagos Cta.Cte.")</f>
        <v>1174270.13</v>
      </c>
      <c r="F72" s="10" t="n">
        <f aca="false">C72+D72-E72</f>
        <v>1291578.54</v>
      </c>
      <c r="G72" s="10" t="n">
        <f aca="false">D72-E72</f>
        <v>81519.4399999999</v>
      </c>
    </row>
    <row r="73" customFormat="false" ht="15" hidden="false" customHeight="false" outlineLevel="0" collapsed="false">
      <c r="A73" s="8" t="s">
        <v>87</v>
      </c>
      <c r="B73" s="8" t="s">
        <v>54</v>
      </c>
      <c r="C73" s="9" t="n">
        <f aca="false">SUMIFS('90_Origen_Caja_2025'!$F$3:$F$542,'90_Origen_Caja_2025'!$C$3:$C$542,6,'90_Origen_Caja_2025'!$E$3:$E$542,"Caja Inicial")</f>
        <v>1291578.54</v>
      </c>
      <c r="D73" s="9" t="n">
        <f aca="false">SUMIFS('90_Origen_Caja_2025'!$F$3:$F$542,'90_Origen_Caja_2025'!$C$3:$C$542,6,'90_Origen_Caja_2025'!$E$3:$E$542,"Ingresos Op.")+SUMIFS('90_Origen_Caja_2025'!$F$3:$F$542,'90_Origen_Caja_2025'!$C$3:$C$542,6,'90_Origen_Caja_2025'!$E$3:$E$542,"Otros Ingresos")</f>
        <v>987111.32</v>
      </c>
      <c r="E73" s="9" t="n">
        <f aca="false">SUMIFS('90_Origen_Caja_2025'!$F$3:$F$542,'90_Origen_Caja_2025'!$C$3:$C$542,6,'90_Origen_Caja_2025'!$E$3:$E$542,"Costos Op.")+SUMIFS('90_Origen_Caja_2025'!$F$3:$F$542,'90_Origen_Caja_2025'!$C$3:$C$542,6,'90_Origen_Caja_2025'!$E$3:$E$542,"Costos Admin.")+SUMIFS('90_Origen_Caja_2025'!$F$3:$F$542,'90_Origen_Caja_2025'!$C$3:$C$542,6,'90_Origen_Caja_2025'!$E$3:$E$542,"Activo")+SUMIFS('90_Origen_Caja_2025'!$F$3:$F$542,'90_Origen_Caja_2025'!$C$3:$C$542,6,'90_Origen_Caja_2025'!$E$3:$E$542,"Egresos No Op.")+SUMIFS('90_Origen_Caja_2025'!$F$3:$F$542,'90_Origen_Caja_2025'!$C$3:$C$542,6,'90_Origen_Caja_2025'!$E$3:$E$542,"Pagos Cta.Cte.")</f>
        <v>800685.99</v>
      </c>
      <c r="F73" s="10" t="n">
        <f aca="false">C73+D73-E73</f>
        <v>1478003.87</v>
      </c>
      <c r="G73" s="10" t="n">
        <f aca="false">D73-E73</f>
        <v>186425.33</v>
      </c>
    </row>
    <row r="74" customFormat="false" ht="15" hidden="false" customHeight="false" outlineLevel="0" collapsed="false">
      <c r="A74" s="8" t="s">
        <v>87</v>
      </c>
      <c r="B74" s="8" t="s">
        <v>55</v>
      </c>
      <c r="C74" s="9" t="n">
        <f aca="false">SUMIFS('90_Origen_Caja_2025'!$F$3:$F$542,'90_Origen_Caja_2025'!$C$3:$C$542,7,'90_Origen_Caja_2025'!$E$3:$E$542,"Caja Inicial")</f>
        <v>1478003.87</v>
      </c>
      <c r="D74" s="9" t="n">
        <f aca="false">SUMIFS('90_Origen_Caja_2025'!$F$3:$F$542,'90_Origen_Caja_2025'!$C$3:$C$542,7,'90_Origen_Caja_2025'!$E$3:$E$542,"Ingresos Op.")+SUMIFS('90_Origen_Caja_2025'!$F$3:$F$542,'90_Origen_Caja_2025'!$C$3:$C$542,7,'90_Origen_Caja_2025'!$E$3:$E$542,"Otros Ingresos")</f>
        <v>1028191.56</v>
      </c>
      <c r="E74" s="9" t="n">
        <f aca="false">SUMIFS('90_Origen_Caja_2025'!$F$3:$F$542,'90_Origen_Caja_2025'!$C$3:$C$542,7,'90_Origen_Caja_2025'!$E$3:$E$542,"Costos Op.")+SUMIFS('90_Origen_Caja_2025'!$F$3:$F$542,'90_Origen_Caja_2025'!$C$3:$C$542,7,'90_Origen_Caja_2025'!$E$3:$E$542,"Costos Admin.")+SUMIFS('90_Origen_Caja_2025'!$F$3:$F$542,'90_Origen_Caja_2025'!$C$3:$C$542,7,'90_Origen_Caja_2025'!$E$3:$E$542,"Activo")+SUMIFS('90_Origen_Caja_2025'!$F$3:$F$542,'90_Origen_Caja_2025'!$C$3:$C$542,7,'90_Origen_Caja_2025'!$E$3:$E$542,"Egresos No Op.")+SUMIFS('90_Origen_Caja_2025'!$F$3:$F$542,'90_Origen_Caja_2025'!$C$3:$C$542,7,'90_Origen_Caja_2025'!$E$3:$E$542,"Pagos Cta.Cte.")</f>
        <v>805079.99</v>
      </c>
      <c r="F74" s="10" t="n">
        <f aca="false">C74+D74-E74</f>
        <v>1701115.44</v>
      </c>
      <c r="G74" s="10" t="n">
        <f aca="false">D74-E74</f>
        <v>223111.57</v>
      </c>
    </row>
    <row r="75" customFormat="false" ht="15" hidden="false" customHeight="false" outlineLevel="0" collapsed="false">
      <c r="A75" s="8" t="s">
        <v>87</v>
      </c>
      <c r="B75" s="8" t="s">
        <v>56</v>
      </c>
      <c r="C75" s="9" t="n">
        <f aca="false">SUMIFS('90_Origen_Caja_2025'!$F$3:$F$542,'90_Origen_Caja_2025'!$C$3:$C$542,8,'90_Origen_Caja_2025'!$E$3:$E$542,"Caja Inicial")</f>
        <v>1701115.42</v>
      </c>
      <c r="D75" s="9" t="n">
        <f aca="false">SUMIFS('90_Origen_Caja_2025'!$F$3:$F$542,'90_Origen_Caja_2025'!$C$3:$C$542,8,'90_Origen_Caja_2025'!$E$3:$E$542,"Ingresos Op.")+SUMIFS('90_Origen_Caja_2025'!$F$3:$F$542,'90_Origen_Caja_2025'!$C$3:$C$542,8,'90_Origen_Caja_2025'!$E$3:$E$542,"Otros Ingresos")</f>
        <v>1691438.25</v>
      </c>
      <c r="E75" s="9" t="n">
        <f aca="false">SUMIFS('90_Origen_Caja_2025'!$F$3:$F$542,'90_Origen_Caja_2025'!$C$3:$C$542,8,'90_Origen_Caja_2025'!$E$3:$E$542,"Costos Op.")+SUMIFS('90_Origen_Caja_2025'!$F$3:$F$542,'90_Origen_Caja_2025'!$C$3:$C$542,8,'90_Origen_Caja_2025'!$E$3:$E$542,"Costos Admin.")+SUMIFS('90_Origen_Caja_2025'!$F$3:$F$542,'90_Origen_Caja_2025'!$C$3:$C$542,8,'90_Origen_Caja_2025'!$E$3:$E$542,"Activo")+SUMIFS('90_Origen_Caja_2025'!$F$3:$F$542,'90_Origen_Caja_2025'!$C$3:$C$542,8,'90_Origen_Caja_2025'!$E$3:$E$542,"Egresos No Op.")+SUMIFS('90_Origen_Caja_2025'!$F$3:$F$542,'90_Origen_Caja_2025'!$C$3:$C$542,8,'90_Origen_Caja_2025'!$E$3:$E$542,"Pagos Cta.Cte.")</f>
        <v>1406249.54</v>
      </c>
      <c r="F75" s="10" t="n">
        <f aca="false">C75+D75-E75</f>
        <v>1986304.13</v>
      </c>
      <c r="G75" s="10" t="n">
        <f aca="false">D75-E75</f>
        <v>285188.71</v>
      </c>
    </row>
    <row r="76" customFormat="false" ht="15" hidden="false" customHeight="false" outlineLevel="0" collapsed="false">
      <c r="A76" s="8" t="s">
        <v>87</v>
      </c>
      <c r="B76" s="8" t="s">
        <v>57</v>
      </c>
      <c r="C76" s="9" t="n">
        <f aca="false">SUMIFS('90_Origen_Caja_2025'!$F$3:$F$542,'90_Origen_Caja_2025'!$C$3:$C$542,9,'90_Origen_Caja_2025'!$E$3:$E$542,"Caja Inicial")</f>
        <v>1986304.13</v>
      </c>
      <c r="D76" s="9" t="n">
        <f aca="false">SUMIFS('90_Origen_Caja_2025'!$F$3:$F$542,'90_Origen_Caja_2025'!$C$3:$C$542,9,'90_Origen_Caja_2025'!$E$3:$E$542,"Ingresos Op.")+SUMIFS('90_Origen_Caja_2025'!$F$3:$F$542,'90_Origen_Caja_2025'!$C$3:$C$542,9,'90_Origen_Caja_2025'!$E$3:$E$542,"Otros Ingresos")</f>
        <v>725248.19</v>
      </c>
      <c r="E76" s="9" t="n">
        <f aca="false">SUMIFS('90_Origen_Caja_2025'!$F$3:$F$542,'90_Origen_Caja_2025'!$C$3:$C$542,9,'90_Origen_Caja_2025'!$E$3:$E$542,"Costos Op.")+SUMIFS('90_Origen_Caja_2025'!$F$3:$F$542,'90_Origen_Caja_2025'!$C$3:$C$542,9,'90_Origen_Caja_2025'!$E$3:$E$542,"Costos Admin.")+SUMIFS('90_Origen_Caja_2025'!$F$3:$F$542,'90_Origen_Caja_2025'!$C$3:$C$542,9,'90_Origen_Caja_2025'!$E$3:$E$542,"Activo")+SUMIFS('90_Origen_Caja_2025'!$F$3:$F$542,'90_Origen_Caja_2025'!$C$3:$C$542,9,'90_Origen_Caja_2025'!$E$3:$E$542,"Egresos No Op.")+SUMIFS('90_Origen_Caja_2025'!$F$3:$F$542,'90_Origen_Caja_2025'!$C$3:$C$542,9,'90_Origen_Caja_2025'!$E$3:$E$542,"Pagos Cta.Cte.")</f>
        <v>822879.89</v>
      </c>
      <c r="F76" s="10" t="n">
        <f aca="false">C76+D76-E76</f>
        <v>1888672.43</v>
      </c>
      <c r="G76" s="10" t="n">
        <f aca="false">D76-E76</f>
        <v>-97631.6999999998</v>
      </c>
    </row>
    <row r="77" customFormat="false" ht="15" hidden="false" customHeight="false" outlineLevel="0" collapsed="false">
      <c r="A77" s="8" t="s">
        <v>87</v>
      </c>
      <c r="B77" s="8" t="s">
        <v>58</v>
      </c>
      <c r="C77" s="9" t="n">
        <f aca="false">SUMIFS('90_Origen_Caja_2025'!$F$3:$F$542,'90_Origen_Caja_2025'!$C$3:$C$542,10,'90_Origen_Caja_2025'!$E$3:$E$542,"Caja Inicial")</f>
        <v>1896324.44</v>
      </c>
      <c r="D77" s="9" t="n">
        <f aca="false">SUMIFS('90_Origen_Caja_2025'!$F$3:$F$542,'90_Origen_Caja_2025'!$C$3:$C$542,10,'90_Origen_Caja_2025'!$E$3:$E$542,"Ingresos Op.")+SUMIFS('90_Origen_Caja_2025'!$F$3:$F$542,'90_Origen_Caja_2025'!$C$3:$C$542,10,'90_Origen_Caja_2025'!$E$3:$E$542,"Otros Ingresos")</f>
        <v>1239849.61</v>
      </c>
      <c r="E77" s="9" t="n">
        <f aca="false">SUMIFS('90_Origen_Caja_2025'!$F$3:$F$542,'90_Origen_Caja_2025'!$C$3:$C$542,10,'90_Origen_Caja_2025'!$E$3:$E$542,"Costos Op.")+SUMIFS('90_Origen_Caja_2025'!$F$3:$F$542,'90_Origen_Caja_2025'!$C$3:$C$542,10,'90_Origen_Caja_2025'!$E$3:$E$542,"Costos Admin.")+SUMIFS('90_Origen_Caja_2025'!$F$3:$F$542,'90_Origen_Caja_2025'!$C$3:$C$542,10,'90_Origen_Caja_2025'!$E$3:$E$542,"Activo")+SUMIFS('90_Origen_Caja_2025'!$F$3:$F$542,'90_Origen_Caja_2025'!$C$3:$C$542,10,'90_Origen_Caja_2025'!$E$3:$E$542,"Egresos No Op.")+SUMIFS('90_Origen_Caja_2025'!$F$3:$F$542,'90_Origen_Caja_2025'!$C$3:$C$542,10,'90_Origen_Caja_2025'!$E$3:$E$542,"Pagos Cta.Cte.")</f>
        <v>1176427.06</v>
      </c>
      <c r="F77" s="10" t="n">
        <f aca="false">C77+D77-E77</f>
        <v>1959746.99</v>
      </c>
      <c r="G77" s="10" t="n">
        <f aca="false">D77-E77</f>
        <v>63422.5499999998</v>
      </c>
    </row>
    <row r="78" customFormat="false" ht="15" hidden="false" customHeight="false" outlineLevel="0" collapsed="false">
      <c r="A78" s="8" t="s">
        <v>87</v>
      </c>
      <c r="B78" s="8" t="s">
        <v>59</v>
      </c>
      <c r="C78" s="9" t="n">
        <f aca="false">SUMIFS('90_Origen_Caja_2025'!$F$3:$F$542,'90_Origen_Caja_2025'!$C$3:$C$542,11,'90_Origen_Caja_2025'!$E$3:$E$542,"Caja Inicial")</f>
        <v>1961567.99</v>
      </c>
      <c r="D78" s="9" t="n">
        <f aca="false">SUMIFS('90_Origen_Caja_2025'!$F$3:$F$542,'90_Origen_Caja_2025'!$C$3:$C$542,11,'90_Origen_Caja_2025'!$E$3:$E$542,"Ingresos Op.")+SUMIFS('90_Origen_Caja_2025'!$F$3:$F$542,'90_Origen_Caja_2025'!$C$3:$C$542,11,'90_Origen_Caja_2025'!$E$3:$E$542,"Otros Ingresos")</f>
        <v>1154712.77</v>
      </c>
      <c r="E78" s="9" t="n">
        <f aca="false">SUMIFS('90_Origen_Caja_2025'!$F$3:$F$542,'90_Origen_Caja_2025'!$C$3:$C$542,11,'90_Origen_Caja_2025'!$E$3:$E$542,"Costos Op.")+SUMIFS('90_Origen_Caja_2025'!$F$3:$F$542,'90_Origen_Caja_2025'!$C$3:$C$542,11,'90_Origen_Caja_2025'!$E$3:$E$542,"Costos Admin.")+SUMIFS('90_Origen_Caja_2025'!$F$3:$F$542,'90_Origen_Caja_2025'!$C$3:$C$542,11,'90_Origen_Caja_2025'!$E$3:$E$542,"Activo")+SUMIFS('90_Origen_Caja_2025'!$F$3:$F$542,'90_Origen_Caja_2025'!$C$3:$C$542,11,'90_Origen_Caja_2025'!$E$3:$E$542,"Egresos No Op.")+SUMIFS('90_Origen_Caja_2025'!$F$3:$F$542,'90_Origen_Caja_2025'!$C$3:$C$542,11,'90_Origen_Caja_2025'!$E$3:$E$542,"Pagos Cta.Cte.")</f>
        <v>1192307.64</v>
      </c>
      <c r="F78" s="10" t="n">
        <f aca="false">C78+D78-E78</f>
        <v>1923973.12</v>
      </c>
      <c r="G78" s="10" t="n">
        <f aca="false">D78-E78</f>
        <v>-37594.8700000001</v>
      </c>
    </row>
    <row r="79" customFormat="false" ht="15" hidden="false" customHeight="false" outlineLevel="0" collapsed="false">
      <c r="A79" s="8" t="s">
        <v>87</v>
      </c>
      <c r="B79" s="8" t="s">
        <v>60</v>
      </c>
      <c r="C79" s="9" t="n">
        <f aca="false">SUMIFS('90_Origen_Caja_2025'!$F$3:$F$542,'90_Origen_Caja_2025'!$C$3:$C$542,12,'90_Origen_Caja_2025'!$E$3:$E$542,"Caja Inicial")</f>
        <v>1923973.12</v>
      </c>
      <c r="D79" s="9" t="n">
        <f aca="false">SUMIFS('90_Origen_Caja_2025'!$F$3:$F$542,'90_Origen_Caja_2025'!$C$3:$C$542,12,'90_Origen_Caja_2025'!$E$3:$E$542,"Ingresos Op.")+SUMIFS('90_Origen_Caja_2025'!$F$3:$F$542,'90_Origen_Caja_2025'!$C$3:$C$542,12,'90_Origen_Caja_2025'!$E$3:$E$542,"Otros Ingresos")</f>
        <v>1699798.94</v>
      </c>
      <c r="E79" s="9" t="n">
        <f aca="false">SUMIFS('90_Origen_Caja_2025'!$F$3:$F$542,'90_Origen_Caja_2025'!$C$3:$C$542,12,'90_Origen_Caja_2025'!$E$3:$E$542,"Costos Op.")+SUMIFS('90_Origen_Caja_2025'!$F$3:$F$542,'90_Origen_Caja_2025'!$C$3:$C$542,12,'90_Origen_Caja_2025'!$E$3:$E$542,"Costos Admin.")+SUMIFS('90_Origen_Caja_2025'!$F$3:$F$542,'90_Origen_Caja_2025'!$C$3:$C$542,12,'90_Origen_Caja_2025'!$E$3:$E$542,"Activo")+SUMIFS('90_Origen_Caja_2025'!$F$3:$F$542,'90_Origen_Caja_2025'!$C$3:$C$542,12,'90_Origen_Caja_2025'!$E$3:$E$542,"Egresos No Op.")+SUMIFS('90_Origen_Caja_2025'!$F$3:$F$542,'90_Origen_Caja_2025'!$C$3:$C$542,12,'90_Origen_Caja_2025'!$E$3:$E$542,"Pagos Cta.Cte.")</f>
        <v>1661667.55</v>
      </c>
      <c r="F79" s="10" t="n">
        <f aca="false">C79+D79-E79</f>
        <v>1962104.51</v>
      </c>
      <c r="G79" s="10" t="n">
        <f aca="false">D79-E79</f>
        <v>38131.3899999999</v>
      </c>
    </row>
    <row r="81" customFormat="false" ht="153.7" hidden="false" customHeight="false" outlineLevel="0" collapsed="false">
      <c r="A81" s="3" t="s">
        <v>223</v>
      </c>
    </row>
    <row r="82" customFormat="false" ht="15" hidden="false" customHeight="false" outlineLevel="0" collapsed="false">
      <c r="A82" s="7" t="s">
        <v>42</v>
      </c>
      <c r="B82" s="7" t="s">
        <v>191</v>
      </c>
      <c r="C82" s="7" t="s">
        <v>49</v>
      </c>
      <c r="D82" s="7" t="s">
        <v>50</v>
      </c>
      <c r="E82" s="7" t="s">
        <v>51</v>
      </c>
      <c r="F82" s="7" t="s">
        <v>52</v>
      </c>
      <c r="G82" s="7" t="s">
        <v>53</v>
      </c>
      <c r="H82" s="7" t="s">
        <v>54</v>
      </c>
      <c r="I82" s="7" t="s">
        <v>55</v>
      </c>
      <c r="J82" s="7" t="s">
        <v>56</v>
      </c>
      <c r="K82" s="7" t="s">
        <v>57</v>
      </c>
      <c r="L82" s="7" t="s">
        <v>58</v>
      </c>
      <c r="M82" s="7" t="s">
        <v>59</v>
      </c>
      <c r="N82" s="7" t="s">
        <v>60</v>
      </c>
      <c r="O82" s="7" t="s">
        <v>224</v>
      </c>
    </row>
    <row r="83" customFormat="false" ht="15" hidden="false" customHeight="false" outlineLevel="0" collapsed="false">
      <c r="A83" s="8" t="s">
        <v>48</v>
      </c>
      <c r="B83" s="8" t="s">
        <v>126</v>
      </c>
      <c r="C83" s="9" t="n">
        <f aca="false">SUMIFS('90_Origen_Cobros_Ledger'!$E$3:$E$96,'90_Origen_Cobros_Ledger'!$A$3:$A$96,$A83,'90_Origen_Cobros_Ledger'!$B$3:$B$96,2024,'90_Origen_Cobros_Ledger'!$C$3:$C$96,1)</f>
        <v>427785.65</v>
      </c>
      <c r="D83" s="9" t="n">
        <f aca="false">SUMIFS('90_Origen_Cobros_Ledger'!$E$3:$E$96,'90_Origen_Cobros_Ledger'!$A$3:$A$96,$A83,'90_Origen_Cobros_Ledger'!$B$3:$B$96,2024,'90_Origen_Cobros_Ledger'!$C$3:$C$96,2)</f>
        <v>203475.73</v>
      </c>
      <c r="E83" s="9" t="n">
        <f aca="false">SUMIFS('90_Origen_Cobros_Ledger'!$E$3:$E$96,'90_Origen_Cobros_Ledger'!$A$3:$A$96,$A83,'90_Origen_Cobros_Ledger'!$B$3:$B$96,2024,'90_Origen_Cobros_Ledger'!$C$3:$C$96,3)</f>
        <v>294697.49</v>
      </c>
      <c r="F83" s="9" t="n">
        <f aca="false">SUMIFS('90_Origen_Cobros_Ledger'!$E$3:$E$96,'90_Origen_Cobros_Ledger'!$A$3:$A$96,$A83,'90_Origen_Cobros_Ledger'!$B$3:$B$96,2024,'90_Origen_Cobros_Ledger'!$C$3:$C$96,4)</f>
        <v>239030.2</v>
      </c>
      <c r="G83" s="9" t="n">
        <f aca="false">SUMIFS('90_Origen_Cobros_Ledger'!$E$3:$E$96,'90_Origen_Cobros_Ledger'!$A$3:$A$96,$A83,'90_Origen_Cobros_Ledger'!$B$3:$B$96,2024,'90_Origen_Cobros_Ledger'!$C$3:$C$96,5)</f>
        <v>253748.15</v>
      </c>
      <c r="H83" s="9" t="n">
        <f aca="false">SUMIFS('90_Origen_Cobros_Ledger'!$E$3:$E$96,'90_Origen_Cobros_Ledger'!$A$3:$A$96,$A83,'90_Origen_Cobros_Ledger'!$B$3:$B$96,2024,'90_Origen_Cobros_Ledger'!$C$3:$C$96,6)</f>
        <v>93352.85</v>
      </c>
      <c r="I83" s="9" t="n">
        <f aca="false">SUMIFS('90_Origen_Cobros_Ledger'!$E$3:$E$96,'90_Origen_Cobros_Ledger'!$A$3:$A$96,$A83,'90_Origen_Cobros_Ledger'!$B$3:$B$96,2024,'90_Origen_Cobros_Ledger'!$C$3:$C$96,7)</f>
        <v>205183.7</v>
      </c>
      <c r="J83" s="9" t="n">
        <f aca="false">SUMIFS('90_Origen_Cobros_Ledger'!$E$3:$E$96,'90_Origen_Cobros_Ledger'!$A$3:$A$96,$A83,'90_Origen_Cobros_Ledger'!$B$3:$B$96,2024,'90_Origen_Cobros_Ledger'!$C$3:$C$96,8)</f>
        <v>189363.48</v>
      </c>
      <c r="K83" s="9" t="n">
        <f aca="false">SUMIFS('90_Origen_Cobros_Ledger'!$E$3:$E$96,'90_Origen_Cobros_Ledger'!$A$3:$A$96,$A83,'90_Origen_Cobros_Ledger'!$B$3:$B$96,2024,'90_Origen_Cobros_Ledger'!$C$3:$C$96,9)</f>
        <v>324783</v>
      </c>
      <c r="L83" s="9" t="n">
        <f aca="false">SUMIFS('90_Origen_Cobros_Ledger'!$E$3:$E$96,'90_Origen_Cobros_Ledger'!$A$3:$A$96,$A83,'90_Origen_Cobros_Ledger'!$B$3:$B$96,2024,'90_Origen_Cobros_Ledger'!$C$3:$C$96,10)</f>
        <v>505284.85</v>
      </c>
      <c r="M83" s="9" t="n">
        <f aca="false">SUMIFS('90_Origen_Cobros_Ledger'!$E$3:$E$96,'90_Origen_Cobros_Ledger'!$A$3:$A$96,$A83,'90_Origen_Cobros_Ledger'!$B$3:$B$96,2024,'90_Origen_Cobros_Ledger'!$C$3:$C$96,11)</f>
        <v>354325.85</v>
      </c>
      <c r="N83" s="9" t="n">
        <f aca="false">SUMIFS('90_Origen_Cobros_Ledger'!$E$3:$E$96,'90_Origen_Cobros_Ledger'!$A$3:$A$96,$A83,'90_Origen_Cobros_Ledger'!$B$3:$B$96,2024,'90_Origen_Cobros_Ledger'!$C$3:$C$96,12)</f>
        <v>214110.95</v>
      </c>
      <c r="O83" s="10" t="n">
        <f aca="false">SUM(C83:N83)</f>
        <v>3305141.9</v>
      </c>
    </row>
    <row r="84" customFormat="false" ht="15" hidden="false" customHeight="false" outlineLevel="0" collapsed="false">
      <c r="A84" s="8" t="s">
        <v>48</v>
      </c>
      <c r="B84" s="8" t="s">
        <v>127</v>
      </c>
      <c r="C84" s="9" t="n">
        <f aca="false">SUMIFS('90_Origen_Cobros_Ledger'!$E$3:$E$96,'90_Origen_Cobros_Ledger'!$A$3:$A$96,$A84,'90_Origen_Cobros_Ledger'!$B$3:$B$96,2025,'90_Origen_Cobros_Ledger'!$C$3:$C$96,1)</f>
        <v>365145.15</v>
      </c>
      <c r="D84" s="9" t="n">
        <f aca="false">SUMIFS('90_Origen_Cobros_Ledger'!$E$3:$E$96,'90_Origen_Cobros_Ledger'!$A$3:$A$96,$A84,'90_Origen_Cobros_Ledger'!$B$3:$B$96,2025,'90_Origen_Cobros_Ledger'!$C$3:$C$96,2)</f>
        <v>542704.47</v>
      </c>
      <c r="E84" s="9" t="n">
        <f aca="false">SUMIFS('90_Origen_Cobros_Ledger'!$E$3:$E$96,'90_Origen_Cobros_Ledger'!$A$3:$A$96,$A84,'90_Origen_Cobros_Ledger'!$B$3:$B$96,2025,'90_Origen_Cobros_Ledger'!$C$3:$C$96,3)</f>
        <v>391381.62</v>
      </c>
      <c r="F84" s="9" t="n">
        <f aca="false">SUMIFS('90_Origen_Cobros_Ledger'!$E$3:$E$96,'90_Origen_Cobros_Ledger'!$A$3:$A$96,$A84,'90_Origen_Cobros_Ledger'!$B$3:$B$96,2025,'90_Origen_Cobros_Ledger'!$C$3:$C$96,4)</f>
        <v>227307</v>
      </c>
      <c r="G84" s="9" t="n">
        <f aca="false">SUMIFS('90_Origen_Cobros_Ledger'!$E$3:$E$96,'90_Origen_Cobros_Ledger'!$A$3:$A$96,$A84,'90_Origen_Cobros_Ledger'!$B$3:$B$96,2025,'90_Origen_Cobros_Ledger'!$C$3:$C$96,5)</f>
        <v>264447.3</v>
      </c>
      <c r="H84" s="9" t="n">
        <f aca="false">SUMIFS('90_Origen_Cobros_Ledger'!$E$3:$E$96,'90_Origen_Cobros_Ledger'!$A$3:$A$96,$A84,'90_Origen_Cobros_Ledger'!$B$3:$B$96,2025,'90_Origen_Cobros_Ledger'!$C$3:$C$96,6)</f>
        <v>270459.3</v>
      </c>
      <c r="I84" s="9" t="n">
        <f aca="false">SUMIFS('90_Origen_Cobros_Ledger'!$E$3:$E$96,'90_Origen_Cobros_Ledger'!$A$3:$A$96,$A84,'90_Origen_Cobros_Ledger'!$B$3:$B$96,2025,'90_Origen_Cobros_Ledger'!$C$3:$C$96,7)</f>
        <v>474118.7</v>
      </c>
      <c r="J84" s="9" t="n">
        <f aca="false">SUMIFS('90_Origen_Cobros_Ledger'!$E$3:$E$96,'90_Origen_Cobros_Ledger'!$A$3:$A$96,$A84,'90_Origen_Cobros_Ledger'!$B$3:$B$96,2025,'90_Origen_Cobros_Ledger'!$C$3:$C$96,8)</f>
        <v>147062</v>
      </c>
      <c r="K84" s="9" t="n">
        <f aca="false">SUMIFS('90_Origen_Cobros_Ledger'!$E$3:$E$96,'90_Origen_Cobros_Ledger'!$A$3:$A$96,$A84,'90_Origen_Cobros_Ledger'!$B$3:$B$96,2025,'90_Origen_Cobros_Ledger'!$C$3:$C$96,9)</f>
        <v>288671.44</v>
      </c>
      <c r="L84" s="9" t="n">
        <f aca="false">SUMIFS('90_Origen_Cobros_Ledger'!$E$3:$E$96,'90_Origen_Cobros_Ledger'!$A$3:$A$96,$A84,'90_Origen_Cobros_Ledger'!$B$3:$B$96,2025,'90_Origen_Cobros_Ledger'!$C$3:$C$96,10)</f>
        <v>154280.7</v>
      </c>
      <c r="M84" s="9" t="n">
        <f aca="false">SUMIFS('90_Origen_Cobros_Ledger'!$E$3:$E$96,'90_Origen_Cobros_Ledger'!$A$3:$A$96,$A84,'90_Origen_Cobros_Ledger'!$B$3:$B$96,2025,'90_Origen_Cobros_Ledger'!$C$3:$C$96,11)</f>
        <v>249675.25</v>
      </c>
      <c r="N84" s="9" t="n">
        <f aca="false">SUMIFS('90_Origen_Cobros_Ledger'!$E$3:$E$96,'90_Origen_Cobros_Ledger'!$A$3:$A$96,$A84,'90_Origen_Cobros_Ledger'!$B$3:$B$96,2025,'90_Origen_Cobros_Ledger'!$C$3:$C$96,12)</f>
        <v>151253</v>
      </c>
      <c r="O84" s="10" t="n">
        <f aca="false">SUM(C84:N84)</f>
        <v>3526505.93</v>
      </c>
    </row>
    <row r="85" customFormat="false" ht="15" hidden="false" customHeight="false" outlineLevel="0" collapsed="false">
      <c r="A85" s="8" t="s">
        <v>61</v>
      </c>
      <c r="B85" s="8" t="s">
        <v>126</v>
      </c>
      <c r="C85" s="9" t="n">
        <f aca="false">SUMIFS('90_Origen_Cobros_Ledger'!$E$3:$E$96,'90_Origen_Cobros_Ledger'!$A$3:$A$96,$A85,'90_Origen_Cobros_Ledger'!$B$3:$B$96,2024,'90_Origen_Cobros_Ledger'!$C$3:$C$96,1)</f>
        <v>165529</v>
      </c>
      <c r="D85" s="9" t="n">
        <f aca="false">SUMIFS('90_Origen_Cobros_Ledger'!$E$3:$E$96,'90_Origen_Cobros_Ledger'!$A$3:$A$96,$A85,'90_Origen_Cobros_Ledger'!$B$3:$B$96,2024,'90_Origen_Cobros_Ledger'!$C$3:$C$96,2)</f>
        <v>97072</v>
      </c>
      <c r="E85" s="9" t="n">
        <f aca="false">SUMIFS('90_Origen_Cobros_Ledger'!$E$3:$E$96,'90_Origen_Cobros_Ledger'!$A$3:$A$96,$A85,'90_Origen_Cobros_Ledger'!$B$3:$B$96,2024,'90_Origen_Cobros_Ledger'!$C$3:$C$96,3)</f>
        <v>127385</v>
      </c>
      <c r="F85" s="9" t="n">
        <f aca="false">SUMIFS('90_Origen_Cobros_Ledger'!$E$3:$E$96,'90_Origen_Cobros_Ledger'!$A$3:$A$96,$A85,'90_Origen_Cobros_Ledger'!$B$3:$B$96,2024,'90_Origen_Cobros_Ledger'!$C$3:$C$96,4)</f>
        <v>76133</v>
      </c>
      <c r="G85" s="9" t="n">
        <f aca="false">SUMIFS('90_Origen_Cobros_Ledger'!$E$3:$E$96,'90_Origen_Cobros_Ledger'!$A$3:$A$96,$A85,'90_Origen_Cobros_Ledger'!$B$3:$B$96,2024,'90_Origen_Cobros_Ledger'!$C$3:$C$96,5)</f>
        <v>107995</v>
      </c>
      <c r="H85" s="9" t="n">
        <f aca="false">SUMIFS('90_Origen_Cobros_Ledger'!$E$3:$E$96,'90_Origen_Cobros_Ledger'!$A$3:$A$96,$A85,'90_Origen_Cobros_Ledger'!$B$3:$B$96,2024,'90_Origen_Cobros_Ledger'!$C$3:$C$96,6)</f>
        <v>260367.19</v>
      </c>
      <c r="I85" s="9" t="n">
        <f aca="false">SUMIFS('90_Origen_Cobros_Ledger'!$E$3:$E$96,'90_Origen_Cobros_Ledger'!$A$3:$A$96,$A85,'90_Origen_Cobros_Ledger'!$B$3:$B$96,2024,'90_Origen_Cobros_Ledger'!$C$3:$C$96,7)</f>
        <v>183964.41</v>
      </c>
      <c r="J85" s="9" t="n">
        <f aca="false">SUMIFS('90_Origen_Cobros_Ledger'!$E$3:$E$96,'90_Origen_Cobros_Ledger'!$A$3:$A$96,$A85,'90_Origen_Cobros_Ledger'!$B$3:$B$96,2024,'90_Origen_Cobros_Ledger'!$C$3:$C$96,8)</f>
        <v>177962.46</v>
      </c>
      <c r="K85" s="9" t="n">
        <f aca="false">SUMIFS('90_Origen_Cobros_Ledger'!$E$3:$E$96,'90_Origen_Cobros_Ledger'!$A$3:$A$96,$A85,'90_Origen_Cobros_Ledger'!$B$3:$B$96,2024,'90_Origen_Cobros_Ledger'!$C$3:$C$96,9)</f>
        <v>379457.84</v>
      </c>
      <c r="L85" s="9" t="n">
        <f aca="false">SUMIFS('90_Origen_Cobros_Ledger'!$E$3:$E$96,'90_Origen_Cobros_Ledger'!$A$3:$A$96,$A85,'90_Origen_Cobros_Ledger'!$B$3:$B$96,2024,'90_Origen_Cobros_Ledger'!$C$3:$C$96,10)</f>
        <v>293429.08</v>
      </c>
      <c r="M85" s="9" t="n">
        <f aca="false">SUMIFS('90_Origen_Cobros_Ledger'!$E$3:$E$96,'90_Origen_Cobros_Ledger'!$A$3:$A$96,$A85,'90_Origen_Cobros_Ledger'!$B$3:$B$96,2024,'90_Origen_Cobros_Ledger'!$C$3:$C$96,11)</f>
        <v>154562</v>
      </c>
      <c r="N85" s="9" t="n">
        <f aca="false">SUMIFS('90_Origen_Cobros_Ledger'!$E$3:$E$96,'90_Origen_Cobros_Ledger'!$A$3:$A$96,$A85,'90_Origen_Cobros_Ledger'!$B$3:$B$96,2024,'90_Origen_Cobros_Ledger'!$C$3:$C$96,12)</f>
        <v>119107.45</v>
      </c>
      <c r="O85" s="10" t="n">
        <f aca="false">SUM(C85:N85)</f>
        <v>2142964.43</v>
      </c>
    </row>
    <row r="86" customFormat="false" ht="15" hidden="false" customHeight="false" outlineLevel="0" collapsed="false">
      <c r="A86" s="8" t="s">
        <v>61</v>
      </c>
      <c r="B86" s="8" t="s">
        <v>127</v>
      </c>
      <c r="C86" s="9" t="n">
        <f aca="false">SUMIFS('90_Origen_Cobros_Ledger'!$E$3:$E$96,'90_Origen_Cobros_Ledger'!$A$3:$A$96,$A86,'90_Origen_Cobros_Ledger'!$B$3:$B$96,2025,'90_Origen_Cobros_Ledger'!$C$3:$C$96,1)</f>
        <v>128603</v>
      </c>
      <c r="D86" s="9" t="n">
        <f aca="false">SUMIFS('90_Origen_Cobros_Ledger'!$E$3:$E$96,'90_Origen_Cobros_Ledger'!$A$3:$A$96,$A86,'90_Origen_Cobros_Ledger'!$B$3:$B$96,2025,'90_Origen_Cobros_Ledger'!$C$3:$C$96,2)</f>
        <v>64852</v>
      </c>
      <c r="E86" s="9" t="n">
        <f aca="false">SUMIFS('90_Origen_Cobros_Ledger'!$E$3:$E$96,'90_Origen_Cobros_Ledger'!$A$3:$A$96,$A86,'90_Origen_Cobros_Ledger'!$B$3:$B$96,2025,'90_Origen_Cobros_Ledger'!$C$3:$C$96,3)</f>
        <v>109603</v>
      </c>
      <c r="F86" s="9" t="n">
        <f aca="false">SUMIFS('90_Origen_Cobros_Ledger'!$E$3:$E$96,'90_Origen_Cobros_Ledger'!$A$3:$A$96,$A86,'90_Origen_Cobros_Ledger'!$B$3:$B$96,2025,'90_Origen_Cobros_Ledger'!$C$3:$C$96,4)</f>
        <v>110077</v>
      </c>
      <c r="G86" s="9" t="n">
        <f aca="false">SUMIFS('90_Origen_Cobros_Ledger'!$E$3:$E$96,'90_Origen_Cobros_Ledger'!$A$3:$A$96,$A86,'90_Origen_Cobros_Ledger'!$B$3:$B$96,2025,'90_Origen_Cobros_Ledger'!$C$3:$C$96,5)</f>
        <v>131592</v>
      </c>
      <c r="H86" s="9" t="n">
        <f aca="false">SUMIFS('90_Origen_Cobros_Ledger'!$E$3:$E$96,'90_Origen_Cobros_Ledger'!$A$3:$A$96,$A86,'90_Origen_Cobros_Ledger'!$B$3:$B$96,2025,'90_Origen_Cobros_Ledger'!$C$3:$C$96,6)</f>
        <v>229614</v>
      </c>
      <c r="I86" s="9" t="n">
        <f aca="false">SUMIFS('90_Origen_Cobros_Ledger'!$E$3:$E$96,'90_Origen_Cobros_Ledger'!$A$3:$A$96,$A86,'90_Origen_Cobros_Ledger'!$B$3:$B$96,2025,'90_Origen_Cobros_Ledger'!$C$3:$C$96,7)</f>
        <v>250497.17</v>
      </c>
      <c r="J86" s="9" t="n">
        <f aca="false">SUMIFS('90_Origen_Cobros_Ledger'!$E$3:$E$96,'90_Origen_Cobros_Ledger'!$A$3:$A$96,$A86,'90_Origen_Cobros_Ledger'!$B$3:$B$96,2025,'90_Origen_Cobros_Ledger'!$C$3:$C$96,8)</f>
        <v>611702.54</v>
      </c>
      <c r="K86" s="9" t="n">
        <f aca="false">SUMIFS('90_Origen_Cobros_Ledger'!$E$3:$E$96,'90_Origen_Cobros_Ledger'!$A$3:$A$96,$A86,'90_Origen_Cobros_Ledger'!$B$3:$B$96,2025,'90_Origen_Cobros_Ledger'!$C$3:$C$96,9)</f>
        <v>126887</v>
      </c>
      <c r="L86" s="9" t="n">
        <f aca="false">SUMIFS('90_Origen_Cobros_Ledger'!$E$3:$E$96,'90_Origen_Cobros_Ledger'!$A$3:$A$96,$A86,'90_Origen_Cobros_Ledger'!$B$3:$B$96,2025,'90_Origen_Cobros_Ledger'!$C$3:$C$96,10)</f>
        <v>260749.21</v>
      </c>
      <c r="M86" s="9" t="n">
        <f aca="false">SUMIFS('90_Origen_Cobros_Ledger'!$E$3:$E$96,'90_Origen_Cobros_Ledger'!$A$3:$A$96,$A86,'90_Origen_Cobros_Ledger'!$B$3:$B$96,2025,'90_Origen_Cobros_Ledger'!$C$3:$C$96,11)</f>
        <v>84433</v>
      </c>
      <c r="N86" s="9" t="n">
        <f aca="false">SUMIFS('90_Origen_Cobros_Ledger'!$E$3:$E$96,'90_Origen_Cobros_Ledger'!$A$3:$A$96,$A86,'90_Origen_Cobros_Ledger'!$B$3:$B$96,2025,'90_Origen_Cobros_Ledger'!$C$3:$C$96,12)</f>
        <v>267763.43</v>
      </c>
      <c r="O86" s="10" t="n">
        <f aca="false">SUM(C86:N86)</f>
        <v>2376373.35</v>
      </c>
    </row>
    <row r="87" customFormat="false" ht="15" hidden="false" customHeight="false" outlineLevel="0" collapsed="false">
      <c r="A87" s="8" t="s">
        <v>62</v>
      </c>
      <c r="B87" s="8" t="s">
        <v>126</v>
      </c>
      <c r="C87" s="9" t="n">
        <f aca="false">SUMIFS('90_Origen_Cobros_Ledger'!$E$3:$E$96,'90_Origen_Cobros_Ledger'!$A$3:$A$96,$A87,'90_Origen_Cobros_Ledger'!$B$3:$B$96,2024,'90_Origen_Cobros_Ledger'!$C$3:$C$96,1)</f>
        <v>189158</v>
      </c>
      <c r="D87" s="9" t="n">
        <f aca="false">SUMIFS('90_Origen_Cobros_Ledger'!$E$3:$E$96,'90_Origen_Cobros_Ledger'!$A$3:$A$96,$A87,'90_Origen_Cobros_Ledger'!$B$3:$B$96,2024,'90_Origen_Cobros_Ledger'!$C$3:$C$96,2)</f>
        <v>225732</v>
      </c>
      <c r="E87" s="9" t="n">
        <f aca="false">SUMIFS('90_Origen_Cobros_Ledger'!$E$3:$E$96,'90_Origen_Cobros_Ledger'!$A$3:$A$96,$A87,'90_Origen_Cobros_Ledger'!$B$3:$B$96,2024,'90_Origen_Cobros_Ledger'!$C$3:$C$96,3)</f>
        <v>78646.28</v>
      </c>
      <c r="F87" s="9" t="n">
        <f aca="false">SUMIFS('90_Origen_Cobros_Ledger'!$E$3:$E$96,'90_Origen_Cobros_Ledger'!$A$3:$A$96,$A87,'90_Origen_Cobros_Ledger'!$B$3:$B$96,2024,'90_Origen_Cobros_Ledger'!$C$3:$C$96,4)</f>
        <v>74596</v>
      </c>
      <c r="G87" s="9" t="n">
        <f aca="false">SUMIFS('90_Origen_Cobros_Ledger'!$E$3:$E$96,'90_Origen_Cobros_Ledger'!$A$3:$A$96,$A87,'90_Origen_Cobros_Ledger'!$B$3:$B$96,2024,'90_Origen_Cobros_Ledger'!$C$3:$C$96,5)</f>
        <v>260230.35</v>
      </c>
      <c r="H87" s="9" t="n">
        <f aca="false">SUMIFS('90_Origen_Cobros_Ledger'!$E$3:$E$96,'90_Origen_Cobros_Ledger'!$A$3:$A$96,$A87,'90_Origen_Cobros_Ledger'!$B$3:$B$96,2024,'90_Origen_Cobros_Ledger'!$C$3:$C$96,6)</f>
        <v>0</v>
      </c>
      <c r="I87" s="9" t="n">
        <f aca="false">SUMIFS('90_Origen_Cobros_Ledger'!$E$3:$E$96,'90_Origen_Cobros_Ledger'!$A$3:$A$96,$A87,'90_Origen_Cobros_Ledger'!$B$3:$B$96,2024,'90_Origen_Cobros_Ledger'!$C$3:$C$96,7)</f>
        <v>20440</v>
      </c>
      <c r="J87" s="9" t="n">
        <f aca="false">SUMIFS('90_Origen_Cobros_Ledger'!$E$3:$E$96,'90_Origen_Cobros_Ledger'!$A$3:$A$96,$A87,'90_Origen_Cobros_Ledger'!$B$3:$B$96,2024,'90_Origen_Cobros_Ledger'!$C$3:$C$96,8)</f>
        <v>145281.06</v>
      </c>
      <c r="K87" s="9" t="n">
        <f aca="false">SUMIFS('90_Origen_Cobros_Ledger'!$E$3:$E$96,'90_Origen_Cobros_Ledger'!$A$3:$A$96,$A87,'90_Origen_Cobros_Ledger'!$B$3:$B$96,2024,'90_Origen_Cobros_Ledger'!$C$3:$C$96,9)</f>
        <v>0</v>
      </c>
      <c r="L87" s="9" t="n">
        <f aca="false">SUMIFS('90_Origen_Cobros_Ledger'!$E$3:$E$96,'90_Origen_Cobros_Ledger'!$A$3:$A$96,$A87,'90_Origen_Cobros_Ledger'!$B$3:$B$96,2024,'90_Origen_Cobros_Ledger'!$C$3:$C$96,10)</f>
        <v>128801</v>
      </c>
      <c r="M87" s="9" t="n">
        <f aca="false">SUMIFS('90_Origen_Cobros_Ledger'!$E$3:$E$96,'90_Origen_Cobros_Ledger'!$A$3:$A$96,$A87,'90_Origen_Cobros_Ledger'!$B$3:$B$96,2024,'90_Origen_Cobros_Ledger'!$C$3:$C$96,11)</f>
        <v>60895</v>
      </c>
      <c r="N87" s="9" t="n">
        <f aca="false">SUMIFS('90_Origen_Cobros_Ledger'!$E$3:$E$96,'90_Origen_Cobros_Ledger'!$A$3:$A$96,$A87,'90_Origen_Cobros_Ledger'!$B$3:$B$96,2024,'90_Origen_Cobros_Ledger'!$C$3:$C$96,12)</f>
        <v>19954.09</v>
      </c>
      <c r="O87" s="10" t="n">
        <f aca="false">SUM(C87:N87)</f>
        <v>1203733.78</v>
      </c>
    </row>
    <row r="88" customFormat="false" ht="15" hidden="false" customHeight="false" outlineLevel="0" collapsed="false">
      <c r="A88" s="8" t="s">
        <v>62</v>
      </c>
      <c r="B88" s="8" t="s">
        <v>127</v>
      </c>
      <c r="C88" s="9" t="n">
        <f aca="false">SUMIFS('90_Origen_Cobros_Ledger'!$E$3:$E$96,'90_Origen_Cobros_Ledger'!$A$3:$A$96,$A88,'90_Origen_Cobros_Ledger'!$B$3:$B$96,2025,'90_Origen_Cobros_Ledger'!$C$3:$C$96,1)</f>
        <v>80518</v>
      </c>
      <c r="D88" s="9" t="n">
        <f aca="false">SUMIFS('90_Origen_Cobros_Ledger'!$E$3:$E$96,'90_Origen_Cobros_Ledger'!$A$3:$A$96,$A88,'90_Origen_Cobros_Ledger'!$B$3:$B$96,2025,'90_Origen_Cobros_Ledger'!$C$3:$C$96,2)</f>
        <v>59683</v>
      </c>
      <c r="E88" s="9" t="n">
        <f aca="false">SUMIFS('90_Origen_Cobros_Ledger'!$E$3:$E$96,'90_Origen_Cobros_Ledger'!$A$3:$A$96,$A88,'90_Origen_Cobros_Ledger'!$B$3:$B$96,2025,'90_Origen_Cobros_Ledger'!$C$3:$C$96,3)</f>
        <v>92087.26</v>
      </c>
      <c r="F88" s="9" t="n">
        <f aca="false">SUMIFS('90_Origen_Cobros_Ledger'!$E$3:$E$96,'90_Origen_Cobros_Ledger'!$A$3:$A$96,$A88,'90_Origen_Cobros_Ledger'!$B$3:$B$96,2025,'90_Origen_Cobros_Ledger'!$C$3:$C$96,4)</f>
        <v>94342.57</v>
      </c>
      <c r="G88" s="9" t="n">
        <f aca="false">SUMIFS('90_Origen_Cobros_Ledger'!$E$3:$E$96,'90_Origen_Cobros_Ledger'!$A$3:$A$96,$A88,'90_Origen_Cobros_Ledger'!$B$3:$B$96,2025,'90_Origen_Cobros_Ledger'!$C$3:$C$96,5)</f>
        <v>37074</v>
      </c>
      <c r="H88" s="9" t="n">
        <f aca="false">SUMIFS('90_Origen_Cobros_Ledger'!$E$3:$E$96,'90_Origen_Cobros_Ledger'!$A$3:$A$96,$A88,'90_Origen_Cobros_Ledger'!$B$3:$B$96,2025,'90_Origen_Cobros_Ledger'!$C$3:$C$96,6)</f>
        <v>62579</v>
      </c>
      <c r="I88" s="9" t="n">
        <f aca="false">SUMIFS('90_Origen_Cobros_Ledger'!$E$3:$E$96,'90_Origen_Cobros_Ledger'!$A$3:$A$96,$A88,'90_Origen_Cobros_Ledger'!$B$3:$B$96,2025,'90_Origen_Cobros_Ledger'!$C$3:$C$96,7)</f>
        <v>102710.97</v>
      </c>
      <c r="J88" s="9" t="n">
        <f aca="false">SUMIFS('90_Origen_Cobros_Ledger'!$E$3:$E$96,'90_Origen_Cobros_Ledger'!$A$3:$A$96,$A88,'90_Origen_Cobros_Ledger'!$B$3:$B$96,2025,'90_Origen_Cobros_Ledger'!$C$3:$C$96,8)</f>
        <v>70633.18</v>
      </c>
      <c r="K88" s="9" t="n">
        <f aca="false">SUMIFS('90_Origen_Cobros_Ledger'!$E$3:$E$96,'90_Origen_Cobros_Ledger'!$A$3:$A$96,$A88,'90_Origen_Cobros_Ledger'!$B$3:$B$96,2025,'90_Origen_Cobros_Ledger'!$C$3:$C$96,9)</f>
        <v>198133.82</v>
      </c>
      <c r="L88" s="9" t="n">
        <f aca="false">SUMIFS('90_Origen_Cobros_Ledger'!$E$3:$E$96,'90_Origen_Cobros_Ledger'!$A$3:$A$96,$A88,'90_Origen_Cobros_Ledger'!$B$3:$B$96,2025,'90_Origen_Cobros_Ledger'!$C$3:$C$96,10)</f>
        <v>326646</v>
      </c>
      <c r="M88" s="9" t="n">
        <f aca="false">SUMIFS('90_Origen_Cobros_Ledger'!$E$3:$E$96,'90_Origen_Cobros_Ledger'!$A$3:$A$96,$A88,'90_Origen_Cobros_Ledger'!$B$3:$B$96,2025,'90_Origen_Cobros_Ledger'!$C$3:$C$96,11)</f>
        <v>239391.25</v>
      </c>
      <c r="N88" s="9" t="n">
        <f aca="false">SUMIFS('90_Origen_Cobros_Ledger'!$E$3:$E$96,'90_Origen_Cobros_Ledger'!$A$3:$A$96,$A88,'90_Origen_Cobros_Ledger'!$B$3:$B$96,2025,'90_Origen_Cobros_Ledger'!$C$3:$C$96,12)</f>
        <v>220857</v>
      </c>
      <c r="O88" s="10" t="n">
        <f aca="false">SUM(C88:N88)</f>
        <v>1584656.05</v>
      </c>
    </row>
    <row r="89" customFormat="false" ht="15" hidden="false" customHeight="false" outlineLevel="0" collapsed="false">
      <c r="A89" s="8" t="s">
        <v>63</v>
      </c>
      <c r="B89" s="8" t="s">
        <v>126</v>
      </c>
      <c r="C89" s="9" t="n">
        <f aca="false">SUMIFS('90_Origen_Cobros_Ledger'!$E$3:$E$96,'90_Origen_Cobros_Ledger'!$A$3:$A$96,$A89,'90_Origen_Cobros_Ledger'!$B$3:$B$96,2024,'90_Origen_Cobros_Ledger'!$C$3:$C$96,1)</f>
        <v>0</v>
      </c>
      <c r="D89" s="9" t="n">
        <f aca="false">SUMIFS('90_Origen_Cobros_Ledger'!$E$3:$E$96,'90_Origen_Cobros_Ledger'!$A$3:$A$96,$A89,'90_Origen_Cobros_Ledger'!$B$3:$B$96,2024,'90_Origen_Cobros_Ledger'!$C$3:$C$96,2)</f>
        <v>52804</v>
      </c>
      <c r="E89" s="9" t="n">
        <f aca="false">SUMIFS('90_Origen_Cobros_Ledger'!$E$3:$E$96,'90_Origen_Cobros_Ledger'!$A$3:$A$96,$A89,'90_Origen_Cobros_Ledger'!$B$3:$B$96,2024,'90_Origen_Cobros_Ledger'!$C$3:$C$96,3)</f>
        <v>265888</v>
      </c>
      <c r="F89" s="9" t="n">
        <f aca="false">SUMIFS('90_Origen_Cobros_Ledger'!$E$3:$E$96,'90_Origen_Cobros_Ledger'!$A$3:$A$96,$A89,'90_Origen_Cobros_Ledger'!$B$3:$B$96,2024,'90_Origen_Cobros_Ledger'!$C$3:$C$96,4)</f>
        <v>0</v>
      </c>
      <c r="G89" s="9" t="n">
        <f aca="false">SUMIFS('90_Origen_Cobros_Ledger'!$E$3:$E$96,'90_Origen_Cobros_Ledger'!$A$3:$A$96,$A89,'90_Origen_Cobros_Ledger'!$B$3:$B$96,2024,'90_Origen_Cobros_Ledger'!$C$3:$C$96,5)</f>
        <v>188633</v>
      </c>
      <c r="H89" s="9" t="n">
        <f aca="false">SUMIFS('90_Origen_Cobros_Ledger'!$E$3:$E$96,'90_Origen_Cobros_Ledger'!$A$3:$A$96,$A89,'90_Origen_Cobros_Ledger'!$B$3:$B$96,2024,'90_Origen_Cobros_Ledger'!$C$3:$C$96,6)</f>
        <v>44291</v>
      </c>
      <c r="I89" s="9" t="n">
        <f aca="false">SUMIFS('90_Origen_Cobros_Ledger'!$E$3:$E$96,'90_Origen_Cobros_Ledger'!$A$3:$A$96,$A89,'90_Origen_Cobros_Ledger'!$B$3:$B$96,2024,'90_Origen_Cobros_Ledger'!$C$3:$C$96,7)</f>
        <v>51739</v>
      </c>
      <c r="J89" s="9" t="n">
        <f aca="false">SUMIFS('90_Origen_Cobros_Ledger'!$E$3:$E$96,'90_Origen_Cobros_Ledger'!$A$3:$A$96,$A89,'90_Origen_Cobros_Ledger'!$B$3:$B$96,2024,'90_Origen_Cobros_Ledger'!$C$3:$C$96,8)</f>
        <v>149821</v>
      </c>
      <c r="K89" s="9" t="n">
        <f aca="false">SUMIFS('90_Origen_Cobros_Ledger'!$E$3:$E$96,'90_Origen_Cobros_Ledger'!$A$3:$A$96,$A89,'90_Origen_Cobros_Ledger'!$B$3:$B$96,2024,'90_Origen_Cobros_Ledger'!$C$3:$C$96,9)</f>
        <v>625516</v>
      </c>
      <c r="L89" s="9" t="n">
        <f aca="false">SUMIFS('90_Origen_Cobros_Ledger'!$E$3:$E$96,'90_Origen_Cobros_Ledger'!$A$3:$A$96,$A89,'90_Origen_Cobros_Ledger'!$B$3:$B$96,2024,'90_Origen_Cobros_Ledger'!$C$3:$C$96,10)</f>
        <v>0</v>
      </c>
      <c r="M89" s="9" t="n">
        <f aca="false">SUMIFS('90_Origen_Cobros_Ledger'!$E$3:$E$96,'90_Origen_Cobros_Ledger'!$A$3:$A$96,$A89,'90_Origen_Cobros_Ledger'!$B$3:$B$96,2024,'90_Origen_Cobros_Ledger'!$C$3:$C$96,11)</f>
        <v>45925</v>
      </c>
      <c r="N89" s="9" t="n">
        <f aca="false">SUMIFS('90_Origen_Cobros_Ledger'!$E$3:$E$96,'90_Origen_Cobros_Ledger'!$A$3:$A$96,$A89,'90_Origen_Cobros_Ledger'!$B$3:$B$96,2024,'90_Origen_Cobros_Ledger'!$C$3:$C$96,12)</f>
        <v>46640</v>
      </c>
      <c r="O89" s="10" t="n">
        <f aca="false">SUM(C89:N89)</f>
        <v>1471257</v>
      </c>
    </row>
    <row r="90" customFormat="false" ht="15" hidden="false" customHeight="false" outlineLevel="0" collapsed="false">
      <c r="A90" s="8" t="s">
        <v>63</v>
      </c>
      <c r="B90" s="8" t="s">
        <v>127</v>
      </c>
      <c r="C90" s="9" t="n">
        <f aca="false">SUMIFS('90_Origen_Cobros_Ledger'!$E$3:$E$96,'90_Origen_Cobros_Ledger'!$A$3:$A$96,$A90,'90_Origen_Cobros_Ledger'!$B$3:$B$96,2025,'90_Origen_Cobros_Ledger'!$C$3:$C$96,1)</f>
        <v>150453</v>
      </c>
      <c r="D90" s="9" t="n">
        <f aca="false">SUMIFS('90_Origen_Cobros_Ledger'!$E$3:$E$96,'90_Origen_Cobros_Ledger'!$A$3:$A$96,$A90,'90_Origen_Cobros_Ledger'!$B$3:$B$96,2025,'90_Origen_Cobros_Ledger'!$C$3:$C$96,2)</f>
        <v>243489</v>
      </c>
      <c r="E90" s="9" t="n">
        <f aca="false">SUMIFS('90_Origen_Cobros_Ledger'!$E$3:$E$96,'90_Origen_Cobros_Ledger'!$A$3:$A$96,$A90,'90_Origen_Cobros_Ledger'!$B$3:$B$96,2025,'90_Origen_Cobros_Ledger'!$C$3:$C$96,3)</f>
        <v>141525</v>
      </c>
      <c r="F90" s="9" t="n">
        <f aca="false">SUMIFS('90_Origen_Cobros_Ledger'!$E$3:$E$96,'90_Origen_Cobros_Ledger'!$A$3:$A$96,$A90,'90_Origen_Cobros_Ledger'!$B$3:$B$96,2025,'90_Origen_Cobros_Ledger'!$C$3:$C$96,4)</f>
        <v>169200</v>
      </c>
      <c r="G90" s="9" t="n">
        <f aca="false">SUMIFS('90_Origen_Cobros_Ledger'!$E$3:$E$96,'90_Origen_Cobros_Ledger'!$A$3:$A$96,$A90,'90_Origen_Cobros_Ledger'!$B$3:$B$96,2025,'90_Origen_Cobros_Ledger'!$C$3:$C$96,5)</f>
        <v>195063</v>
      </c>
      <c r="H90" s="9" t="n">
        <f aca="false">SUMIFS('90_Origen_Cobros_Ledger'!$E$3:$E$96,'90_Origen_Cobros_Ledger'!$A$3:$A$96,$A90,'90_Origen_Cobros_Ledger'!$B$3:$B$96,2025,'90_Origen_Cobros_Ledger'!$C$3:$C$96,6)</f>
        <v>61795</v>
      </c>
      <c r="I90" s="9" t="n">
        <f aca="false">SUMIFS('90_Origen_Cobros_Ledger'!$E$3:$E$96,'90_Origen_Cobros_Ledger'!$A$3:$A$96,$A90,'90_Origen_Cobros_Ledger'!$B$3:$B$96,2025,'90_Origen_Cobros_Ledger'!$C$3:$C$96,7)</f>
        <v>0</v>
      </c>
      <c r="J90" s="9" t="n">
        <f aca="false">SUMIFS('90_Origen_Cobros_Ledger'!$E$3:$E$96,'90_Origen_Cobros_Ledger'!$A$3:$A$96,$A90,'90_Origen_Cobros_Ledger'!$B$3:$B$96,2025,'90_Origen_Cobros_Ledger'!$C$3:$C$96,8)</f>
        <v>20000</v>
      </c>
      <c r="K90" s="9" t="n">
        <f aca="false">SUMIFS('90_Origen_Cobros_Ledger'!$E$3:$E$96,'90_Origen_Cobros_Ledger'!$A$3:$A$96,$A90,'90_Origen_Cobros_Ledger'!$B$3:$B$96,2025,'90_Origen_Cobros_Ledger'!$C$3:$C$96,9)</f>
        <v>0</v>
      </c>
      <c r="L90" s="9" t="n">
        <f aca="false">SUMIFS('90_Origen_Cobros_Ledger'!$E$3:$E$96,'90_Origen_Cobros_Ledger'!$A$3:$A$96,$A90,'90_Origen_Cobros_Ledger'!$B$3:$B$96,2025,'90_Origen_Cobros_Ledger'!$C$3:$C$96,10)</f>
        <v>44465</v>
      </c>
      <c r="M90" s="9" t="n">
        <f aca="false">SUMIFS('90_Origen_Cobros_Ledger'!$E$3:$E$96,'90_Origen_Cobros_Ledger'!$A$3:$A$96,$A90,'90_Origen_Cobros_Ledger'!$B$3:$B$96,2025,'90_Origen_Cobros_Ledger'!$C$3:$C$96,11)</f>
        <v>0</v>
      </c>
      <c r="N90" s="9" t="n">
        <f aca="false">SUMIFS('90_Origen_Cobros_Ledger'!$E$3:$E$96,'90_Origen_Cobros_Ledger'!$A$3:$A$96,$A90,'90_Origen_Cobros_Ledger'!$B$3:$B$96,2025,'90_Origen_Cobros_Ledger'!$C$3:$C$96,12)</f>
        <v>178385</v>
      </c>
      <c r="O90" s="10" t="n">
        <f aca="false">SUM(C90:N90)</f>
        <v>1204375</v>
      </c>
    </row>
    <row r="91" customFormat="false" ht="15" hidden="false" customHeight="false" outlineLevel="0" collapsed="false">
      <c r="A91" s="8" t="s">
        <v>76</v>
      </c>
      <c r="B91" s="8" t="s">
        <v>126</v>
      </c>
      <c r="C91" s="9" t="n">
        <f aca="false">SUMIFS('90_Origen_Cobros_Ledger'!$E$3:$E$96,'90_Origen_Cobros_Ledger'!$A$3:$A$96,$A91,'90_Origen_Cobros_Ledger'!$B$3:$B$96,2024,'90_Origen_Cobros_Ledger'!$C$3:$C$96,1)</f>
        <v>0</v>
      </c>
      <c r="D91" s="9" t="n">
        <f aca="false">SUMIFS('90_Origen_Cobros_Ledger'!$E$3:$E$96,'90_Origen_Cobros_Ledger'!$A$3:$A$96,$A91,'90_Origen_Cobros_Ledger'!$B$3:$B$96,2024,'90_Origen_Cobros_Ledger'!$C$3:$C$96,2)</f>
        <v>0</v>
      </c>
      <c r="E91" s="9" t="n">
        <f aca="false">SUMIFS('90_Origen_Cobros_Ledger'!$E$3:$E$96,'90_Origen_Cobros_Ledger'!$A$3:$A$96,$A91,'90_Origen_Cobros_Ledger'!$B$3:$B$96,2024,'90_Origen_Cobros_Ledger'!$C$3:$C$96,3)</f>
        <v>0</v>
      </c>
      <c r="F91" s="9" t="n">
        <f aca="false">SUMIFS('90_Origen_Cobros_Ledger'!$E$3:$E$96,'90_Origen_Cobros_Ledger'!$A$3:$A$96,$A91,'90_Origen_Cobros_Ledger'!$B$3:$B$96,2024,'90_Origen_Cobros_Ledger'!$C$3:$C$96,4)</f>
        <v>0</v>
      </c>
      <c r="G91" s="9" t="n">
        <f aca="false">SUMIFS('90_Origen_Cobros_Ledger'!$E$3:$E$96,'90_Origen_Cobros_Ledger'!$A$3:$A$96,$A91,'90_Origen_Cobros_Ledger'!$B$3:$B$96,2024,'90_Origen_Cobros_Ledger'!$C$3:$C$96,5)</f>
        <v>0</v>
      </c>
      <c r="H91" s="9" t="n">
        <f aca="false">SUMIFS('90_Origen_Cobros_Ledger'!$E$3:$E$96,'90_Origen_Cobros_Ledger'!$A$3:$A$96,$A91,'90_Origen_Cobros_Ledger'!$B$3:$B$96,2024,'90_Origen_Cobros_Ledger'!$C$3:$C$96,6)</f>
        <v>0</v>
      </c>
      <c r="I91" s="9" t="n">
        <f aca="false">SUMIFS('90_Origen_Cobros_Ledger'!$E$3:$E$96,'90_Origen_Cobros_Ledger'!$A$3:$A$96,$A91,'90_Origen_Cobros_Ledger'!$B$3:$B$96,2024,'90_Origen_Cobros_Ledger'!$C$3:$C$96,7)</f>
        <v>0</v>
      </c>
      <c r="J91" s="9" t="n">
        <f aca="false">SUMIFS('90_Origen_Cobros_Ledger'!$E$3:$E$96,'90_Origen_Cobros_Ledger'!$A$3:$A$96,$A91,'90_Origen_Cobros_Ledger'!$B$3:$B$96,2024,'90_Origen_Cobros_Ledger'!$C$3:$C$96,8)</f>
        <v>0</v>
      </c>
      <c r="K91" s="9" t="n">
        <f aca="false">SUMIFS('90_Origen_Cobros_Ledger'!$E$3:$E$96,'90_Origen_Cobros_Ledger'!$A$3:$A$96,$A91,'90_Origen_Cobros_Ledger'!$B$3:$B$96,2024,'90_Origen_Cobros_Ledger'!$C$3:$C$96,9)</f>
        <v>0</v>
      </c>
      <c r="L91" s="9" t="n">
        <f aca="false">SUMIFS('90_Origen_Cobros_Ledger'!$E$3:$E$96,'90_Origen_Cobros_Ledger'!$A$3:$A$96,$A91,'90_Origen_Cobros_Ledger'!$B$3:$B$96,2024,'90_Origen_Cobros_Ledger'!$C$3:$C$96,10)</f>
        <v>76050</v>
      </c>
      <c r="M91" s="9" t="n">
        <f aca="false">SUMIFS('90_Origen_Cobros_Ledger'!$E$3:$E$96,'90_Origen_Cobros_Ledger'!$A$3:$A$96,$A91,'90_Origen_Cobros_Ledger'!$B$3:$B$96,2024,'90_Origen_Cobros_Ledger'!$C$3:$C$96,11)</f>
        <v>0</v>
      </c>
      <c r="N91" s="9" t="n">
        <f aca="false">SUMIFS('90_Origen_Cobros_Ledger'!$E$3:$E$96,'90_Origen_Cobros_Ledger'!$A$3:$A$96,$A91,'90_Origen_Cobros_Ledger'!$B$3:$B$96,2024,'90_Origen_Cobros_Ledger'!$C$3:$C$96,12)</f>
        <v>76050</v>
      </c>
      <c r="O91" s="10" t="n">
        <f aca="false">SUM(C91:N91)</f>
        <v>152100</v>
      </c>
    </row>
    <row r="92" customFormat="false" ht="15" hidden="false" customHeight="false" outlineLevel="0" collapsed="false">
      <c r="A92" s="8" t="s">
        <v>76</v>
      </c>
      <c r="B92" s="8" t="s">
        <v>127</v>
      </c>
      <c r="C92" s="9" t="n">
        <f aca="false">SUMIFS('90_Origen_Cobros_Ledger'!$E$3:$E$96,'90_Origen_Cobros_Ledger'!$A$3:$A$96,$A92,'90_Origen_Cobros_Ledger'!$B$3:$B$96,2025,'90_Origen_Cobros_Ledger'!$C$3:$C$96,1)</f>
        <v>0</v>
      </c>
      <c r="D92" s="9" t="n">
        <f aca="false">SUMIFS('90_Origen_Cobros_Ledger'!$E$3:$E$96,'90_Origen_Cobros_Ledger'!$A$3:$A$96,$A92,'90_Origen_Cobros_Ledger'!$B$3:$B$96,2025,'90_Origen_Cobros_Ledger'!$C$3:$C$96,2)</f>
        <v>0</v>
      </c>
      <c r="E92" s="9" t="n">
        <f aca="false">SUMIFS('90_Origen_Cobros_Ledger'!$E$3:$E$96,'90_Origen_Cobros_Ledger'!$A$3:$A$96,$A92,'90_Origen_Cobros_Ledger'!$B$3:$B$96,2025,'90_Origen_Cobros_Ledger'!$C$3:$C$96,3)</f>
        <v>0</v>
      </c>
      <c r="F92" s="9" t="n">
        <f aca="false">SUMIFS('90_Origen_Cobros_Ledger'!$E$3:$E$96,'90_Origen_Cobros_Ledger'!$A$3:$A$96,$A92,'90_Origen_Cobros_Ledger'!$B$3:$B$96,2025,'90_Origen_Cobros_Ledger'!$C$3:$C$96,4)</f>
        <v>0</v>
      </c>
      <c r="G92" s="9" t="n">
        <f aca="false">SUMIFS('90_Origen_Cobros_Ledger'!$E$3:$E$96,'90_Origen_Cobros_Ledger'!$A$3:$A$96,$A92,'90_Origen_Cobros_Ledger'!$B$3:$B$96,2025,'90_Origen_Cobros_Ledger'!$C$3:$C$96,5)</f>
        <v>0</v>
      </c>
      <c r="H92" s="9" t="n">
        <f aca="false">SUMIFS('90_Origen_Cobros_Ledger'!$E$3:$E$96,'90_Origen_Cobros_Ledger'!$A$3:$A$96,$A92,'90_Origen_Cobros_Ledger'!$B$3:$B$96,2025,'90_Origen_Cobros_Ledger'!$C$3:$C$96,6)</f>
        <v>0</v>
      </c>
      <c r="I92" s="9" t="n">
        <f aca="false">SUMIFS('90_Origen_Cobros_Ledger'!$E$3:$E$96,'90_Origen_Cobros_Ledger'!$A$3:$A$96,$A92,'90_Origen_Cobros_Ledger'!$B$3:$B$96,2025,'90_Origen_Cobros_Ledger'!$C$3:$C$96,7)</f>
        <v>0</v>
      </c>
      <c r="J92" s="9" t="n">
        <f aca="false">SUMIFS('90_Origen_Cobros_Ledger'!$E$3:$E$96,'90_Origen_Cobros_Ledger'!$A$3:$A$96,$A92,'90_Origen_Cobros_Ledger'!$B$3:$B$96,2025,'90_Origen_Cobros_Ledger'!$C$3:$C$96,8)</f>
        <v>0</v>
      </c>
      <c r="K92" s="9" t="n">
        <f aca="false">SUMIFS('90_Origen_Cobros_Ledger'!$E$3:$E$96,'90_Origen_Cobros_Ledger'!$A$3:$A$96,$A92,'90_Origen_Cobros_Ledger'!$B$3:$B$96,2025,'90_Origen_Cobros_Ledger'!$C$3:$C$96,9)</f>
        <v>0</v>
      </c>
      <c r="L92" s="9" t="n">
        <f aca="false">SUMIFS('90_Origen_Cobros_Ledger'!$E$3:$E$96,'90_Origen_Cobros_Ledger'!$A$3:$A$96,$A92,'90_Origen_Cobros_Ledger'!$B$3:$B$96,2025,'90_Origen_Cobros_Ledger'!$C$3:$C$96,10)</f>
        <v>0</v>
      </c>
      <c r="M92" s="9" t="n">
        <f aca="false">SUMIFS('90_Origen_Cobros_Ledger'!$E$3:$E$96,'90_Origen_Cobros_Ledger'!$A$3:$A$96,$A92,'90_Origen_Cobros_Ledger'!$B$3:$B$96,2025,'90_Origen_Cobros_Ledger'!$C$3:$C$96,11)</f>
        <v>0</v>
      </c>
      <c r="N92" s="9" t="n">
        <f aca="false">SUMIFS('90_Origen_Cobros_Ledger'!$E$3:$E$96,'90_Origen_Cobros_Ledger'!$A$3:$A$96,$A92,'90_Origen_Cobros_Ledger'!$B$3:$B$96,2025,'90_Origen_Cobros_Ledger'!$C$3:$C$96,12)</f>
        <v>0</v>
      </c>
      <c r="O92" s="10" t="n">
        <f aca="false">SUM(C92:N92)</f>
        <v>0</v>
      </c>
    </row>
    <row r="93" customFormat="false" ht="15" hidden="false" customHeight="false" outlineLevel="0" collapsed="false">
      <c r="A93" s="8" t="s">
        <v>179</v>
      </c>
      <c r="B93" s="8" t="s">
        <v>126</v>
      </c>
      <c r="C93" s="9" t="n">
        <f aca="false">SUMIFS('90_Origen_Cobros_Ledger'!$E$3:$E$96,'90_Origen_Cobros_Ledger'!$A$3:$A$96,$A93,'90_Origen_Cobros_Ledger'!$B$3:$B$96,2024,'90_Origen_Cobros_Ledger'!$C$3:$C$96,1)</f>
        <v>0</v>
      </c>
      <c r="D93" s="9" t="n">
        <f aca="false">SUMIFS('90_Origen_Cobros_Ledger'!$E$3:$E$96,'90_Origen_Cobros_Ledger'!$A$3:$A$96,$A93,'90_Origen_Cobros_Ledger'!$B$3:$B$96,2024,'90_Origen_Cobros_Ledger'!$C$3:$C$96,2)</f>
        <v>0</v>
      </c>
      <c r="E93" s="9" t="n">
        <f aca="false">SUMIFS('90_Origen_Cobros_Ledger'!$E$3:$E$96,'90_Origen_Cobros_Ledger'!$A$3:$A$96,$A93,'90_Origen_Cobros_Ledger'!$B$3:$B$96,2024,'90_Origen_Cobros_Ledger'!$C$3:$C$96,3)</f>
        <v>0</v>
      </c>
      <c r="F93" s="9" t="n">
        <f aca="false">SUMIFS('90_Origen_Cobros_Ledger'!$E$3:$E$96,'90_Origen_Cobros_Ledger'!$A$3:$A$96,$A93,'90_Origen_Cobros_Ledger'!$B$3:$B$96,2024,'90_Origen_Cobros_Ledger'!$C$3:$C$96,4)</f>
        <v>0</v>
      </c>
      <c r="G93" s="9" t="n">
        <f aca="false">SUMIFS('90_Origen_Cobros_Ledger'!$E$3:$E$96,'90_Origen_Cobros_Ledger'!$A$3:$A$96,$A93,'90_Origen_Cobros_Ledger'!$B$3:$B$96,2024,'90_Origen_Cobros_Ledger'!$C$3:$C$96,5)</f>
        <v>0</v>
      </c>
      <c r="H93" s="9" t="n">
        <f aca="false">SUMIFS('90_Origen_Cobros_Ledger'!$E$3:$E$96,'90_Origen_Cobros_Ledger'!$A$3:$A$96,$A93,'90_Origen_Cobros_Ledger'!$B$3:$B$96,2024,'90_Origen_Cobros_Ledger'!$C$3:$C$96,6)</f>
        <v>0</v>
      </c>
      <c r="I93" s="9" t="n">
        <f aca="false">SUMIFS('90_Origen_Cobros_Ledger'!$E$3:$E$96,'90_Origen_Cobros_Ledger'!$A$3:$A$96,$A93,'90_Origen_Cobros_Ledger'!$B$3:$B$96,2024,'90_Origen_Cobros_Ledger'!$C$3:$C$96,7)</f>
        <v>0</v>
      </c>
      <c r="J93" s="9" t="n">
        <f aca="false">SUMIFS('90_Origen_Cobros_Ledger'!$E$3:$E$96,'90_Origen_Cobros_Ledger'!$A$3:$A$96,$A93,'90_Origen_Cobros_Ledger'!$B$3:$B$96,2024,'90_Origen_Cobros_Ledger'!$C$3:$C$96,8)</f>
        <v>0</v>
      </c>
      <c r="K93" s="9" t="n">
        <f aca="false">SUMIFS('90_Origen_Cobros_Ledger'!$E$3:$E$96,'90_Origen_Cobros_Ledger'!$A$3:$A$96,$A93,'90_Origen_Cobros_Ledger'!$B$3:$B$96,2024,'90_Origen_Cobros_Ledger'!$C$3:$C$96,9)</f>
        <v>0</v>
      </c>
      <c r="L93" s="9" t="n">
        <f aca="false">SUMIFS('90_Origen_Cobros_Ledger'!$E$3:$E$96,'90_Origen_Cobros_Ledger'!$A$3:$A$96,$A93,'90_Origen_Cobros_Ledger'!$B$3:$B$96,2024,'90_Origen_Cobros_Ledger'!$C$3:$C$96,10)</f>
        <v>0</v>
      </c>
      <c r="M93" s="9" t="n">
        <f aca="false">SUMIFS('90_Origen_Cobros_Ledger'!$E$3:$E$96,'90_Origen_Cobros_Ledger'!$A$3:$A$96,$A93,'90_Origen_Cobros_Ledger'!$B$3:$B$96,2024,'90_Origen_Cobros_Ledger'!$C$3:$C$96,11)</f>
        <v>0</v>
      </c>
      <c r="N93" s="9" t="n">
        <f aca="false">SUMIFS('90_Origen_Cobros_Ledger'!$E$3:$E$96,'90_Origen_Cobros_Ledger'!$A$3:$A$96,$A93,'90_Origen_Cobros_Ledger'!$B$3:$B$96,2024,'90_Origen_Cobros_Ledger'!$C$3:$C$96,12)</f>
        <v>0</v>
      </c>
      <c r="O93" s="10" t="n">
        <f aca="false">SUM(C93:N93)</f>
        <v>0</v>
      </c>
    </row>
    <row r="94" customFormat="false" ht="15" hidden="false" customHeight="false" outlineLevel="0" collapsed="false">
      <c r="A94" s="8" t="s">
        <v>179</v>
      </c>
      <c r="B94" s="8" t="s">
        <v>127</v>
      </c>
      <c r="C94" s="9" t="n">
        <f aca="false">SUMIFS('90_Origen_Cobros_Ledger'!$E$3:$E$96,'90_Origen_Cobros_Ledger'!$A$3:$A$96,$A94,'90_Origen_Cobros_Ledger'!$B$3:$B$96,2025,'90_Origen_Cobros_Ledger'!$C$3:$C$96,1)</f>
        <v>0</v>
      </c>
      <c r="D94" s="9" t="n">
        <f aca="false">SUMIFS('90_Origen_Cobros_Ledger'!$E$3:$E$96,'90_Origen_Cobros_Ledger'!$A$3:$A$96,$A94,'90_Origen_Cobros_Ledger'!$B$3:$B$96,2025,'90_Origen_Cobros_Ledger'!$C$3:$C$96,2)</f>
        <v>21682</v>
      </c>
      <c r="E94" s="9" t="n">
        <f aca="false">SUMIFS('90_Origen_Cobros_Ledger'!$E$3:$E$96,'90_Origen_Cobros_Ledger'!$A$3:$A$96,$A94,'90_Origen_Cobros_Ledger'!$B$3:$B$96,2025,'90_Origen_Cobros_Ledger'!$C$3:$C$96,3)</f>
        <v>45478</v>
      </c>
      <c r="F94" s="9" t="n">
        <f aca="false">SUMIFS('90_Origen_Cobros_Ledger'!$E$3:$E$96,'90_Origen_Cobros_Ledger'!$A$3:$A$96,$A94,'90_Origen_Cobros_Ledger'!$B$3:$B$96,2025,'90_Origen_Cobros_Ledger'!$C$3:$C$96,4)</f>
        <v>0</v>
      </c>
      <c r="G94" s="9" t="n">
        <f aca="false">SUMIFS('90_Origen_Cobros_Ledger'!$E$3:$E$96,'90_Origen_Cobros_Ledger'!$A$3:$A$96,$A94,'90_Origen_Cobros_Ledger'!$B$3:$B$96,2025,'90_Origen_Cobros_Ledger'!$C$3:$C$96,5)</f>
        <v>0</v>
      </c>
      <c r="H94" s="9" t="n">
        <f aca="false">SUMIFS('90_Origen_Cobros_Ledger'!$E$3:$E$96,'90_Origen_Cobros_Ledger'!$A$3:$A$96,$A94,'90_Origen_Cobros_Ledger'!$B$3:$B$96,2025,'90_Origen_Cobros_Ledger'!$C$3:$C$96,6)</f>
        <v>172507</v>
      </c>
      <c r="I94" s="9" t="n">
        <f aca="false">SUMIFS('90_Origen_Cobros_Ledger'!$E$3:$E$96,'90_Origen_Cobros_Ledger'!$A$3:$A$96,$A94,'90_Origen_Cobros_Ledger'!$B$3:$B$96,2025,'90_Origen_Cobros_Ledger'!$C$3:$C$96,7)</f>
        <v>0</v>
      </c>
      <c r="J94" s="9" t="n">
        <f aca="false">SUMIFS('90_Origen_Cobros_Ledger'!$E$3:$E$96,'90_Origen_Cobros_Ledger'!$A$3:$A$96,$A94,'90_Origen_Cobros_Ledger'!$B$3:$B$96,2025,'90_Origen_Cobros_Ledger'!$C$3:$C$96,8)</f>
        <v>99524</v>
      </c>
      <c r="K94" s="9" t="n">
        <f aca="false">SUMIFS('90_Origen_Cobros_Ledger'!$E$3:$E$96,'90_Origen_Cobros_Ledger'!$A$3:$A$96,$A94,'90_Origen_Cobros_Ledger'!$B$3:$B$96,2025,'90_Origen_Cobros_Ledger'!$C$3:$C$96,9)</f>
        <v>0</v>
      </c>
      <c r="L94" s="9" t="n">
        <f aca="false">SUMIFS('90_Origen_Cobros_Ledger'!$E$3:$E$96,'90_Origen_Cobros_Ledger'!$A$3:$A$96,$A94,'90_Origen_Cobros_Ledger'!$B$3:$B$96,2025,'90_Origen_Cobros_Ledger'!$C$3:$C$96,10)</f>
        <v>0</v>
      </c>
      <c r="M94" s="9" t="n">
        <f aca="false">SUMIFS('90_Origen_Cobros_Ledger'!$E$3:$E$96,'90_Origen_Cobros_Ledger'!$A$3:$A$96,$A94,'90_Origen_Cobros_Ledger'!$B$3:$B$96,2025,'90_Origen_Cobros_Ledger'!$C$3:$C$96,11)</f>
        <v>0</v>
      </c>
      <c r="N94" s="9" t="n">
        <f aca="false">SUMIFS('90_Origen_Cobros_Ledger'!$E$3:$E$96,'90_Origen_Cobros_Ledger'!$A$3:$A$96,$A94,'90_Origen_Cobros_Ledger'!$B$3:$B$96,2025,'90_Origen_Cobros_Ledger'!$C$3:$C$96,12)</f>
        <v>0</v>
      </c>
      <c r="O94" s="10" t="n">
        <f aca="false">SUM(C94:N94)</f>
        <v>339191</v>
      </c>
    </row>
    <row r="96" customFormat="false" ht="153.7" hidden="false" customHeight="false" outlineLevel="0" collapsed="false">
      <c r="A96" s="3" t="s">
        <v>225</v>
      </c>
    </row>
    <row r="97" customFormat="false" ht="15" hidden="false" customHeight="false" outlineLevel="0" collapsed="false">
      <c r="A97" s="7" t="s">
        <v>226</v>
      </c>
      <c r="B97" s="7" t="s">
        <v>49</v>
      </c>
      <c r="C97" s="7" t="s">
        <v>50</v>
      </c>
      <c r="D97" s="7" t="s">
        <v>51</v>
      </c>
      <c r="E97" s="7" t="s">
        <v>52</v>
      </c>
      <c r="F97" s="7" t="s">
        <v>53</v>
      </c>
      <c r="G97" s="7" t="s">
        <v>54</v>
      </c>
      <c r="H97" s="7" t="s">
        <v>55</v>
      </c>
      <c r="I97" s="7" t="s">
        <v>56</v>
      </c>
      <c r="J97" s="7" t="s">
        <v>57</v>
      </c>
      <c r="K97" s="7" t="s">
        <v>58</v>
      </c>
      <c r="L97" s="7" t="s">
        <v>59</v>
      </c>
      <c r="M97" s="7" t="s">
        <v>60</v>
      </c>
      <c r="N97" s="7" t="s">
        <v>224</v>
      </c>
    </row>
    <row r="98" customFormat="false" ht="15" hidden="false" customHeight="false" outlineLevel="0" collapsed="false">
      <c r="A98" s="8" t="s">
        <v>227</v>
      </c>
      <c r="B98" s="9" t="n">
        <f aca="false">SUMIFS('90_Origen_Devengo_2025'!$E$3:$E$86,'90_Origen_Devengo_2025'!$D$3:$D$86,$A98,'90_Origen_Devengo_2025'!$B$3:$B$86,1)</f>
        <v>669095</v>
      </c>
      <c r="C98" s="9" t="n">
        <f aca="false">SUMIFS('90_Origen_Devengo_2025'!$E$3:$E$86,'90_Origen_Devengo_2025'!$D$3:$D$86,$A98,'90_Origen_Devengo_2025'!$B$3:$B$86,2)</f>
        <v>891968.7</v>
      </c>
      <c r="D98" s="9" t="n">
        <f aca="false">SUMIFS('90_Origen_Devengo_2025'!$E$3:$E$86,'90_Origen_Devengo_2025'!$D$3:$D$86,$A98,'90_Origen_Devengo_2025'!$B$3:$B$86,3)</f>
        <v>693813.29</v>
      </c>
      <c r="E98" s="9" t="n">
        <f aca="false">SUMIFS('90_Origen_Devengo_2025'!$E$3:$E$86,'90_Origen_Devengo_2025'!$D$3:$D$86,$A98,'90_Origen_Devengo_2025'!$B$3:$B$86,4)</f>
        <v>704049.73</v>
      </c>
      <c r="F98" s="9" t="n">
        <f aca="false">SUMIFS('90_Origen_Devengo_2025'!$E$3:$E$86,'90_Origen_Devengo_2025'!$D$3:$D$86,$A98,'90_Origen_Devengo_2025'!$B$3:$B$86,5)</f>
        <v>730257</v>
      </c>
      <c r="G98" s="9" t="n">
        <f aca="false">SUMIFS('90_Origen_Devengo_2025'!$E$3:$E$86,'90_Origen_Devengo_2025'!$D$3:$D$86,$A98,'90_Origen_Devengo_2025'!$B$3:$B$86,6)</f>
        <v>1177546.59</v>
      </c>
      <c r="H98" s="9" t="n">
        <f aca="false">SUMIFS('90_Origen_Devengo_2025'!$E$3:$E$86,'90_Origen_Devengo_2025'!$D$3:$D$86,$A98,'90_Origen_Devengo_2025'!$B$3:$B$86,7)</f>
        <v>742586.85</v>
      </c>
      <c r="I98" s="9" t="n">
        <f aca="false">SUMIFS('90_Origen_Devengo_2025'!$E$3:$E$86,'90_Origen_Devengo_2025'!$D$3:$D$86,$A98,'90_Origen_Devengo_2025'!$B$3:$B$86,8)</f>
        <v>784663</v>
      </c>
      <c r="J98" s="9" t="n">
        <f aca="false">SUMIFS('90_Origen_Devengo_2025'!$E$3:$E$86,'90_Origen_Devengo_2025'!$D$3:$D$86,$A98,'90_Origen_Devengo_2025'!$B$3:$B$86,9)</f>
        <v>676238.04</v>
      </c>
      <c r="K98" s="9" t="n">
        <f aca="false">SUMIFS('90_Origen_Devengo_2025'!$E$3:$E$86,'90_Origen_Devengo_2025'!$D$3:$D$86,$A98,'90_Origen_Devengo_2025'!$B$3:$B$86,10)</f>
        <v>860166.81</v>
      </c>
      <c r="L98" s="9" t="n">
        <f aca="false">SUMIFS('90_Origen_Devengo_2025'!$E$3:$E$86,'90_Origen_Devengo_2025'!$D$3:$D$86,$A98,'90_Origen_Devengo_2025'!$B$3:$B$86,11)</f>
        <v>803242.9</v>
      </c>
      <c r="M98" s="9" t="n">
        <f aca="false">SUMIFS('90_Origen_Devengo_2025'!$E$3:$E$86,'90_Origen_Devengo_2025'!$D$3:$D$86,$A98,'90_Origen_Devengo_2025'!$B$3:$B$86,12)</f>
        <v>611272</v>
      </c>
      <c r="N98" s="10" t="n">
        <f aca="false">SUM(B98:M98)</f>
        <v>9344899.91</v>
      </c>
    </row>
    <row r="99" customFormat="false" ht="15" hidden="false" customHeight="false" outlineLevel="0" collapsed="false">
      <c r="A99" s="8" t="s">
        <v>228</v>
      </c>
      <c r="B99" s="9" t="n">
        <f aca="false">SUMIFS('90_Origen_Devengo_2025'!$E$3:$E$86,'90_Origen_Devengo_2025'!$D$3:$D$86,$A99,'90_Origen_Devengo_2025'!$B$3:$B$86,1)</f>
        <v>822535</v>
      </c>
      <c r="C99" s="9" t="n">
        <f aca="false">SUMIFS('90_Origen_Devengo_2025'!$E$3:$E$86,'90_Origen_Devengo_2025'!$D$3:$D$86,$A99,'90_Origen_Devengo_2025'!$B$3:$B$86,2)</f>
        <v>313029</v>
      </c>
      <c r="D99" s="9" t="n">
        <f aca="false">SUMIFS('90_Origen_Devengo_2025'!$E$3:$E$86,'90_Origen_Devengo_2025'!$D$3:$D$86,$A99,'90_Origen_Devengo_2025'!$B$3:$B$86,3)</f>
        <v>798159.16</v>
      </c>
      <c r="E99" s="9" t="n">
        <f aca="false">SUMIFS('90_Origen_Devengo_2025'!$E$3:$E$86,'90_Origen_Devengo_2025'!$D$3:$D$86,$A99,'90_Origen_Devengo_2025'!$B$3:$B$86,4)</f>
        <v>702127.86</v>
      </c>
      <c r="F99" s="9" t="n">
        <f aca="false">SUMIFS('90_Origen_Devengo_2025'!$E$3:$E$86,'90_Origen_Devengo_2025'!$D$3:$D$86,$A99,'90_Origen_Devengo_2025'!$B$3:$B$86,5)</f>
        <v>916262</v>
      </c>
      <c r="G99" s="9" t="n">
        <f aca="false">SUMIFS('90_Origen_Devengo_2025'!$E$3:$E$86,'90_Origen_Devengo_2025'!$D$3:$D$86,$A99,'90_Origen_Devengo_2025'!$B$3:$B$86,6)</f>
        <v>782343</v>
      </c>
      <c r="H99" s="9" t="n">
        <f aca="false">SUMIFS('90_Origen_Devengo_2025'!$E$3:$E$86,'90_Origen_Devengo_2025'!$D$3:$D$86,$A99,'90_Origen_Devengo_2025'!$B$3:$B$86,7)</f>
        <v>894861.26</v>
      </c>
      <c r="I99" s="9" t="n">
        <f aca="false">SUMIFS('90_Origen_Devengo_2025'!$E$3:$E$86,'90_Origen_Devengo_2025'!$D$3:$D$86,$A99,'90_Origen_Devengo_2025'!$B$3:$B$86,8)</f>
        <v>1334014.59</v>
      </c>
      <c r="J99" s="9" t="n">
        <f aca="false">SUMIFS('90_Origen_Devengo_2025'!$E$3:$E$86,'90_Origen_Devengo_2025'!$D$3:$D$86,$A99,'90_Origen_Devengo_2025'!$B$3:$B$86,9)</f>
        <v>726924.49</v>
      </c>
      <c r="K99" s="9" t="n">
        <f aca="false">SUMIFS('90_Origen_Devengo_2025'!$E$3:$E$86,'90_Origen_Devengo_2025'!$D$3:$D$86,$A99,'90_Origen_Devengo_2025'!$B$3:$B$86,10)</f>
        <v>884482</v>
      </c>
      <c r="L99" s="9" t="n">
        <f aca="false">SUMIFS('90_Origen_Devengo_2025'!$E$3:$E$86,'90_Origen_Devengo_2025'!$D$3:$D$86,$A99,'90_Origen_Devengo_2025'!$B$3:$B$86,11)</f>
        <v>735770.82</v>
      </c>
      <c r="M99" s="9" t="n">
        <f aca="false">SUMIFS('90_Origen_Devengo_2025'!$E$3:$E$86,'90_Origen_Devengo_2025'!$D$3:$D$86,$A99,'90_Origen_Devengo_2025'!$B$3:$B$86,12)</f>
        <v>886419.68</v>
      </c>
      <c r="N99" s="10" t="n">
        <f aca="false">SUM(B99:M99)</f>
        <v>9796928.86</v>
      </c>
    </row>
    <row r="100" customFormat="false" ht="15" hidden="false" customHeight="false" outlineLevel="0" collapsed="false">
      <c r="A100" s="8" t="s">
        <v>221</v>
      </c>
      <c r="B100" s="9" t="n">
        <f aca="false">SUMIFS('90_Origen_Devengo_2025'!$E$3:$E$86,'90_Origen_Devengo_2025'!$D$3:$D$86,$A100,'90_Origen_Devengo_2025'!$B$3:$B$86,1)</f>
        <v>717165.73</v>
      </c>
      <c r="C100" s="9" t="n">
        <f aca="false">SUMIFS('90_Origen_Devengo_2025'!$E$3:$E$86,'90_Origen_Devengo_2025'!$D$3:$D$86,$A100,'90_Origen_Devengo_2025'!$B$3:$B$86,2)</f>
        <v>934594.83</v>
      </c>
      <c r="D100" s="9" t="n">
        <f aca="false">SUMIFS('90_Origen_Devengo_2025'!$E$3:$E$86,'90_Origen_Devengo_2025'!$D$3:$D$86,$A100,'90_Origen_Devengo_2025'!$B$3:$B$86,3)</f>
        <v>778430.46</v>
      </c>
      <c r="E100" s="9" t="n">
        <f aca="false">SUMIFS('90_Origen_Devengo_2025'!$E$3:$E$86,'90_Origen_Devengo_2025'!$D$3:$D$86,$A100,'90_Origen_Devengo_2025'!$B$3:$B$86,4)</f>
        <v>613921.18</v>
      </c>
      <c r="F100" s="9" t="n">
        <f aca="false">SUMIFS('90_Origen_Devengo_2025'!$E$3:$E$86,'90_Origen_Devengo_2025'!$D$3:$D$86,$A100,'90_Origen_Devengo_2025'!$B$3:$B$86,5)</f>
        <v>647405.08</v>
      </c>
      <c r="G100" s="9" t="n">
        <f aca="false">SUMIFS('90_Origen_Devengo_2025'!$E$3:$E$86,'90_Origen_Devengo_2025'!$D$3:$D$86,$A100,'90_Origen_Devengo_2025'!$B$3:$B$86,6)</f>
        <v>807411.07</v>
      </c>
      <c r="H100" s="9" t="n">
        <f aca="false">SUMIFS('90_Origen_Devengo_2025'!$E$3:$E$86,'90_Origen_Devengo_2025'!$D$3:$D$86,$A100,'90_Origen_Devengo_2025'!$B$3:$B$86,7)</f>
        <v>774989.75</v>
      </c>
      <c r="I100" s="9" t="n">
        <f aca="false">SUMIFS('90_Origen_Devengo_2025'!$E$3:$E$86,'90_Origen_Devengo_2025'!$D$3:$D$86,$A100,'90_Origen_Devengo_2025'!$B$3:$B$86,8)</f>
        <v>1032231.74</v>
      </c>
      <c r="J100" s="9" t="n">
        <f aca="false">SUMIFS('90_Origen_Devengo_2025'!$E$3:$E$86,'90_Origen_Devengo_2025'!$D$3:$D$86,$A100,'90_Origen_Devengo_2025'!$B$3:$B$86,9)</f>
        <v>620646.05</v>
      </c>
      <c r="K100" s="9" t="n">
        <f aca="false">SUMIFS('90_Origen_Devengo_2025'!$E$3:$E$86,'90_Origen_Devengo_2025'!$D$3:$D$86,$A100,'90_Origen_Devengo_2025'!$B$3:$B$86,10)</f>
        <v>793777.46</v>
      </c>
      <c r="L100" s="9" t="n">
        <f aca="false">SUMIFS('90_Origen_Devengo_2025'!$E$3:$E$86,'90_Origen_Devengo_2025'!$D$3:$D$86,$A100,'90_Origen_Devengo_2025'!$B$3:$B$86,11)</f>
        <v>584501.93</v>
      </c>
      <c r="M100" s="9" t="n">
        <f aca="false">SUMIFS('90_Origen_Devengo_2025'!$E$3:$E$86,'90_Origen_Devengo_2025'!$D$3:$D$86,$A100,'90_Origen_Devengo_2025'!$B$3:$B$86,12)</f>
        <v>845541.06</v>
      </c>
      <c r="N100" s="10" t="n">
        <f aca="false">SUM(B100:M100)</f>
        <v>9150616.34</v>
      </c>
    </row>
    <row r="101" customFormat="false" ht="15" hidden="false" customHeight="false" outlineLevel="0" collapsed="false">
      <c r="A101" s="8" t="s">
        <v>229</v>
      </c>
      <c r="B101" s="9" t="n">
        <f aca="false">SUMIFS('90_Origen_Devengo_2025'!$E$3:$E$86,'90_Origen_Devengo_2025'!$D$3:$D$86,$A101,'90_Origen_Devengo_2025'!$B$3:$B$86,1)</f>
        <v>502981.61</v>
      </c>
      <c r="C101" s="9" t="n">
        <f aca="false">SUMIFS('90_Origen_Devengo_2025'!$E$3:$E$86,'90_Origen_Devengo_2025'!$D$3:$D$86,$A101,'90_Origen_Devengo_2025'!$B$3:$B$86,2)</f>
        <v>509774</v>
      </c>
      <c r="D101" s="9" t="n">
        <f aca="false">SUMIFS('90_Origen_Devengo_2025'!$E$3:$E$86,'90_Origen_Devengo_2025'!$D$3:$D$86,$A101,'90_Origen_Devengo_2025'!$B$3:$B$86,3)</f>
        <v>535881.32</v>
      </c>
      <c r="E101" s="9" t="n">
        <f aca="false">SUMIFS('90_Origen_Devengo_2025'!$E$3:$E$86,'90_Origen_Devengo_2025'!$D$3:$D$86,$A101,'90_Origen_Devengo_2025'!$B$3:$B$86,4)</f>
        <v>549836.71</v>
      </c>
      <c r="F101" s="9" t="n">
        <f aca="false">SUMIFS('90_Origen_Devengo_2025'!$E$3:$E$86,'90_Origen_Devengo_2025'!$D$3:$D$86,$A101,'90_Origen_Devengo_2025'!$B$3:$B$86,5)</f>
        <v>550671.96</v>
      </c>
      <c r="G101" s="9" t="n">
        <f aca="false">SUMIFS('90_Origen_Devengo_2025'!$E$3:$E$86,'90_Origen_Devengo_2025'!$D$3:$D$86,$A101,'90_Origen_Devengo_2025'!$B$3:$B$86,6)</f>
        <v>638751.26</v>
      </c>
      <c r="H101" s="9" t="n">
        <f aca="false">SUMIFS('90_Origen_Devengo_2025'!$E$3:$E$86,'90_Origen_Devengo_2025'!$D$3:$D$86,$A101,'90_Origen_Devengo_2025'!$B$3:$B$86,7)</f>
        <v>597911.54</v>
      </c>
      <c r="I101" s="9" t="n">
        <f aca="false">SUMIFS('90_Origen_Devengo_2025'!$E$3:$E$86,'90_Origen_Devengo_2025'!$D$3:$D$86,$A101,'90_Origen_Devengo_2025'!$B$3:$B$86,8)</f>
        <v>664684.84</v>
      </c>
      <c r="J101" s="9" t="n">
        <f aca="false">SUMIFS('90_Origen_Devengo_2025'!$E$3:$E$86,'90_Origen_Devengo_2025'!$D$3:$D$86,$A101,'90_Origen_Devengo_2025'!$B$3:$B$86,9)</f>
        <v>642343.95</v>
      </c>
      <c r="K101" s="9" t="n">
        <f aca="false">SUMIFS('90_Origen_Devengo_2025'!$E$3:$E$86,'90_Origen_Devengo_2025'!$D$3:$D$86,$A101,'90_Origen_Devengo_2025'!$B$3:$B$86,10)</f>
        <v>659040.33</v>
      </c>
      <c r="L101" s="9" t="n">
        <f aca="false">SUMIFS('90_Origen_Devengo_2025'!$E$3:$E$86,'90_Origen_Devengo_2025'!$D$3:$D$86,$A101,'90_Origen_Devengo_2025'!$B$3:$B$86,11)</f>
        <v>623303.99</v>
      </c>
      <c r="M101" s="9" t="n">
        <f aca="false">SUMIFS('90_Origen_Devengo_2025'!$E$3:$E$86,'90_Origen_Devengo_2025'!$D$3:$D$86,$A101,'90_Origen_Devengo_2025'!$B$3:$B$86,12)</f>
        <v>959542.97</v>
      </c>
      <c r="N101" s="10" t="n">
        <f aca="false">SUM(B101:M101)</f>
        <v>7434724.48</v>
      </c>
    </row>
    <row r="102" customFormat="false" ht="15" hidden="false" customHeight="false" outlineLevel="0" collapsed="false">
      <c r="A102" s="8" t="s">
        <v>230</v>
      </c>
      <c r="B102" s="9" t="n">
        <f aca="false">SUMIFS('90_Origen_Devengo_2025'!$E$3:$E$86,'90_Origen_Devengo_2025'!$D$3:$D$86,$A102,'90_Origen_Devengo_2025'!$B$3:$B$86,1)</f>
        <v>214184.13</v>
      </c>
      <c r="C102" s="9" t="n">
        <f aca="false">SUMIFS('90_Origen_Devengo_2025'!$E$3:$E$86,'90_Origen_Devengo_2025'!$D$3:$D$86,$A102,'90_Origen_Devengo_2025'!$B$3:$B$86,2)</f>
        <v>424820.83</v>
      </c>
      <c r="D102" s="9" t="n">
        <f aca="false">SUMIFS('90_Origen_Devengo_2025'!$E$3:$E$86,'90_Origen_Devengo_2025'!$D$3:$D$86,$A102,'90_Origen_Devengo_2025'!$B$3:$B$86,3)</f>
        <v>242549.14</v>
      </c>
      <c r="E102" s="9" t="n">
        <f aca="false">SUMIFS('90_Origen_Devengo_2025'!$E$3:$E$86,'90_Origen_Devengo_2025'!$D$3:$D$86,$A102,'90_Origen_Devengo_2025'!$B$3:$B$86,4)</f>
        <v>64084.47</v>
      </c>
      <c r="F102" s="9" t="n">
        <f aca="false">SUMIFS('90_Origen_Devengo_2025'!$E$3:$E$86,'90_Origen_Devengo_2025'!$D$3:$D$86,$A102,'90_Origen_Devengo_2025'!$B$3:$B$86,5)</f>
        <v>96733.13</v>
      </c>
      <c r="G102" s="9" t="n">
        <f aca="false">SUMIFS('90_Origen_Devengo_2025'!$E$3:$E$86,'90_Origen_Devengo_2025'!$D$3:$D$86,$A102,'90_Origen_Devengo_2025'!$B$3:$B$86,6)</f>
        <v>168659.81</v>
      </c>
      <c r="H102" s="9" t="n">
        <f aca="false">SUMIFS('90_Origen_Devengo_2025'!$E$3:$E$86,'90_Origen_Devengo_2025'!$D$3:$D$86,$A102,'90_Origen_Devengo_2025'!$B$3:$B$86,7)</f>
        <v>177078.21</v>
      </c>
      <c r="I102" s="9" t="n">
        <f aca="false">SUMIFS('90_Origen_Devengo_2025'!$E$3:$E$86,'90_Origen_Devengo_2025'!$D$3:$D$86,$A102,'90_Origen_Devengo_2025'!$B$3:$B$86,8)</f>
        <v>367546.9</v>
      </c>
      <c r="J102" s="9" t="n">
        <f aca="false">SUMIFS('90_Origen_Devengo_2025'!$E$3:$E$86,'90_Origen_Devengo_2025'!$D$3:$D$86,$A102,'90_Origen_Devengo_2025'!$B$3:$B$86,9)</f>
        <v>-21697.9</v>
      </c>
      <c r="K102" s="9" t="n">
        <f aca="false">SUMIFS('90_Origen_Devengo_2025'!$E$3:$E$86,'90_Origen_Devengo_2025'!$D$3:$D$86,$A102,'90_Origen_Devengo_2025'!$B$3:$B$86,10)</f>
        <v>134737.13</v>
      </c>
      <c r="L102" s="9" t="n">
        <f aca="false">SUMIFS('90_Origen_Devengo_2025'!$E$3:$E$86,'90_Origen_Devengo_2025'!$D$3:$D$86,$A102,'90_Origen_Devengo_2025'!$B$3:$B$86,11)</f>
        <v>-38802.07</v>
      </c>
      <c r="M102" s="9" t="n">
        <f aca="false">SUMIFS('90_Origen_Devengo_2025'!$E$3:$E$86,'90_Origen_Devengo_2025'!$D$3:$D$86,$A102,'90_Origen_Devengo_2025'!$B$3:$B$86,12)</f>
        <v>-114001.91</v>
      </c>
      <c r="N102" s="10" t="n">
        <f aca="false">SUM(B102:M102)</f>
        <v>1715891.87</v>
      </c>
    </row>
    <row r="104" customFormat="false" ht="242.5" hidden="false" customHeight="false" outlineLevel="0" collapsed="false">
      <c r="A104" s="3" t="s">
        <v>231</v>
      </c>
    </row>
    <row r="105" customFormat="false" ht="23.85" hidden="false" customHeight="false" outlineLevel="0" collapsed="false">
      <c r="A105" s="7" t="s">
        <v>232</v>
      </c>
      <c r="B105" s="7" t="s">
        <v>49</v>
      </c>
      <c r="C105" s="7" t="s">
        <v>50</v>
      </c>
      <c r="D105" s="7" t="s">
        <v>51</v>
      </c>
      <c r="E105" s="7" t="s">
        <v>52</v>
      </c>
      <c r="F105" s="7" t="s">
        <v>53</v>
      </c>
      <c r="G105" s="7" t="s">
        <v>54</v>
      </c>
      <c r="H105" s="7" t="s">
        <v>55</v>
      </c>
      <c r="I105" s="7" t="s">
        <v>56</v>
      </c>
      <c r="J105" s="7" t="s">
        <v>57</v>
      </c>
      <c r="K105" s="7" t="s">
        <v>58</v>
      </c>
      <c r="L105" s="7" t="s">
        <v>59</v>
      </c>
      <c r="M105" s="7" t="s">
        <v>60</v>
      </c>
      <c r="N105" s="7" t="s">
        <v>224</v>
      </c>
    </row>
    <row r="106" customFormat="false" ht="15" hidden="false" customHeight="false" outlineLevel="0" collapsed="false">
      <c r="A106" s="8" t="s">
        <v>221</v>
      </c>
      <c r="B106" s="9" t="n">
        <f aca="false">SUMIFS('90_Origen_PL2024'!$E$3:$E$38,'90_Origen_PL2024'!$D$3:$D$38,$A106,'90_Origen_PL2024'!$B$3:$B$38,1)</f>
        <v>782472.65</v>
      </c>
      <c r="C106" s="9" t="n">
        <f aca="false">SUMIFS('90_Origen_PL2024'!$E$3:$E$38,'90_Origen_PL2024'!$D$3:$D$38,$A106,'90_Origen_PL2024'!$B$3:$B$38,2)</f>
        <v>579083.73</v>
      </c>
      <c r="D106" s="9" t="n">
        <f aca="false">SUMIFS('90_Origen_PL2024'!$E$3:$E$38,'90_Origen_PL2024'!$D$3:$D$38,$A106,'90_Origen_PL2024'!$B$3:$B$38,3)</f>
        <v>663711.77</v>
      </c>
      <c r="E106" s="9" t="n">
        <f aca="false">SUMIFS('90_Origen_PL2024'!$E$3:$E$38,'90_Origen_PL2024'!$D$3:$D$38,$A106,'90_Origen_PL2024'!$B$3:$B$38,4)</f>
        <v>492664.2</v>
      </c>
      <c r="F106" s="9" t="n">
        <f aca="false">SUMIFS('90_Origen_PL2024'!$E$3:$E$38,'90_Origen_PL2024'!$D$3:$D$38,$A106,'90_Origen_PL2024'!$B$3:$B$38,5)</f>
        <v>817072</v>
      </c>
      <c r="G106" s="9" t="n">
        <f aca="false">SUMIFS('90_Origen_PL2024'!$E$3:$E$38,'90_Origen_PL2024'!$D$3:$D$38,$A106,'90_Origen_PL2024'!$B$3:$B$38,6)</f>
        <v>398011</v>
      </c>
      <c r="H106" s="9" t="n">
        <f aca="false">SUMIFS('90_Origen_PL2024'!$E$3:$E$38,'90_Origen_PL2024'!$D$3:$D$38,$A106,'90_Origen_PL2024'!$B$3:$B$38,7)</f>
        <v>464298.77</v>
      </c>
      <c r="I106" s="9" t="n">
        <f aca="false">SUMIFS('90_Origen_PL2024'!$E$3:$E$38,'90_Origen_PL2024'!$D$3:$D$38,$A106,'90_Origen_PL2024'!$B$3:$B$38,8)</f>
        <v>672285.96</v>
      </c>
      <c r="J106" s="9" t="n">
        <f aca="false">SUMIFS('90_Origen_PL2024'!$E$3:$E$38,'90_Origen_PL2024'!$D$3:$D$38,$A106,'90_Origen_PL2024'!$B$3:$B$38,9)</f>
        <v>1311681</v>
      </c>
      <c r="K106" s="9" t="n">
        <f aca="false">SUMIFS('90_Origen_PL2024'!$E$3:$E$38,'90_Origen_PL2024'!$D$3:$D$38,$A106,'90_Origen_PL2024'!$B$3:$B$38,10)</f>
        <v>1003565.09</v>
      </c>
      <c r="L106" s="9" t="n">
        <f aca="false">SUMIFS('90_Origen_PL2024'!$E$3:$E$38,'90_Origen_PL2024'!$D$3:$D$38,$A106,'90_Origen_PL2024'!$B$3:$B$38,11)</f>
        <v>614740</v>
      </c>
      <c r="M106" s="9" t="n">
        <f aca="false">SUMIFS('90_Origen_PL2024'!$E$3:$E$38,'90_Origen_PL2024'!$D$3:$D$38,$A106,'90_Origen_PL2024'!$B$3:$B$38,12)</f>
        <v>475262</v>
      </c>
      <c r="N106" s="10" t="n">
        <f aca="false">SUM(B106:M106)</f>
        <v>8274848.17</v>
      </c>
    </row>
    <row r="107" customFormat="false" ht="15" hidden="false" customHeight="false" outlineLevel="0" collapsed="false">
      <c r="A107" s="8" t="s">
        <v>233</v>
      </c>
      <c r="B107" s="9" t="n">
        <f aca="false">SUMIFS('90_Origen_PL2024'!$E$3:$E$38,'90_Origen_PL2024'!$D$3:$D$38,$A107,'90_Origen_PL2024'!$B$3:$B$38,1)</f>
        <v>688030.16</v>
      </c>
      <c r="C107" s="9" t="n">
        <f aca="false">SUMIFS('90_Origen_PL2024'!$E$3:$E$38,'90_Origen_PL2024'!$D$3:$D$38,$A107,'90_Origen_PL2024'!$B$3:$B$38,2)</f>
        <v>472255.04</v>
      </c>
      <c r="D107" s="9" t="n">
        <f aca="false">SUMIFS('90_Origen_PL2024'!$E$3:$E$38,'90_Origen_PL2024'!$D$3:$D$38,$A107,'90_Origen_PL2024'!$B$3:$B$38,3)</f>
        <v>437957.9</v>
      </c>
      <c r="E107" s="9" t="n">
        <f aca="false">SUMIFS('90_Origen_PL2024'!$E$3:$E$38,'90_Origen_PL2024'!$D$3:$D$38,$A107,'90_Origen_PL2024'!$B$3:$B$38,4)</f>
        <v>351009.4</v>
      </c>
      <c r="F107" s="9" t="n">
        <f aca="false">SUMIFS('90_Origen_PL2024'!$E$3:$E$38,'90_Origen_PL2024'!$D$3:$D$38,$A107,'90_Origen_PL2024'!$B$3:$B$38,5)</f>
        <v>522763.43</v>
      </c>
      <c r="G107" s="9" t="n">
        <f aca="false">SUMIFS('90_Origen_PL2024'!$E$3:$E$38,'90_Origen_PL2024'!$D$3:$D$38,$A107,'90_Origen_PL2024'!$B$3:$B$38,6)</f>
        <v>394836.49</v>
      </c>
      <c r="H107" s="9" t="n">
        <f aca="false">SUMIFS('90_Origen_PL2024'!$E$3:$E$38,'90_Origen_PL2024'!$D$3:$D$38,$A107,'90_Origen_PL2024'!$B$3:$B$38,7)</f>
        <v>526620.49</v>
      </c>
      <c r="I107" s="9" t="n">
        <f aca="false">SUMIFS('90_Origen_PL2024'!$E$3:$E$38,'90_Origen_PL2024'!$D$3:$D$38,$A107,'90_Origen_PL2024'!$B$3:$B$38,8)</f>
        <v>538310.08</v>
      </c>
      <c r="J107" s="9" t="n">
        <f aca="false">SUMIFS('90_Origen_PL2024'!$E$3:$E$38,'90_Origen_PL2024'!$D$3:$D$38,$A107,'90_Origen_PL2024'!$B$3:$B$38,9)</f>
        <v>383777.24</v>
      </c>
      <c r="K107" s="9" t="n">
        <f aca="false">SUMIFS('90_Origen_PL2024'!$E$3:$E$38,'90_Origen_PL2024'!$D$3:$D$38,$A107,'90_Origen_PL2024'!$B$3:$B$38,10)</f>
        <v>519012.89</v>
      </c>
      <c r="L107" s="9" t="n">
        <f aca="false">SUMIFS('90_Origen_PL2024'!$E$3:$E$38,'90_Origen_PL2024'!$D$3:$D$38,$A107,'90_Origen_PL2024'!$B$3:$B$38,11)</f>
        <v>452203.54</v>
      </c>
      <c r="M107" s="9" t="n">
        <f aca="false">SUMIFS('90_Origen_PL2024'!$E$3:$E$38,'90_Origen_PL2024'!$D$3:$D$38,$A107,'90_Origen_PL2024'!$B$3:$B$38,12)</f>
        <v>681066.38</v>
      </c>
      <c r="N107" s="10" t="n">
        <f aca="false">SUM(B107:M107)</f>
        <v>5967843.04</v>
      </c>
    </row>
    <row r="108" customFormat="false" ht="15" hidden="false" customHeight="false" outlineLevel="0" collapsed="false">
      <c r="A108" s="8" t="s">
        <v>230</v>
      </c>
      <c r="B108" s="9" t="n">
        <f aca="false">SUMIFS('90_Origen_PL2024'!$E$3:$E$38,'90_Origen_PL2024'!$D$3:$D$38,"Ingresos",'90_Origen_PL2024'!$B$3:$B$38,1)-SUMIFS('90_Origen_PL2024'!$E$3:$E$38,'90_Origen_PL2024'!$D$3:$D$38,"Gastos",'90_Origen_PL2024'!$B$3:$B$38,1)</f>
        <v>94442.49</v>
      </c>
      <c r="C108" s="9" t="n">
        <f aca="false">SUMIFS('90_Origen_PL2024'!$E$3:$E$38,'90_Origen_PL2024'!$D$3:$D$38,"Ingresos",'90_Origen_PL2024'!$B$3:$B$38,2)-SUMIFS('90_Origen_PL2024'!$E$3:$E$38,'90_Origen_PL2024'!$D$3:$D$38,"Gastos",'90_Origen_PL2024'!$B$3:$B$38,2)</f>
        <v>106828.69</v>
      </c>
      <c r="D108" s="9" t="n">
        <f aca="false">SUMIFS('90_Origen_PL2024'!$E$3:$E$38,'90_Origen_PL2024'!$D$3:$D$38,"Ingresos",'90_Origen_PL2024'!$B$3:$B$38,3)-SUMIFS('90_Origen_PL2024'!$E$3:$E$38,'90_Origen_PL2024'!$D$3:$D$38,"Gastos",'90_Origen_PL2024'!$B$3:$B$38,3)</f>
        <v>225753.87</v>
      </c>
      <c r="E108" s="9" t="n">
        <f aca="false">SUMIFS('90_Origen_PL2024'!$E$3:$E$38,'90_Origen_PL2024'!$D$3:$D$38,"Ingresos",'90_Origen_PL2024'!$B$3:$B$38,4)-SUMIFS('90_Origen_PL2024'!$E$3:$E$38,'90_Origen_PL2024'!$D$3:$D$38,"Gastos",'90_Origen_PL2024'!$B$3:$B$38,4)</f>
        <v>141654.8</v>
      </c>
      <c r="F108" s="9" t="n">
        <f aca="false">SUMIFS('90_Origen_PL2024'!$E$3:$E$38,'90_Origen_PL2024'!$D$3:$D$38,"Ingresos",'90_Origen_PL2024'!$B$3:$B$38,5)-SUMIFS('90_Origen_PL2024'!$E$3:$E$38,'90_Origen_PL2024'!$D$3:$D$38,"Gastos",'90_Origen_PL2024'!$B$3:$B$38,5)</f>
        <v>294308.57</v>
      </c>
      <c r="G108" s="9" t="n">
        <f aca="false">SUMIFS('90_Origen_PL2024'!$E$3:$E$38,'90_Origen_PL2024'!$D$3:$D$38,"Ingresos",'90_Origen_PL2024'!$B$3:$B$38,6)-SUMIFS('90_Origen_PL2024'!$E$3:$E$38,'90_Origen_PL2024'!$D$3:$D$38,"Gastos",'90_Origen_PL2024'!$B$3:$B$38,6)</f>
        <v>3174.51000000001</v>
      </c>
      <c r="H108" s="9" t="n">
        <f aca="false">SUMIFS('90_Origen_PL2024'!$E$3:$E$38,'90_Origen_PL2024'!$D$3:$D$38,"Ingresos",'90_Origen_PL2024'!$B$3:$B$38,7)-SUMIFS('90_Origen_PL2024'!$E$3:$E$38,'90_Origen_PL2024'!$D$3:$D$38,"Gastos",'90_Origen_PL2024'!$B$3:$B$38,7)</f>
        <v>-62321.72</v>
      </c>
      <c r="I108" s="9" t="n">
        <f aca="false">SUMIFS('90_Origen_PL2024'!$E$3:$E$38,'90_Origen_PL2024'!$D$3:$D$38,"Ingresos",'90_Origen_PL2024'!$B$3:$B$38,8)-SUMIFS('90_Origen_PL2024'!$E$3:$E$38,'90_Origen_PL2024'!$D$3:$D$38,"Gastos",'90_Origen_PL2024'!$B$3:$B$38,8)</f>
        <v>133975.88</v>
      </c>
      <c r="J108" s="9" t="n">
        <f aca="false">SUMIFS('90_Origen_PL2024'!$E$3:$E$38,'90_Origen_PL2024'!$D$3:$D$38,"Ingresos",'90_Origen_PL2024'!$B$3:$B$38,9)-SUMIFS('90_Origen_PL2024'!$E$3:$E$38,'90_Origen_PL2024'!$D$3:$D$38,"Gastos",'90_Origen_PL2024'!$B$3:$B$38,9)</f>
        <v>927903.76</v>
      </c>
      <c r="K108" s="9" t="n">
        <f aca="false">SUMIFS('90_Origen_PL2024'!$E$3:$E$38,'90_Origen_PL2024'!$D$3:$D$38,"Ingresos",'90_Origen_PL2024'!$B$3:$B$38,10)-SUMIFS('90_Origen_PL2024'!$E$3:$E$38,'90_Origen_PL2024'!$D$3:$D$38,"Gastos",'90_Origen_PL2024'!$B$3:$B$38,10)</f>
        <v>484552.2</v>
      </c>
      <c r="L108" s="9" t="n">
        <f aca="false">SUMIFS('90_Origen_PL2024'!$E$3:$E$38,'90_Origen_PL2024'!$D$3:$D$38,"Ingresos",'90_Origen_PL2024'!$B$3:$B$38,11)-SUMIFS('90_Origen_PL2024'!$E$3:$E$38,'90_Origen_PL2024'!$D$3:$D$38,"Gastos",'90_Origen_PL2024'!$B$3:$B$38,11)</f>
        <v>162536.46</v>
      </c>
      <c r="M108" s="9" t="n">
        <f aca="false">SUMIFS('90_Origen_PL2024'!$E$3:$E$38,'90_Origen_PL2024'!$D$3:$D$38,"Ingresos",'90_Origen_PL2024'!$B$3:$B$38,12)-SUMIFS('90_Origen_PL2024'!$E$3:$E$38,'90_Origen_PL2024'!$D$3:$D$38,"Gastos",'90_Origen_PL2024'!$B$3:$B$38,12)</f>
        <v>-205804.38</v>
      </c>
      <c r="N108" s="10" t="n">
        <f aca="false">SUM(B108:M108)</f>
        <v>2307005.13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24"/>
    <col collapsed="false" customWidth="true" hidden="false" outlineLevel="0" max="3" min="3" style="0" width="30"/>
    <col collapsed="false" customWidth="true" hidden="false" outlineLevel="0" max="4" min="4" style="0" width="14"/>
    <col collapsed="false" customWidth="true" hidden="false" outlineLevel="0" max="5" min="5" style="0" width="13"/>
    <col collapsed="false" customWidth="true" hidden="false" outlineLevel="0" max="7" min="6" style="0" width="16"/>
    <col collapsed="false" customWidth="true" hidden="false" outlineLevel="0" max="8" min="8" style="0" width="15"/>
  </cols>
  <sheetData>
    <row r="1" customFormat="false" ht="25.5" hidden="false" customHeight="true" outlineLevel="0" collapsed="false">
      <c r="A1" s="33" t="s">
        <v>234</v>
      </c>
      <c r="B1" s="33"/>
      <c r="C1" s="33"/>
      <c r="D1" s="33"/>
      <c r="E1" s="33"/>
      <c r="F1" s="33"/>
      <c r="G1" s="33"/>
      <c r="H1" s="33"/>
      <c r="I1" s="33"/>
      <c r="J1" s="33"/>
      <c r="K1" s="33"/>
      <c r="L1" s="33"/>
      <c r="M1" s="33"/>
    </row>
    <row r="2" customFormat="false" ht="39.75" hidden="false" customHeight="true" outlineLevel="0" collapsed="false">
      <c r="A2" s="34" t="s">
        <v>235</v>
      </c>
      <c r="B2" s="34"/>
      <c r="C2" s="34"/>
      <c r="D2" s="34"/>
      <c r="E2" s="34"/>
      <c r="F2" s="34"/>
      <c r="G2" s="34"/>
      <c r="H2" s="34"/>
      <c r="I2" s="34"/>
      <c r="J2" s="34"/>
      <c r="K2" s="34"/>
      <c r="L2" s="34"/>
      <c r="M2" s="34"/>
    </row>
    <row r="4" customFormat="false" ht="102.95" hidden="false" customHeight="false" outlineLevel="0" collapsed="false">
      <c r="A4" s="3" t="s">
        <v>236</v>
      </c>
    </row>
    <row r="5" customFormat="false" ht="23.85" hidden="false" customHeight="false" outlineLevel="0" collapsed="false">
      <c r="A5" s="7" t="s">
        <v>237</v>
      </c>
      <c r="B5" s="7" t="s">
        <v>238</v>
      </c>
      <c r="C5" s="7" t="s">
        <v>239</v>
      </c>
      <c r="D5" s="7" t="s">
        <v>240</v>
      </c>
      <c r="E5" s="7" t="s">
        <v>241</v>
      </c>
      <c r="F5" s="7" t="s">
        <v>242</v>
      </c>
      <c r="G5" s="7" t="s">
        <v>243</v>
      </c>
      <c r="H5" s="7" t="s">
        <v>244</v>
      </c>
    </row>
    <row r="6" customFormat="false" ht="15" hidden="false" customHeight="false" outlineLevel="0" collapsed="false">
      <c r="A6" s="8" t="s">
        <v>245</v>
      </c>
      <c r="B6" s="17" t="str">
        <f aca="false">VLOOKUP($A6,'91_Puente_Identidad'!$A$3:$M$51,6,FALSE())</f>
        <v>Ingeniero Estructural</v>
      </c>
      <c r="C6" s="8" t="s">
        <v>246</v>
      </c>
      <c r="D6" s="17" t="str">
        <f aca="false">IFERROR(VLOOKUP($C6,'90_Origen_EDP_Dic25'!$A$3:$C$26,2,FALSE()),"Sin país")</f>
        <v>Rusia</v>
      </c>
      <c r="E6" s="35" t="n">
        <f aca="false">SUMIFS('90_Origen_HH_Real_Dic25'!$C$3:$C$96,'90_Origen_HH_Real_Dic25'!$A$3:$A$96,$A6,'90_Origen_HH_Real_Dic25'!$B$3:$B$96,$C6)</f>
        <v>195</v>
      </c>
      <c r="F6" s="10" t="n">
        <f aca="false">IF(SUMIFS('90_Origen_HH_Real_Dic25'!$C$3:$C$96,'90_Origen_HH_Real_Dic25'!$A$3:$A$96,$A6)=0,0,VLOOKUP($A6,'91_Puente_Identidad'!$A$3:$I$51,9,FALSE())*E6/SUMIFS('90_Origen_HH_Real_Dic25'!$C$3:$C$96,'90_Origen_HH_Real_Dic25'!$A$3:$A$96,$A6))</f>
        <v>1487.94</v>
      </c>
      <c r="G6" s="10" t="n">
        <f aca="false">IF(SUMIFS('90_Origen_HH_Real_Dic25'!$C$3:$C$96,'90_Origen_HH_Real_Dic25'!$B$3:$B$96,$C6)=0,0,SUMIFS('90_Origen_EDP_Dic25'!$D$3:$D$26,'90_Origen_EDP_Dic25'!$A$3:$A$26,$C6)*E6/SUMIFS('90_Origen_HH_Real_Dic25'!$C$3:$C$96,'90_Origen_HH_Real_Dic25'!$B$3:$B$96,$C6))</f>
        <v>0</v>
      </c>
      <c r="H6" s="10" t="n">
        <f aca="false">G6-F6</f>
        <v>-1487.94</v>
      </c>
    </row>
    <row r="7" customFormat="false" ht="15" hidden="false" customHeight="false" outlineLevel="0" collapsed="false">
      <c r="A7" s="8" t="s">
        <v>247</v>
      </c>
      <c r="B7" s="17" t="str">
        <f aca="false">VLOOKUP($A7,'91_Puente_Identidad'!$A$3:$M$51,6,FALSE())</f>
        <v>Ingeniero de Proyectos</v>
      </c>
      <c r="C7" s="8" t="s">
        <v>248</v>
      </c>
      <c r="D7" s="17" t="str">
        <f aca="false">IFERROR(VLOOKUP($C7,'90_Origen_EDP_Dic25'!$A$3:$C$26,2,FALSE()),"Sin país")</f>
        <v>Brasil</v>
      </c>
      <c r="E7" s="35" t="n">
        <f aca="false">SUMIFS('90_Origen_HH_Real_Dic25'!$C$3:$C$96,'90_Origen_HH_Real_Dic25'!$A$3:$A$96,$A7,'90_Origen_HH_Real_Dic25'!$B$3:$B$96,$C7)</f>
        <v>159</v>
      </c>
      <c r="F7" s="10" t="n">
        <f aca="false">IF(SUMIFS('90_Origen_HH_Real_Dic25'!$C$3:$C$96,'90_Origen_HH_Real_Dic25'!$A$3:$A$96,$A7)=0,0,VLOOKUP($A7,'91_Puente_Identidad'!$A$3:$I$51,9,FALSE())*E7/SUMIFS('90_Origen_HH_Real_Dic25'!$C$3:$C$96,'90_Origen_HH_Real_Dic25'!$A$3:$A$96,$A7))</f>
        <v>1949.99</v>
      </c>
      <c r="G7" s="10" t="n">
        <f aca="false">IF(SUMIFS('90_Origen_HH_Real_Dic25'!$C$3:$C$96,'90_Origen_HH_Real_Dic25'!$B$3:$B$96,$C7)=0,0,SUMIFS('90_Origen_EDP_Dic25'!$D$3:$D$26,'90_Origen_EDP_Dic25'!$A$3:$A$26,$C7)*E7/SUMIFS('90_Origen_HH_Real_Dic25'!$C$3:$C$96,'90_Origen_HH_Real_Dic25'!$B$3:$B$96,$C7))</f>
        <v>30012.7165048544</v>
      </c>
      <c r="H7" s="10" t="n">
        <f aca="false">G7-F7</f>
        <v>28062.7265048544</v>
      </c>
    </row>
    <row r="8" customFormat="false" ht="15" hidden="false" customHeight="false" outlineLevel="0" collapsed="false">
      <c r="A8" s="8" t="s">
        <v>249</v>
      </c>
      <c r="B8" s="17" t="str">
        <f aca="false">VLOOKUP($A8,'91_Puente_Identidad'!$A$3:$M$51,6,FALSE())</f>
        <v>Ingeniero de Proyectos</v>
      </c>
      <c r="C8" s="8" t="s">
        <v>250</v>
      </c>
      <c r="D8" s="17" t="str">
        <f aca="false">IFERROR(VLOOKUP($C8,'90_Origen_EDP_Dic25'!$A$3:$C$26,2,FALSE()),"Sin país")</f>
        <v>Brasil</v>
      </c>
      <c r="E8" s="35" t="n">
        <f aca="false">SUMIFS('90_Origen_HH_Real_Dic25'!$C$3:$C$96,'90_Origen_HH_Real_Dic25'!$A$3:$A$96,$A8,'90_Origen_HH_Real_Dic25'!$B$3:$B$96,$C8)</f>
        <v>154</v>
      </c>
      <c r="F8" s="10" t="n">
        <f aca="false">IF(SUMIFS('90_Origen_HH_Real_Dic25'!$C$3:$C$96,'90_Origen_HH_Real_Dic25'!$A$3:$A$96,$A8)=0,0,VLOOKUP($A8,'91_Puente_Identidad'!$A$3:$I$51,9,FALSE())*E8/SUMIFS('90_Origen_HH_Real_Dic25'!$C$3:$C$96,'90_Origen_HH_Real_Dic25'!$A$3:$A$96,$A8))</f>
        <v>1767.77209039548</v>
      </c>
      <c r="G8" s="10" t="n">
        <f aca="false">IF(SUMIFS('90_Origen_HH_Real_Dic25'!$C$3:$C$96,'90_Origen_HH_Real_Dic25'!$B$3:$B$96,$C8)=0,0,SUMIFS('90_Origen_EDP_Dic25'!$D$3:$D$26,'90_Origen_EDP_Dic25'!$A$3:$A$26,$C8)*E8/SUMIFS('90_Origen_HH_Real_Dic25'!$C$3:$C$96,'90_Origen_HH_Real_Dic25'!$B$3:$B$96,$C8))</f>
        <v>9573.66666666667</v>
      </c>
      <c r="H8" s="10" t="n">
        <f aca="false">G8-F8</f>
        <v>7805.89457627119</v>
      </c>
    </row>
    <row r="9" customFormat="false" ht="15" hidden="false" customHeight="false" outlineLevel="0" collapsed="false">
      <c r="A9" s="8" t="s">
        <v>249</v>
      </c>
      <c r="B9" s="17" t="str">
        <f aca="false">VLOOKUP($A9,'91_Puente_Identidad'!$A$3:$M$51,6,FALSE())</f>
        <v>Ingeniero de Proyectos</v>
      </c>
      <c r="C9" s="8" t="s">
        <v>251</v>
      </c>
      <c r="D9" s="17" t="str">
        <f aca="false">IFERROR(VLOOKUP($C9,'90_Origen_EDP_Dic25'!$A$3:$C$26,2,FALSE()),"Sin país")</f>
        <v>Brasil</v>
      </c>
      <c r="E9" s="35" t="n">
        <f aca="false">SUMIFS('90_Origen_HH_Real_Dic25'!$C$3:$C$96,'90_Origen_HH_Real_Dic25'!$A$3:$A$96,$A9,'90_Origen_HH_Real_Dic25'!$B$3:$B$96,$C9)</f>
        <v>23</v>
      </c>
      <c r="F9" s="10" t="n">
        <f aca="false">IF(SUMIFS('90_Origen_HH_Real_Dic25'!$C$3:$C$96,'90_Origen_HH_Real_Dic25'!$A$3:$A$96,$A9)=0,0,VLOOKUP($A9,'91_Puente_Identidad'!$A$3:$I$51,9,FALSE())*E9/SUMIFS('90_Origen_HH_Real_Dic25'!$C$3:$C$96,'90_Origen_HH_Real_Dic25'!$A$3:$A$96,$A9))</f>
        <v>264.01790960452</v>
      </c>
      <c r="G9" s="10" t="n">
        <f aca="false">IF(SUMIFS('90_Origen_HH_Real_Dic25'!$C$3:$C$96,'90_Origen_HH_Real_Dic25'!$B$3:$B$96,$C9)=0,0,SUMIFS('90_Origen_EDP_Dic25'!$D$3:$D$26,'90_Origen_EDP_Dic25'!$A$3:$A$26,$C9)*E9/SUMIFS('90_Origen_HH_Real_Dic25'!$C$3:$C$96,'90_Origen_HH_Real_Dic25'!$B$3:$B$96,$C9))</f>
        <v>1300.90983783784</v>
      </c>
      <c r="H9" s="10" t="n">
        <f aca="false">G9-F9</f>
        <v>1036.89192823332</v>
      </c>
    </row>
    <row r="10" customFormat="false" ht="15" hidden="false" customHeight="false" outlineLevel="0" collapsed="false">
      <c r="A10" s="8" t="s">
        <v>252</v>
      </c>
      <c r="B10" s="17" t="str">
        <f aca="false">VLOOKUP($A10,'91_Puente_Identidad'!$A$3:$M$51,6,FALSE())</f>
        <v>Ingeniero de Proyectos</v>
      </c>
      <c r="C10" s="8" t="s">
        <v>253</v>
      </c>
      <c r="D10" s="17" t="str">
        <f aca="false">IFERROR(VLOOKUP($C10,'90_Origen_EDP_Dic25'!$A$3:$C$26,2,FALSE()),"Sin país")</f>
        <v>Perú</v>
      </c>
      <c r="E10" s="35" t="n">
        <f aca="false">SUMIFS('90_Origen_HH_Real_Dic25'!$C$3:$C$96,'90_Origen_HH_Real_Dic25'!$A$3:$A$96,$A10,'90_Origen_HH_Real_Dic25'!$B$3:$B$96,$C10)</f>
        <v>156</v>
      </c>
      <c r="F10" s="10" t="n">
        <f aca="false">IF(SUMIFS('90_Origen_HH_Real_Dic25'!$C$3:$C$96,'90_Origen_HH_Real_Dic25'!$A$3:$A$96,$A10)=0,0,VLOOKUP($A10,'91_Puente_Identidad'!$A$3:$I$51,9,FALSE())*E10/SUMIFS('90_Origen_HH_Real_Dic25'!$C$3:$C$96,'90_Origen_HH_Real_Dic25'!$A$3:$A$96,$A10))</f>
        <v>3444.59</v>
      </c>
      <c r="G10" s="10" t="n">
        <f aca="false">IF(SUMIFS('90_Origen_HH_Real_Dic25'!$C$3:$C$96,'90_Origen_HH_Real_Dic25'!$B$3:$B$96,$C10)=0,0,SUMIFS('90_Origen_EDP_Dic25'!$D$3:$D$26,'90_Origen_EDP_Dic25'!$A$3:$A$26,$C10)*E10/SUMIFS('90_Origen_HH_Real_Dic25'!$C$3:$C$96,'90_Origen_HH_Real_Dic25'!$B$3:$B$96,$C10))</f>
        <v>7320.07058823529</v>
      </c>
      <c r="H10" s="10" t="n">
        <f aca="false">G10-F10</f>
        <v>3875.48058823529</v>
      </c>
    </row>
    <row r="11" customFormat="false" ht="15" hidden="false" customHeight="false" outlineLevel="0" collapsed="false">
      <c r="A11" s="8" t="s">
        <v>254</v>
      </c>
      <c r="B11" s="17" t="str">
        <f aca="false">VLOOKUP($A11,'91_Puente_Identidad'!$A$3:$M$51,6,FALSE())</f>
        <v>Ingenieria</v>
      </c>
      <c r="C11" s="8" t="s">
        <v>251</v>
      </c>
      <c r="D11" s="17" t="str">
        <f aca="false">IFERROR(VLOOKUP($C11,'90_Origen_EDP_Dic25'!$A$3:$C$26,2,FALSE()),"Sin país")</f>
        <v>Brasil</v>
      </c>
      <c r="E11" s="35" t="n">
        <f aca="false">SUMIFS('90_Origen_HH_Real_Dic25'!$C$3:$C$96,'90_Origen_HH_Real_Dic25'!$A$3:$A$96,$A11,'90_Origen_HH_Real_Dic25'!$B$3:$B$96,$C11)</f>
        <v>52</v>
      </c>
      <c r="F11" s="10" t="n">
        <f aca="false">IF(SUMIFS('90_Origen_HH_Real_Dic25'!$C$3:$C$96,'90_Origen_HH_Real_Dic25'!$A$3:$A$96,$A11)=0,0,VLOOKUP($A11,'91_Puente_Identidad'!$A$3:$I$51,9,FALSE())*E11/SUMIFS('90_Origen_HH_Real_Dic25'!$C$3:$C$96,'90_Origen_HH_Real_Dic25'!$A$3:$A$96,$A11))</f>
        <v>499.040223463687</v>
      </c>
      <c r="G11" s="10" t="n">
        <f aca="false">IF(SUMIFS('90_Origen_HH_Real_Dic25'!$C$3:$C$96,'90_Origen_HH_Real_Dic25'!$B$3:$B$96,$C11)=0,0,SUMIFS('90_Origen_EDP_Dic25'!$D$3:$D$26,'90_Origen_EDP_Dic25'!$A$3:$A$26,$C11)*E11/SUMIFS('90_Origen_HH_Real_Dic25'!$C$3:$C$96,'90_Origen_HH_Real_Dic25'!$B$3:$B$96,$C11))</f>
        <v>2941.18745945946</v>
      </c>
      <c r="H11" s="10" t="n">
        <f aca="false">G11-F11</f>
        <v>2442.14723599577</v>
      </c>
    </row>
    <row r="12" customFormat="false" ht="15" hidden="false" customHeight="false" outlineLevel="0" collapsed="false">
      <c r="A12" s="8" t="s">
        <v>254</v>
      </c>
      <c r="B12" s="17" t="str">
        <f aca="false">VLOOKUP($A12,'91_Puente_Identidad'!$A$3:$M$51,6,FALSE())</f>
        <v>Ingenieria</v>
      </c>
      <c r="C12" s="8" t="s">
        <v>246</v>
      </c>
      <c r="D12" s="17" t="str">
        <f aca="false">IFERROR(VLOOKUP($C12,'90_Origen_EDP_Dic25'!$A$3:$C$26,2,FALSE()),"Sin país")</f>
        <v>Rusia</v>
      </c>
      <c r="E12" s="35" t="n">
        <f aca="false">SUMIFS('90_Origen_HH_Real_Dic25'!$C$3:$C$96,'90_Origen_HH_Real_Dic25'!$A$3:$A$96,$A12,'90_Origen_HH_Real_Dic25'!$B$3:$B$96,$C12)</f>
        <v>127</v>
      </c>
      <c r="F12" s="10" t="n">
        <f aca="false">IF(SUMIFS('90_Origen_HH_Real_Dic25'!$C$3:$C$96,'90_Origen_HH_Real_Dic25'!$A$3:$A$96,$A12)=0,0,VLOOKUP($A12,'91_Puente_Identidad'!$A$3:$I$51,9,FALSE())*E12/SUMIFS('90_Origen_HH_Real_Dic25'!$C$3:$C$96,'90_Origen_HH_Real_Dic25'!$A$3:$A$96,$A12))</f>
        <v>1218.80977653631</v>
      </c>
      <c r="G12" s="10" t="n">
        <f aca="false">IF(SUMIFS('90_Origen_HH_Real_Dic25'!$C$3:$C$96,'90_Origen_HH_Real_Dic25'!$B$3:$B$96,$C12)=0,0,SUMIFS('90_Origen_EDP_Dic25'!$D$3:$D$26,'90_Origen_EDP_Dic25'!$A$3:$A$26,$C12)*E12/SUMIFS('90_Origen_HH_Real_Dic25'!$C$3:$C$96,'90_Origen_HH_Real_Dic25'!$B$3:$B$96,$C12))</f>
        <v>0</v>
      </c>
      <c r="H12" s="10" t="n">
        <f aca="false">G12-F12</f>
        <v>-1218.80977653631</v>
      </c>
    </row>
    <row r="13" customFormat="false" ht="15" hidden="false" customHeight="false" outlineLevel="0" collapsed="false">
      <c r="A13" s="8" t="s">
        <v>255</v>
      </c>
      <c r="B13" s="17" t="str">
        <f aca="false">VLOOKUP($A13,'91_Puente_Identidad'!$A$3:$M$51,6,FALSE())</f>
        <v>Ingeniero de Proyectos</v>
      </c>
      <c r="C13" s="8" t="s">
        <v>256</v>
      </c>
      <c r="D13" s="17" t="str">
        <f aca="false">IFERROR(VLOOKUP($C13,'90_Origen_EDP_Dic25'!$A$3:$C$26,2,FALSE()),"Sin país")</f>
        <v>Chile</v>
      </c>
      <c r="E13" s="35" t="n">
        <f aca="false">SUMIFS('90_Origen_HH_Real_Dic25'!$C$3:$C$96,'90_Origen_HH_Real_Dic25'!$A$3:$A$96,$A13,'90_Origen_HH_Real_Dic25'!$B$3:$B$96,$C13)</f>
        <v>52</v>
      </c>
      <c r="F13" s="10" t="n">
        <f aca="false">IF(SUMIFS('90_Origen_HH_Real_Dic25'!$C$3:$C$96,'90_Origen_HH_Real_Dic25'!$A$3:$A$96,$A13)=0,0,VLOOKUP($A13,'91_Puente_Identidad'!$A$3:$I$51,9,FALSE())*E13/SUMIFS('90_Origen_HH_Real_Dic25'!$C$3:$C$96,'90_Origen_HH_Real_Dic25'!$A$3:$A$96,$A13))</f>
        <v>1037.40527918782</v>
      </c>
      <c r="G13" s="10" t="n">
        <f aca="false">IF(SUMIFS('90_Origen_HH_Real_Dic25'!$C$3:$C$96,'90_Origen_HH_Real_Dic25'!$B$3:$B$96,$C13)=0,0,SUMIFS('90_Origen_EDP_Dic25'!$D$3:$D$26,'90_Origen_EDP_Dic25'!$A$3:$A$26,$C13)*E13/SUMIFS('90_Origen_HH_Real_Dic25'!$C$3:$C$96,'90_Origen_HH_Real_Dic25'!$B$3:$B$96,$C13))</f>
        <v>80285.5238095238</v>
      </c>
      <c r="H13" s="10" t="n">
        <f aca="false">G13-F13</f>
        <v>79248.118530336</v>
      </c>
    </row>
    <row r="14" customFormat="false" ht="15" hidden="false" customHeight="false" outlineLevel="0" collapsed="false">
      <c r="A14" s="8" t="s">
        <v>255</v>
      </c>
      <c r="B14" s="17" t="str">
        <f aca="false">VLOOKUP($A14,'91_Puente_Identidad'!$A$3:$M$51,6,FALSE())</f>
        <v>Ingeniero de Proyectos</v>
      </c>
      <c r="C14" s="8" t="s">
        <v>251</v>
      </c>
      <c r="D14" s="17" t="str">
        <f aca="false">IFERROR(VLOOKUP($C14,'90_Origen_EDP_Dic25'!$A$3:$C$26,2,FALSE()),"Sin país")</f>
        <v>Brasil</v>
      </c>
      <c r="E14" s="35" t="n">
        <f aca="false">SUMIFS('90_Origen_HH_Real_Dic25'!$C$3:$C$96,'90_Origen_HH_Real_Dic25'!$A$3:$A$96,$A14,'90_Origen_HH_Real_Dic25'!$B$3:$B$96,$C14)</f>
        <v>145</v>
      </c>
      <c r="F14" s="10" t="n">
        <f aca="false">IF(SUMIFS('90_Origen_HH_Real_Dic25'!$C$3:$C$96,'90_Origen_HH_Real_Dic25'!$A$3:$A$96,$A14)=0,0,VLOOKUP($A14,'91_Puente_Identidad'!$A$3:$I$51,9,FALSE())*E14/SUMIFS('90_Origen_HH_Real_Dic25'!$C$3:$C$96,'90_Origen_HH_Real_Dic25'!$A$3:$A$96,$A14))</f>
        <v>2892.76472081218</v>
      </c>
      <c r="G14" s="10" t="n">
        <f aca="false">IF(SUMIFS('90_Origen_HH_Real_Dic25'!$C$3:$C$96,'90_Origen_HH_Real_Dic25'!$B$3:$B$96,$C14)=0,0,SUMIFS('90_Origen_EDP_Dic25'!$D$3:$D$26,'90_Origen_EDP_Dic25'!$A$3:$A$26,$C14)*E14/SUMIFS('90_Origen_HH_Real_Dic25'!$C$3:$C$96,'90_Origen_HH_Real_Dic25'!$B$3:$B$96,$C14))</f>
        <v>8201.38810810811</v>
      </c>
      <c r="H14" s="10" t="n">
        <f aca="false">G14-F14</f>
        <v>5308.62338729593</v>
      </c>
    </row>
    <row r="15" customFormat="false" ht="15" hidden="false" customHeight="false" outlineLevel="0" collapsed="false">
      <c r="A15" s="8" t="s">
        <v>257</v>
      </c>
      <c r="B15" s="17" t="str">
        <f aca="false">VLOOKUP($A15,'91_Puente_Identidad'!$A$3:$M$51,6,FALSE())</f>
        <v>Ingenieria</v>
      </c>
      <c r="C15" s="8" t="s">
        <v>258</v>
      </c>
      <c r="D15" s="17" t="str">
        <f aca="false">IFERROR(VLOOKUP($C15,'90_Origen_EDP_Dic25'!$A$3:$C$26,2,FALSE()),"Sin país")</f>
        <v>Rusia</v>
      </c>
      <c r="E15" s="35" t="n">
        <f aca="false">SUMIFS('90_Origen_HH_Real_Dic25'!$C$3:$C$96,'90_Origen_HH_Real_Dic25'!$A$3:$A$96,$A15,'90_Origen_HH_Real_Dic25'!$B$3:$B$96,$C15)</f>
        <v>121</v>
      </c>
      <c r="F15" s="10" t="n">
        <f aca="false">IF(SUMIFS('90_Origen_HH_Real_Dic25'!$C$3:$C$96,'90_Origen_HH_Real_Dic25'!$A$3:$A$96,$A15)=0,0,VLOOKUP($A15,'91_Puente_Identidad'!$A$3:$I$51,9,FALSE())*E15/SUMIFS('90_Origen_HH_Real_Dic25'!$C$3:$C$96,'90_Origen_HH_Real_Dic25'!$A$3:$A$96,$A15))</f>
        <v>3214.20366666667</v>
      </c>
      <c r="G15" s="10" t="n">
        <f aca="false">IF(SUMIFS('90_Origen_HH_Real_Dic25'!$C$3:$C$96,'90_Origen_HH_Real_Dic25'!$B$3:$B$96,$C15)=0,0,SUMIFS('90_Origen_EDP_Dic25'!$D$3:$D$26,'90_Origen_EDP_Dic25'!$A$3:$A$26,$C15)*E15/SUMIFS('90_Origen_HH_Real_Dic25'!$C$3:$C$96,'90_Origen_HH_Real_Dic25'!$B$3:$B$96,$C15))</f>
        <v>0</v>
      </c>
      <c r="H15" s="10" t="n">
        <f aca="false">G15-F15</f>
        <v>-3214.20366666667</v>
      </c>
    </row>
    <row r="16" customFormat="false" ht="15" hidden="false" customHeight="false" outlineLevel="0" collapsed="false">
      <c r="A16" s="8" t="s">
        <v>257</v>
      </c>
      <c r="B16" s="17" t="str">
        <f aca="false">VLOOKUP($A16,'91_Puente_Identidad'!$A$3:$M$51,6,FALSE())</f>
        <v>Ingenieria</v>
      </c>
      <c r="C16" s="8" t="s">
        <v>246</v>
      </c>
      <c r="D16" s="17" t="str">
        <f aca="false">IFERROR(VLOOKUP($C16,'90_Origen_EDP_Dic25'!$A$3:$C$26,2,FALSE()),"Sin país")</f>
        <v>Rusia</v>
      </c>
      <c r="E16" s="35" t="n">
        <f aca="false">SUMIFS('90_Origen_HH_Real_Dic25'!$C$3:$C$96,'90_Origen_HH_Real_Dic25'!$A$3:$A$96,$A16,'90_Origen_HH_Real_Dic25'!$B$3:$B$96,$C16)</f>
        <v>29</v>
      </c>
      <c r="F16" s="10" t="n">
        <f aca="false">IF(SUMIFS('90_Origen_HH_Real_Dic25'!$C$3:$C$96,'90_Origen_HH_Real_Dic25'!$A$3:$A$96,$A16)=0,0,VLOOKUP($A16,'91_Puente_Identidad'!$A$3:$I$51,9,FALSE())*E16/SUMIFS('90_Origen_HH_Real_Dic25'!$C$3:$C$96,'90_Origen_HH_Real_Dic25'!$A$3:$A$96,$A16))</f>
        <v>770.346333333333</v>
      </c>
      <c r="G16" s="10" t="n">
        <f aca="false">IF(SUMIFS('90_Origen_HH_Real_Dic25'!$C$3:$C$96,'90_Origen_HH_Real_Dic25'!$B$3:$B$96,$C16)=0,0,SUMIFS('90_Origen_EDP_Dic25'!$D$3:$D$26,'90_Origen_EDP_Dic25'!$A$3:$A$26,$C16)*E16/SUMIFS('90_Origen_HH_Real_Dic25'!$C$3:$C$96,'90_Origen_HH_Real_Dic25'!$B$3:$B$96,$C16))</f>
        <v>0</v>
      </c>
      <c r="H16" s="10" t="n">
        <f aca="false">G16-F16</f>
        <v>-770.346333333333</v>
      </c>
    </row>
    <row r="17" customFormat="false" ht="15" hidden="false" customHeight="false" outlineLevel="0" collapsed="false">
      <c r="A17" s="8" t="s">
        <v>259</v>
      </c>
      <c r="B17" s="17" t="str">
        <f aca="false">VLOOKUP($A17,'91_Puente_Identidad'!$A$3:$M$51,6,FALSE())</f>
        <v>Ingeniero de Proyectos</v>
      </c>
      <c r="C17" s="8" t="s">
        <v>250</v>
      </c>
      <c r="D17" s="17" t="str">
        <f aca="false">IFERROR(VLOOKUP($C17,'90_Origen_EDP_Dic25'!$A$3:$C$26,2,FALSE()),"Sin país")</f>
        <v>Brasil</v>
      </c>
      <c r="E17" s="35" t="n">
        <f aca="false">SUMIFS('90_Origen_HH_Real_Dic25'!$C$3:$C$96,'90_Origen_HH_Real_Dic25'!$A$3:$A$96,$A17,'90_Origen_HH_Real_Dic25'!$B$3:$B$96,$C17)</f>
        <v>4</v>
      </c>
      <c r="F17" s="10" t="n">
        <f aca="false">IF(SUMIFS('90_Origen_HH_Real_Dic25'!$C$3:$C$96,'90_Origen_HH_Real_Dic25'!$A$3:$A$96,$A17)=0,0,VLOOKUP($A17,'91_Puente_Identidad'!$A$3:$I$51,9,FALSE())*E17/SUMIFS('90_Origen_HH_Real_Dic25'!$C$3:$C$96,'90_Origen_HH_Real_Dic25'!$A$3:$A$96,$A17))</f>
        <v>82.6767816091954</v>
      </c>
      <c r="G17" s="10" t="n">
        <f aca="false">IF(SUMIFS('90_Origen_HH_Real_Dic25'!$C$3:$C$96,'90_Origen_HH_Real_Dic25'!$B$3:$B$96,$C17)=0,0,SUMIFS('90_Origen_EDP_Dic25'!$D$3:$D$26,'90_Origen_EDP_Dic25'!$A$3:$A$26,$C17)*E17/SUMIFS('90_Origen_HH_Real_Dic25'!$C$3:$C$96,'90_Origen_HH_Real_Dic25'!$B$3:$B$96,$C17))</f>
        <v>248.666666666667</v>
      </c>
      <c r="H17" s="10" t="n">
        <f aca="false">G17-F17</f>
        <v>165.989885057471</v>
      </c>
    </row>
    <row r="18" customFormat="false" ht="15" hidden="false" customHeight="false" outlineLevel="0" collapsed="false">
      <c r="A18" s="8" t="s">
        <v>259</v>
      </c>
      <c r="B18" s="17" t="str">
        <f aca="false">VLOOKUP($A18,'91_Puente_Identidad'!$A$3:$M$51,6,FALSE())</f>
        <v>Ingeniero de Proyectos</v>
      </c>
      <c r="C18" s="8" t="s">
        <v>260</v>
      </c>
      <c r="D18" s="17" t="str">
        <f aca="false">IFERROR(VLOOKUP($C18,'90_Origen_EDP_Dic25'!$A$3:$C$26,2,FALSE()),"Sin país")</f>
        <v>Rusia</v>
      </c>
      <c r="E18" s="35" t="n">
        <f aca="false">SUMIFS('90_Origen_HH_Real_Dic25'!$C$3:$C$96,'90_Origen_HH_Real_Dic25'!$A$3:$A$96,$A18,'90_Origen_HH_Real_Dic25'!$B$3:$B$96,$C18)</f>
        <v>146</v>
      </c>
      <c r="F18" s="10" t="n">
        <f aca="false">IF(SUMIFS('90_Origen_HH_Real_Dic25'!$C$3:$C$96,'90_Origen_HH_Real_Dic25'!$A$3:$A$96,$A18)=0,0,VLOOKUP($A18,'91_Puente_Identidad'!$A$3:$I$51,9,FALSE())*E18/SUMIFS('90_Origen_HH_Real_Dic25'!$C$3:$C$96,'90_Origen_HH_Real_Dic25'!$A$3:$A$96,$A18))</f>
        <v>3017.70252873563</v>
      </c>
      <c r="G18" s="10" t="n">
        <f aca="false">IF(SUMIFS('90_Origen_HH_Real_Dic25'!$C$3:$C$96,'90_Origen_HH_Real_Dic25'!$B$3:$B$96,$C18)=0,0,SUMIFS('90_Origen_EDP_Dic25'!$D$3:$D$26,'90_Origen_EDP_Dic25'!$A$3:$A$26,$C18)*E18/SUMIFS('90_Origen_HH_Real_Dic25'!$C$3:$C$96,'90_Origen_HH_Real_Dic25'!$B$3:$B$96,$C18))</f>
        <v>0</v>
      </c>
      <c r="H18" s="10" t="n">
        <f aca="false">G18-F18</f>
        <v>-3017.70252873563</v>
      </c>
    </row>
    <row r="19" customFormat="false" ht="15" hidden="false" customHeight="false" outlineLevel="0" collapsed="false">
      <c r="A19" s="8" t="s">
        <v>259</v>
      </c>
      <c r="B19" s="17" t="str">
        <f aca="false">VLOOKUP($A19,'91_Puente_Identidad'!$A$3:$M$51,6,FALSE())</f>
        <v>Ingeniero de Proyectos</v>
      </c>
      <c r="C19" s="8" t="s">
        <v>246</v>
      </c>
      <c r="D19" s="17" t="str">
        <f aca="false">IFERROR(VLOOKUP($C19,'90_Origen_EDP_Dic25'!$A$3:$C$26,2,FALSE()),"Sin país")</f>
        <v>Rusia</v>
      </c>
      <c r="E19" s="35" t="n">
        <f aca="false">SUMIFS('90_Origen_HH_Real_Dic25'!$C$3:$C$96,'90_Origen_HH_Real_Dic25'!$A$3:$A$96,$A19,'90_Origen_HH_Real_Dic25'!$B$3:$B$96,$C19)</f>
        <v>24</v>
      </c>
      <c r="F19" s="10" t="n">
        <f aca="false">IF(SUMIFS('90_Origen_HH_Real_Dic25'!$C$3:$C$96,'90_Origen_HH_Real_Dic25'!$A$3:$A$96,$A19)=0,0,VLOOKUP($A19,'91_Puente_Identidad'!$A$3:$I$51,9,FALSE())*E19/SUMIFS('90_Origen_HH_Real_Dic25'!$C$3:$C$96,'90_Origen_HH_Real_Dic25'!$A$3:$A$96,$A19))</f>
        <v>496.060689655172</v>
      </c>
      <c r="G19" s="10" t="n">
        <f aca="false">IF(SUMIFS('90_Origen_HH_Real_Dic25'!$C$3:$C$96,'90_Origen_HH_Real_Dic25'!$B$3:$B$96,$C19)=0,0,SUMIFS('90_Origen_EDP_Dic25'!$D$3:$D$26,'90_Origen_EDP_Dic25'!$A$3:$A$26,$C19)*E19/SUMIFS('90_Origen_HH_Real_Dic25'!$C$3:$C$96,'90_Origen_HH_Real_Dic25'!$B$3:$B$96,$C19))</f>
        <v>0</v>
      </c>
      <c r="H19" s="10" t="n">
        <f aca="false">G19-F19</f>
        <v>-496.060689655172</v>
      </c>
    </row>
    <row r="20" customFormat="false" ht="15" hidden="false" customHeight="false" outlineLevel="0" collapsed="false">
      <c r="A20" s="8" t="s">
        <v>261</v>
      </c>
      <c r="B20" s="17" t="str">
        <f aca="false">VLOOKUP($A20,'91_Puente_Identidad'!$A$3:$M$51,6,FALSE())</f>
        <v>Ingenieria</v>
      </c>
      <c r="C20" s="8" t="s">
        <v>250</v>
      </c>
      <c r="D20" s="17" t="str">
        <f aca="false">IFERROR(VLOOKUP($C20,'90_Origen_EDP_Dic25'!$A$3:$C$26,2,FALSE()),"Sin país")</f>
        <v>Brasil</v>
      </c>
      <c r="E20" s="35" t="n">
        <f aca="false">SUMIFS('90_Origen_HH_Real_Dic25'!$C$3:$C$96,'90_Origen_HH_Real_Dic25'!$A$3:$A$96,$A20,'90_Origen_HH_Real_Dic25'!$B$3:$B$96,$C20)</f>
        <v>78</v>
      </c>
      <c r="F20" s="10" t="n">
        <f aca="false">IF(SUMIFS('90_Origen_HH_Real_Dic25'!$C$3:$C$96,'90_Origen_HH_Real_Dic25'!$A$3:$A$96,$A20)=0,0,VLOOKUP($A20,'91_Puente_Identidad'!$A$3:$I$51,9,FALSE())*E20/SUMIFS('90_Origen_HH_Real_Dic25'!$C$3:$C$96,'90_Origen_HH_Real_Dic25'!$A$3:$A$96,$A20))</f>
        <v>3624.60548387097</v>
      </c>
      <c r="G20" s="10" t="n">
        <f aca="false">IF(SUMIFS('90_Origen_HH_Real_Dic25'!$C$3:$C$96,'90_Origen_HH_Real_Dic25'!$B$3:$B$96,$C20)=0,0,SUMIFS('90_Origen_EDP_Dic25'!$D$3:$D$26,'90_Origen_EDP_Dic25'!$A$3:$A$26,$C20)*E20/SUMIFS('90_Origen_HH_Real_Dic25'!$C$3:$C$96,'90_Origen_HH_Real_Dic25'!$B$3:$B$96,$C20))</f>
        <v>4849</v>
      </c>
      <c r="H20" s="10" t="n">
        <f aca="false">G20-F20</f>
        <v>1224.39451612903</v>
      </c>
    </row>
    <row r="21" customFormat="false" ht="15" hidden="false" customHeight="false" outlineLevel="0" collapsed="false">
      <c r="A21" s="8" t="s">
        <v>261</v>
      </c>
      <c r="B21" s="17" t="str">
        <f aca="false">VLOOKUP($A21,'91_Puente_Identidad'!$A$3:$M$51,6,FALSE())</f>
        <v>Ingenieria</v>
      </c>
      <c r="C21" s="8" t="s">
        <v>262</v>
      </c>
      <c r="D21" s="17" t="str">
        <f aca="false">IFERROR(VLOOKUP($C21,'90_Origen_EDP_Dic25'!$A$3:$C$26,2,FALSE()),"Sin país")</f>
        <v>Rusia</v>
      </c>
      <c r="E21" s="35" t="n">
        <f aca="false">SUMIFS('90_Origen_HH_Real_Dic25'!$C$3:$C$96,'90_Origen_HH_Real_Dic25'!$A$3:$A$96,$A21,'90_Origen_HH_Real_Dic25'!$B$3:$B$96,$C21)</f>
        <v>72</v>
      </c>
      <c r="F21" s="10" t="n">
        <f aca="false">IF(SUMIFS('90_Origen_HH_Real_Dic25'!$C$3:$C$96,'90_Origen_HH_Real_Dic25'!$A$3:$A$96,$A21)=0,0,VLOOKUP($A21,'91_Puente_Identidad'!$A$3:$I$51,9,FALSE())*E21/SUMIFS('90_Origen_HH_Real_Dic25'!$C$3:$C$96,'90_Origen_HH_Real_Dic25'!$A$3:$A$96,$A21))</f>
        <v>3345.78967741936</v>
      </c>
      <c r="G21" s="10" t="n">
        <f aca="false">IF(SUMIFS('90_Origen_HH_Real_Dic25'!$C$3:$C$96,'90_Origen_HH_Real_Dic25'!$B$3:$B$96,$C21)=0,0,SUMIFS('90_Origen_EDP_Dic25'!$D$3:$D$26,'90_Origen_EDP_Dic25'!$A$3:$A$26,$C21)*E21/SUMIFS('90_Origen_HH_Real_Dic25'!$C$3:$C$96,'90_Origen_HH_Real_Dic25'!$B$3:$B$96,$C21))</f>
        <v>0</v>
      </c>
      <c r="H21" s="10" t="n">
        <f aca="false">G21-F21</f>
        <v>-3345.78967741936</v>
      </c>
    </row>
    <row r="22" customFormat="false" ht="15" hidden="false" customHeight="false" outlineLevel="0" collapsed="false">
      <c r="A22" s="8" t="s">
        <v>261</v>
      </c>
      <c r="B22" s="17" t="str">
        <f aca="false">VLOOKUP($A22,'91_Puente_Identidad'!$A$3:$M$51,6,FALSE())</f>
        <v>Ingenieria</v>
      </c>
      <c r="C22" s="8" t="s">
        <v>260</v>
      </c>
      <c r="D22" s="17" t="str">
        <f aca="false">IFERROR(VLOOKUP($C22,'90_Origen_EDP_Dic25'!$A$3:$C$26,2,FALSE()),"Sin país")</f>
        <v>Rusia</v>
      </c>
      <c r="E22" s="35" t="n">
        <f aca="false">SUMIFS('90_Origen_HH_Real_Dic25'!$C$3:$C$96,'90_Origen_HH_Real_Dic25'!$A$3:$A$96,$A22,'90_Origen_HH_Real_Dic25'!$B$3:$B$96,$C22)</f>
        <v>36</v>
      </c>
      <c r="F22" s="10" t="n">
        <f aca="false">IF(SUMIFS('90_Origen_HH_Real_Dic25'!$C$3:$C$96,'90_Origen_HH_Real_Dic25'!$A$3:$A$96,$A22)=0,0,VLOOKUP($A22,'91_Puente_Identidad'!$A$3:$I$51,9,FALSE())*E22/SUMIFS('90_Origen_HH_Real_Dic25'!$C$3:$C$96,'90_Origen_HH_Real_Dic25'!$A$3:$A$96,$A22))</f>
        <v>1672.89483870968</v>
      </c>
      <c r="G22" s="10" t="n">
        <f aca="false">IF(SUMIFS('90_Origen_HH_Real_Dic25'!$C$3:$C$96,'90_Origen_HH_Real_Dic25'!$B$3:$B$96,$C22)=0,0,SUMIFS('90_Origen_EDP_Dic25'!$D$3:$D$26,'90_Origen_EDP_Dic25'!$A$3:$A$26,$C22)*E22/SUMIFS('90_Origen_HH_Real_Dic25'!$C$3:$C$96,'90_Origen_HH_Real_Dic25'!$B$3:$B$96,$C22))</f>
        <v>0</v>
      </c>
      <c r="H22" s="10" t="n">
        <f aca="false">G22-F22</f>
        <v>-1672.89483870968</v>
      </c>
    </row>
    <row r="23" customFormat="false" ht="15" hidden="false" customHeight="false" outlineLevel="0" collapsed="false">
      <c r="A23" s="8" t="s">
        <v>263</v>
      </c>
      <c r="B23" s="17" t="str">
        <f aca="false">VLOOKUP($A23,'91_Puente_Identidad'!$A$3:$M$51,6,FALSE())</f>
        <v>Ingeniero de Proyectos</v>
      </c>
      <c r="C23" s="8" t="s">
        <v>264</v>
      </c>
      <c r="D23" s="17" t="str">
        <f aca="false">IFERROR(VLOOKUP($C23,'90_Origen_EDP_Dic25'!$A$3:$C$26,2,FALSE()),"Sin país")</f>
        <v>Perú</v>
      </c>
      <c r="E23" s="35" t="n">
        <f aca="false">SUMIFS('90_Origen_HH_Real_Dic25'!$C$3:$C$96,'90_Origen_HH_Real_Dic25'!$A$3:$A$96,$A23,'90_Origen_HH_Real_Dic25'!$B$3:$B$96,$C23)</f>
        <v>28</v>
      </c>
      <c r="F23" s="10" t="n">
        <f aca="false">IF(SUMIFS('90_Origen_HH_Real_Dic25'!$C$3:$C$96,'90_Origen_HH_Real_Dic25'!$A$3:$A$96,$A23)=0,0,VLOOKUP($A23,'91_Puente_Identidad'!$A$3:$I$51,9,FALSE())*E23/SUMIFS('90_Origen_HH_Real_Dic25'!$C$3:$C$96,'90_Origen_HH_Real_Dic25'!$A$3:$A$96,$A23))</f>
        <v>2112.49</v>
      </c>
      <c r="G23" s="10" t="n">
        <f aca="false">IF(SUMIFS('90_Origen_HH_Real_Dic25'!$C$3:$C$96,'90_Origen_HH_Real_Dic25'!$B$3:$B$96,$C23)=0,0,SUMIFS('90_Origen_EDP_Dic25'!$D$3:$D$26,'90_Origen_EDP_Dic25'!$A$3:$A$26,$C23)*E23/SUMIFS('90_Origen_HH_Real_Dic25'!$C$3:$C$96,'90_Origen_HH_Real_Dic25'!$B$3:$B$96,$C23))</f>
        <v>1219.38541666667</v>
      </c>
      <c r="H23" s="10" t="n">
        <f aca="false">G23-F23</f>
        <v>-893.104583333333</v>
      </c>
    </row>
    <row r="24" customFormat="false" ht="15" hidden="false" customHeight="false" outlineLevel="0" collapsed="false">
      <c r="A24" s="8" t="s">
        <v>265</v>
      </c>
      <c r="B24" s="17" t="str">
        <f aca="false">VLOOKUP($A24,'91_Puente_Identidad'!$A$3:$M$51,6,FALSE())</f>
        <v>Ingeniero de Proyectos</v>
      </c>
      <c r="C24" s="8" t="s">
        <v>266</v>
      </c>
      <c r="D24" s="17" t="str">
        <f aca="false">IFERROR(VLOOKUP($C24,'90_Origen_EDP_Dic25'!$A$3:$C$26,2,FALSE()),"Sin país")</f>
        <v>Chile</v>
      </c>
      <c r="E24" s="35" t="n">
        <f aca="false">SUMIFS('90_Origen_HH_Real_Dic25'!$C$3:$C$96,'90_Origen_HH_Real_Dic25'!$A$3:$A$96,$A24,'90_Origen_HH_Real_Dic25'!$B$3:$B$96,$C24)</f>
        <v>51</v>
      </c>
      <c r="F24" s="10" t="n">
        <f aca="false">IF(SUMIFS('90_Origen_HH_Real_Dic25'!$C$3:$C$96,'90_Origen_HH_Real_Dic25'!$A$3:$A$96,$A24)=0,0,VLOOKUP($A24,'91_Puente_Identidad'!$A$3:$I$51,9,FALSE())*E24/SUMIFS('90_Origen_HH_Real_Dic25'!$C$3:$C$96,'90_Origen_HH_Real_Dic25'!$A$3:$A$96,$A24))</f>
        <v>1105.48166666667</v>
      </c>
      <c r="G24" s="10" t="n">
        <f aca="false">IF(SUMIFS('90_Origen_HH_Real_Dic25'!$C$3:$C$96,'90_Origen_HH_Real_Dic25'!$B$3:$B$96,$C24)=0,0,SUMIFS('90_Origen_EDP_Dic25'!$D$3:$D$26,'90_Origen_EDP_Dic25'!$A$3:$A$26,$C24)*E24/SUMIFS('90_Origen_HH_Real_Dic25'!$C$3:$C$96,'90_Origen_HH_Real_Dic25'!$B$3:$B$96,$C24))</f>
        <v>0</v>
      </c>
      <c r="H24" s="10" t="n">
        <f aca="false">G24-F24</f>
        <v>-1105.48166666667</v>
      </c>
    </row>
    <row r="25" customFormat="false" ht="15" hidden="false" customHeight="false" outlineLevel="0" collapsed="false">
      <c r="A25" s="8" t="s">
        <v>265</v>
      </c>
      <c r="B25" s="17" t="str">
        <f aca="false">VLOOKUP($A25,'91_Puente_Identidad'!$A$3:$M$51,6,FALSE())</f>
        <v>Ingeniero de Proyectos</v>
      </c>
      <c r="C25" s="8" t="s">
        <v>248</v>
      </c>
      <c r="D25" s="17" t="str">
        <f aca="false">IFERROR(VLOOKUP($C25,'90_Origen_EDP_Dic25'!$A$3:$C$26,2,FALSE()),"Sin país")</f>
        <v>Brasil</v>
      </c>
      <c r="E25" s="35" t="n">
        <f aca="false">SUMIFS('90_Origen_HH_Real_Dic25'!$C$3:$C$96,'90_Origen_HH_Real_Dic25'!$A$3:$A$96,$A25,'90_Origen_HH_Real_Dic25'!$B$3:$B$96,$C25)</f>
        <v>33</v>
      </c>
      <c r="F25" s="10" t="n">
        <f aca="false">IF(SUMIFS('90_Origen_HH_Real_Dic25'!$C$3:$C$96,'90_Origen_HH_Real_Dic25'!$A$3:$A$96,$A25)=0,0,VLOOKUP($A25,'91_Puente_Identidad'!$A$3:$I$51,9,FALSE())*E25/SUMIFS('90_Origen_HH_Real_Dic25'!$C$3:$C$96,'90_Origen_HH_Real_Dic25'!$A$3:$A$96,$A25))</f>
        <v>715.311666666667</v>
      </c>
      <c r="G25" s="10" t="n">
        <f aca="false">IF(SUMIFS('90_Origen_HH_Real_Dic25'!$C$3:$C$96,'90_Origen_HH_Real_Dic25'!$B$3:$B$96,$C25)=0,0,SUMIFS('90_Origen_EDP_Dic25'!$D$3:$D$26,'90_Origen_EDP_Dic25'!$A$3:$A$26,$C25)*E25/SUMIFS('90_Origen_HH_Real_Dic25'!$C$3:$C$96,'90_Origen_HH_Real_Dic25'!$B$3:$B$96,$C25))</f>
        <v>6229.05436893204</v>
      </c>
      <c r="H25" s="10" t="n">
        <f aca="false">G25-F25</f>
        <v>5513.74270226537</v>
      </c>
    </row>
    <row r="26" customFormat="false" ht="15" hidden="false" customHeight="false" outlineLevel="0" collapsed="false">
      <c r="A26" s="8" t="s">
        <v>265</v>
      </c>
      <c r="B26" s="17" t="str">
        <f aca="false">VLOOKUP($A26,'91_Puente_Identidad'!$A$3:$M$51,6,FALSE())</f>
        <v>Ingeniero de Proyectos</v>
      </c>
      <c r="C26" s="8" t="s">
        <v>251</v>
      </c>
      <c r="D26" s="17" t="str">
        <f aca="false">IFERROR(VLOOKUP($C26,'90_Origen_EDP_Dic25'!$A$3:$C$26,2,FALSE()),"Sin país")</f>
        <v>Brasil</v>
      </c>
      <c r="E26" s="35" t="n">
        <f aca="false">SUMIFS('90_Origen_HH_Real_Dic25'!$C$3:$C$96,'90_Origen_HH_Real_Dic25'!$A$3:$A$96,$A26,'90_Origen_HH_Real_Dic25'!$B$3:$B$96,$C26)</f>
        <v>78</v>
      </c>
      <c r="F26" s="10" t="n">
        <f aca="false">IF(SUMIFS('90_Origen_HH_Real_Dic25'!$C$3:$C$96,'90_Origen_HH_Real_Dic25'!$A$3:$A$96,$A26)=0,0,VLOOKUP($A26,'91_Puente_Identidad'!$A$3:$I$51,9,FALSE())*E26/SUMIFS('90_Origen_HH_Real_Dic25'!$C$3:$C$96,'90_Origen_HH_Real_Dic25'!$A$3:$A$96,$A26))</f>
        <v>1690.73666666667</v>
      </c>
      <c r="G26" s="10" t="n">
        <f aca="false">IF(SUMIFS('90_Origen_HH_Real_Dic25'!$C$3:$C$96,'90_Origen_HH_Real_Dic25'!$B$3:$B$96,$C26)=0,0,SUMIFS('90_Origen_EDP_Dic25'!$D$3:$D$26,'90_Origen_EDP_Dic25'!$A$3:$A$26,$C26)*E26/SUMIFS('90_Origen_HH_Real_Dic25'!$C$3:$C$96,'90_Origen_HH_Real_Dic25'!$B$3:$B$96,$C26))</f>
        <v>4411.78118918919</v>
      </c>
      <c r="H26" s="10" t="n">
        <f aca="false">G26-F26</f>
        <v>2721.04452252252</v>
      </c>
    </row>
    <row r="27" customFormat="false" ht="15" hidden="false" customHeight="false" outlineLevel="0" collapsed="false">
      <c r="A27" s="8" t="s">
        <v>267</v>
      </c>
      <c r="B27" s="17" t="str">
        <f aca="false">VLOOKUP($A27,'91_Puente_Identidad'!$A$3:$M$51,6,FALSE())</f>
        <v>Ingeniero de Proyectos</v>
      </c>
      <c r="C27" s="8" t="s">
        <v>258</v>
      </c>
      <c r="D27" s="17" t="str">
        <f aca="false">IFERROR(VLOOKUP($C27,'90_Origen_EDP_Dic25'!$A$3:$C$26,2,FALSE()),"Sin país")</f>
        <v>Rusia</v>
      </c>
      <c r="E27" s="35" t="n">
        <f aca="false">SUMIFS('90_Origen_HH_Real_Dic25'!$C$3:$C$96,'90_Origen_HH_Real_Dic25'!$A$3:$A$96,$A27,'90_Origen_HH_Real_Dic25'!$B$3:$B$96,$C27)</f>
        <v>172</v>
      </c>
      <c r="F27" s="10" t="n">
        <f aca="false">IF(SUMIFS('90_Origen_HH_Real_Dic25'!$C$3:$C$96,'90_Origen_HH_Real_Dic25'!$A$3:$A$96,$A27)=0,0,VLOOKUP($A27,'91_Puente_Identidad'!$A$3:$I$51,9,FALSE())*E27/SUMIFS('90_Origen_HH_Real_Dic25'!$C$3:$C$96,'90_Origen_HH_Real_Dic25'!$A$3:$A$96,$A27))</f>
        <v>4033.26395480226</v>
      </c>
      <c r="G27" s="10" t="n">
        <f aca="false">IF(SUMIFS('90_Origen_HH_Real_Dic25'!$C$3:$C$96,'90_Origen_HH_Real_Dic25'!$B$3:$B$96,$C27)=0,0,SUMIFS('90_Origen_EDP_Dic25'!$D$3:$D$26,'90_Origen_EDP_Dic25'!$A$3:$A$26,$C27)*E27/SUMIFS('90_Origen_HH_Real_Dic25'!$C$3:$C$96,'90_Origen_HH_Real_Dic25'!$B$3:$B$96,$C27))</f>
        <v>0</v>
      </c>
      <c r="H27" s="10" t="n">
        <f aca="false">G27-F27</f>
        <v>-4033.26395480226</v>
      </c>
    </row>
    <row r="28" customFormat="false" ht="15" hidden="false" customHeight="false" outlineLevel="0" collapsed="false">
      <c r="A28" s="8" t="s">
        <v>267</v>
      </c>
      <c r="B28" s="17" t="str">
        <f aca="false">VLOOKUP($A28,'91_Puente_Identidad'!$A$3:$M$51,6,FALSE())</f>
        <v>Ingeniero de Proyectos</v>
      </c>
      <c r="C28" s="8" t="s">
        <v>246</v>
      </c>
      <c r="D28" s="17" t="str">
        <f aca="false">IFERROR(VLOOKUP($C28,'90_Origen_EDP_Dic25'!$A$3:$C$26,2,FALSE()),"Sin país")</f>
        <v>Rusia</v>
      </c>
      <c r="E28" s="35" t="n">
        <f aca="false">SUMIFS('90_Origen_HH_Real_Dic25'!$C$3:$C$96,'90_Origen_HH_Real_Dic25'!$A$3:$A$96,$A28,'90_Origen_HH_Real_Dic25'!$B$3:$B$96,$C28)</f>
        <v>5</v>
      </c>
      <c r="F28" s="10" t="n">
        <f aca="false">IF(SUMIFS('90_Origen_HH_Real_Dic25'!$C$3:$C$96,'90_Origen_HH_Real_Dic25'!$A$3:$A$96,$A28)=0,0,VLOOKUP($A28,'91_Puente_Identidad'!$A$3:$I$51,9,FALSE())*E28/SUMIFS('90_Origen_HH_Real_Dic25'!$C$3:$C$96,'90_Origen_HH_Real_Dic25'!$A$3:$A$96,$A28))</f>
        <v>117.24604519774</v>
      </c>
      <c r="G28" s="10" t="n">
        <f aca="false">IF(SUMIFS('90_Origen_HH_Real_Dic25'!$C$3:$C$96,'90_Origen_HH_Real_Dic25'!$B$3:$B$96,$C28)=0,0,SUMIFS('90_Origen_EDP_Dic25'!$D$3:$D$26,'90_Origen_EDP_Dic25'!$A$3:$A$26,$C28)*E28/SUMIFS('90_Origen_HH_Real_Dic25'!$C$3:$C$96,'90_Origen_HH_Real_Dic25'!$B$3:$B$96,$C28))</f>
        <v>0</v>
      </c>
      <c r="H28" s="10" t="n">
        <f aca="false">G28-F28</f>
        <v>-117.24604519774</v>
      </c>
    </row>
    <row r="29" customFormat="false" ht="15" hidden="false" customHeight="false" outlineLevel="0" collapsed="false">
      <c r="A29" s="8" t="s">
        <v>268</v>
      </c>
      <c r="B29" s="17" t="str">
        <f aca="false">VLOOKUP($A29,'91_Puente_Identidad'!$A$3:$M$51,6,FALSE())</f>
        <v>Modelador Numérico</v>
      </c>
      <c r="C29" s="8" t="s">
        <v>260</v>
      </c>
      <c r="D29" s="17" t="str">
        <f aca="false">IFERROR(VLOOKUP($C29,'90_Origen_EDP_Dic25'!$A$3:$C$26,2,FALSE()),"Sin país")</f>
        <v>Rusia</v>
      </c>
      <c r="E29" s="35" t="n">
        <f aca="false">SUMIFS('90_Origen_HH_Real_Dic25'!$C$3:$C$96,'90_Origen_HH_Real_Dic25'!$A$3:$A$96,$A29,'90_Origen_HH_Real_Dic25'!$B$3:$B$96,$C29)</f>
        <v>140</v>
      </c>
      <c r="F29" s="10" t="n">
        <f aca="false">IF(SUMIFS('90_Origen_HH_Real_Dic25'!$C$3:$C$96,'90_Origen_HH_Real_Dic25'!$A$3:$A$96,$A29)=0,0,VLOOKUP($A29,'91_Puente_Identidad'!$A$3:$I$51,9,FALSE())*E29/SUMIFS('90_Origen_HH_Real_Dic25'!$C$3:$C$96,'90_Origen_HH_Real_Dic25'!$A$3:$A$96,$A29))</f>
        <v>3522.12</v>
      </c>
      <c r="G29" s="10" t="n">
        <f aca="false">IF(SUMIFS('90_Origen_HH_Real_Dic25'!$C$3:$C$96,'90_Origen_HH_Real_Dic25'!$B$3:$B$96,$C29)=0,0,SUMIFS('90_Origen_EDP_Dic25'!$D$3:$D$26,'90_Origen_EDP_Dic25'!$A$3:$A$26,$C29)*E29/SUMIFS('90_Origen_HH_Real_Dic25'!$C$3:$C$96,'90_Origen_HH_Real_Dic25'!$B$3:$B$96,$C29))</f>
        <v>0</v>
      </c>
      <c r="H29" s="10" t="n">
        <f aca="false">G29-F29</f>
        <v>-3522.12</v>
      </c>
    </row>
    <row r="30" customFormat="false" ht="15" hidden="false" customHeight="false" outlineLevel="0" collapsed="false">
      <c r="A30" s="8" t="s">
        <v>269</v>
      </c>
      <c r="B30" s="17" t="str">
        <f aca="false">VLOOKUP($A30,'91_Puente_Identidad'!$A$3:$M$51,6,FALSE())</f>
        <v>Ingeniero de Proyectos</v>
      </c>
      <c r="C30" s="8" t="s">
        <v>248</v>
      </c>
      <c r="D30" s="17" t="str">
        <f aca="false">IFERROR(VLOOKUP($C30,'90_Origen_EDP_Dic25'!$A$3:$C$26,2,FALSE()),"Sin país")</f>
        <v>Brasil</v>
      </c>
      <c r="E30" s="35" t="n">
        <f aca="false">SUMIFS('90_Origen_HH_Real_Dic25'!$C$3:$C$96,'90_Origen_HH_Real_Dic25'!$A$3:$A$96,$A30,'90_Origen_HH_Real_Dic25'!$B$3:$B$96,$C30)</f>
        <v>177</v>
      </c>
      <c r="F30" s="10" t="n">
        <f aca="false">IF(SUMIFS('90_Origen_HH_Real_Dic25'!$C$3:$C$96,'90_Origen_HH_Real_Dic25'!$A$3:$A$96,$A30)=0,0,VLOOKUP($A30,'91_Puente_Identidad'!$A$3:$I$51,9,FALSE())*E30/SUMIFS('90_Origen_HH_Real_Dic25'!$C$3:$C$96,'90_Origen_HH_Real_Dic25'!$A$3:$A$96,$A30))</f>
        <v>2762.49</v>
      </c>
      <c r="G30" s="10" t="n">
        <f aca="false">IF(SUMIFS('90_Origen_HH_Real_Dic25'!$C$3:$C$96,'90_Origen_HH_Real_Dic25'!$B$3:$B$96,$C30)=0,0,SUMIFS('90_Origen_EDP_Dic25'!$D$3:$D$26,'90_Origen_EDP_Dic25'!$A$3:$A$26,$C30)*E30/SUMIFS('90_Origen_HH_Real_Dic25'!$C$3:$C$96,'90_Origen_HH_Real_Dic25'!$B$3:$B$96,$C30))</f>
        <v>33410.3825242718</v>
      </c>
      <c r="H30" s="10" t="n">
        <f aca="false">G30-F30</f>
        <v>30647.8925242718</v>
      </c>
    </row>
    <row r="31" customFormat="false" ht="15" hidden="false" customHeight="false" outlineLevel="0" collapsed="false">
      <c r="A31" s="8" t="s">
        <v>270</v>
      </c>
      <c r="B31" s="17" t="str">
        <f aca="false">VLOOKUP($A31,'91_Puente_Identidad'!$A$3:$M$51,6,FALSE())</f>
        <v>Ingeniero de Proyectos Metalúrgico</v>
      </c>
      <c r="C31" s="8" t="s">
        <v>246</v>
      </c>
      <c r="D31" s="17" t="str">
        <f aca="false">IFERROR(VLOOKUP($C31,'90_Origen_EDP_Dic25'!$A$3:$C$26,2,FALSE()),"Sin país")</f>
        <v>Rusia</v>
      </c>
      <c r="E31" s="35" t="n">
        <f aca="false">SUMIFS('90_Origen_HH_Real_Dic25'!$C$3:$C$96,'90_Origen_HH_Real_Dic25'!$A$3:$A$96,$A31,'90_Origen_HH_Real_Dic25'!$B$3:$B$96,$C31)</f>
        <v>195</v>
      </c>
      <c r="F31" s="10" t="n">
        <f aca="false">IF(SUMIFS('90_Origen_HH_Real_Dic25'!$C$3:$C$96,'90_Origen_HH_Real_Dic25'!$A$3:$A$96,$A31)=0,0,VLOOKUP($A31,'91_Puente_Identidad'!$A$3:$I$51,9,FALSE())*E31/SUMIFS('90_Origen_HH_Real_Dic25'!$C$3:$C$96,'90_Origen_HH_Real_Dic25'!$A$3:$A$96,$A31))</f>
        <v>2154.68</v>
      </c>
      <c r="G31" s="10" t="n">
        <f aca="false">IF(SUMIFS('90_Origen_HH_Real_Dic25'!$C$3:$C$96,'90_Origen_HH_Real_Dic25'!$B$3:$B$96,$C31)=0,0,SUMIFS('90_Origen_EDP_Dic25'!$D$3:$D$26,'90_Origen_EDP_Dic25'!$A$3:$A$26,$C31)*E31/SUMIFS('90_Origen_HH_Real_Dic25'!$C$3:$C$96,'90_Origen_HH_Real_Dic25'!$B$3:$B$96,$C31))</f>
        <v>0</v>
      </c>
      <c r="H31" s="10" t="n">
        <f aca="false">G31-F31</f>
        <v>-2154.68</v>
      </c>
    </row>
    <row r="32" customFormat="false" ht="15" hidden="false" customHeight="false" outlineLevel="0" collapsed="false">
      <c r="A32" s="8" t="s">
        <v>271</v>
      </c>
      <c r="B32" s="17" t="str">
        <f aca="false">VLOOKUP($A32,'91_Puente_Identidad'!$A$3:$M$51,6,FALSE())</f>
        <v>Ingeniero Principal Senior</v>
      </c>
      <c r="C32" s="8" t="s">
        <v>272</v>
      </c>
      <c r="D32" s="17" t="str">
        <f aca="false">IFERROR(VLOOKUP($C32,'90_Origen_EDP_Dic25'!$A$3:$C$26,2,FALSE()),"Sin país")</f>
        <v>Chile</v>
      </c>
      <c r="E32" s="35" t="n">
        <f aca="false">SUMIFS('90_Origen_HH_Real_Dic25'!$C$3:$C$96,'90_Origen_HH_Real_Dic25'!$A$3:$A$96,$A32,'90_Origen_HH_Real_Dic25'!$B$3:$B$96,$C32)</f>
        <v>66</v>
      </c>
      <c r="F32" s="10" t="n">
        <f aca="false">IF(SUMIFS('90_Origen_HH_Real_Dic25'!$C$3:$C$96,'90_Origen_HH_Real_Dic25'!$A$3:$A$96,$A32)=0,0,VLOOKUP($A32,'91_Puente_Identidad'!$A$3:$I$51,9,FALSE())*E32/SUMIFS('90_Origen_HH_Real_Dic25'!$C$3:$C$96,'90_Origen_HH_Real_Dic25'!$A$3:$A$96,$A32))</f>
        <v>1841.55735099338</v>
      </c>
      <c r="G32" s="10" t="n">
        <f aca="false">IF(SUMIFS('90_Origen_HH_Real_Dic25'!$C$3:$C$96,'90_Origen_HH_Real_Dic25'!$B$3:$B$96,$C32)=0,0,SUMIFS('90_Origen_EDP_Dic25'!$D$3:$D$26,'90_Origen_EDP_Dic25'!$A$3:$A$26,$C32)*E32/SUMIFS('90_Origen_HH_Real_Dic25'!$C$3:$C$96,'90_Origen_HH_Real_Dic25'!$B$3:$B$96,$C32))</f>
        <v>19723.6285714286</v>
      </c>
      <c r="H32" s="10" t="n">
        <f aca="false">G32-F32</f>
        <v>17882.0712204352</v>
      </c>
    </row>
    <row r="33" customFormat="false" ht="15" hidden="false" customHeight="false" outlineLevel="0" collapsed="false">
      <c r="A33" s="8" t="s">
        <v>271</v>
      </c>
      <c r="B33" s="17" t="str">
        <f aca="false">VLOOKUP($A33,'91_Puente_Identidad'!$A$3:$M$51,6,FALSE())</f>
        <v>Ingeniero Principal Senior</v>
      </c>
      <c r="C33" s="8" t="s">
        <v>273</v>
      </c>
      <c r="D33" s="17" t="str">
        <f aca="false">IFERROR(VLOOKUP($C33,'90_Origen_EDP_Dic25'!$A$3:$C$26,2,FALSE()),"Sin país")</f>
        <v>USA</v>
      </c>
      <c r="E33" s="35" t="n">
        <f aca="false">SUMIFS('90_Origen_HH_Real_Dic25'!$C$3:$C$96,'90_Origen_HH_Real_Dic25'!$A$3:$A$96,$A33,'90_Origen_HH_Real_Dic25'!$B$3:$B$96,$C33)</f>
        <v>85</v>
      </c>
      <c r="F33" s="10" t="n">
        <f aca="false">IF(SUMIFS('90_Origen_HH_Real_Dic25'!$C$3:$C$96,'90_Origen_HH_Real_Dic25'!$A$3:$A$96,$A33)=0,0,VLOOKUP($A33,'91_Puente_Identidad'!$A$3:$I$51,9,FALSE())*E33/SUMIFS('90_Origen_HH_Real_Dic25'!$C$3:$C$96,'90_Origen_HH_Real_Dic25'!$A$3:$A$96,$A33))</f>
        <v>2371.70264900662</v>
      </c>
      <c r="G33" s="10" t="n">
        <f aca="false">IF(SUMIFS('90_Origen_HH_Real_Dic25'!$C$3:$C$96,'90_Origen_HH_Real_Dic25'!$B$3:$B$96,$C33)=0,0,SUMIFS('90_Origen_EDP_Dic25'!$D$3:$D$26,'90_Origen_EDP_Dic25'!$A$3:$A$26,$C33)*E33/SUMIFS('90_Origen_HH_Real_Dic25'!$C$3:$C$96,'90_Origen_HH_Real_Dic25'!$B$3:$B$96,$C33))</f>
        <v>5013.40625</v>
      </c>
      <c r="H33" s="10" t="n">
        <f aca="false">G33-F33</f>
        <v>2641.70360099338</v>
      </c>
    </row>
    <row r="34" customFormat="false" ht="15" hidden="false" customHeight="false" outlineLevel="0" collapsed="false">
      <c r="A34" s="8" t="s">
        <v>274</v>
      </c>
      <c r="B34" s="17" t="str">
        <f aca="false">VLOOKUP($A34,'91_Puente_Identidad'!$A$3:$M$51,6,FALSE())</f>
        <v>Ingeniero de Proyectos</v>
      </c>
      <c r="C34" s="8" t="s">
        <v>275</v>
      </c>
      <c r="D34" s="17" t="str">
        <f aca="false">IFERROR(VLOOKUP($C34,'90_Origen_EDP_Dic25'!$A$3:$C$26,2,FALSE()),"Sin país")</f>
        <v>Chile</v>
      </c>
      <c r="E34" s="35" t="n">
        <f aca="false">SUMIFS('90_Origen_HH_Real_Dic25'!$C$3:$C$96,'90_Origen_HH_Real_Dic25'!$A$3:$A$96,$A34,'90_Origen_HH_Real_Dic25'!$B$3:$B$96,$C34)</f>
        <v>146</v>
      </c>
      <c r="F34" s="10" t="n">
        <f aca="false">IF(SUMIFS('90_Origen_HH_Real_Dic25'!$C$3:$C$96,'90_Origen_HH_Real_Dic25'!$A$3:$A$96,$A34)=0,0,VLOOKUP($A34,'91_Puente_Identidad'!$A$3:$I$51,9,FALSE())*E34/SUMIFS('90_Origen_HH_Real_Dic25'!$C$3:$C$96,'90_Origen_HH_Real_Dic25'!$A$3:$A$96,$A34))</f>
        <v>1845.40877005348</v>
      </c>
      <c r="G34" s="10" t="n">
        <f aca="false">IF(SUMIFS('90_Origen_HH_Real_Dic25'!$C$3:$C$96,'90_Origen_HH_Real_Dic25'!$B$3:$B$96,$C34)=0,0,SUMIFS('90_Origen_EDP_Dic25'!$D$3:$D$26,'90_Origen_EDP_Dic25'!$A$3:$A$26,$C34)*E34/SUMIFS('90_Origen_HH_Real_Dic25'!$C$3:$C$96,'90_Origen_HH_Real_Dic25'!$B$3:$B$96,$C34))</f>
        <v>0</v>
      </c>
      <c r="H34" s="10" t="n">
        <f aca="false">G34-F34</f>
        <v>-1845.40877005348</v>
      </c>
    </row>
    <row r="35" customFormat="false" ht="15" hidden="false" customHeight="false" outlineLevel="0" collapsed="false">
      <c r="A35" s="8" t="s">
        <v>274</v>
      </c>
      <c r="B35" s="17" t="str">
        <f aca="false">VLOOKUP($A35,'91_Puente_Identidad'!$A$3:$M$51,6,FALSE())</f>
        <v>Ingeniero de Proyectos</v>
      </c>
      <c r="C35" s="8" t="s">
        <v>276</v>
      </c>
      <c r="D35" s="17" t="str">
        <f aca="false">IFERROR(VLOOKUP($C35,'90_Origen_EDP_Dic25'!$A$3:$C$26,2,FALSE()),"Sin país")</f>
        <v>Chile</v>
      </c>
      <c r="E35" s="35" t="n">
        <f aca="false">SUMIFS('90_Origen_HH_Real_Dic25'!$C$3:$C$96,'90_Origen_HH_Real_Dic25'!$A$3:$A$96,$A35,'90_Origen_HH_Real_Dic25'!$B$3:$B$96,$C35)</f>
        <v>41</v>
      </c>
      <c r="F35" s="10" t="n">
        <f aca="false">IF(SUMIFS('90_Origen_HH_Real_Dic25'!$C$3:$C$96,'90_Origen_HH_Real_Dic25'!$A$3:$A$96,$A35)=0,0,VLOOKUP($A35,'91_Puente_Identidad'!$A$3:$I$51,9,FALSE())*E35/SUMIFS('90_Origen_HH_Real_Dic25'!$C$3:$C$96,'90_Origen_HH_Real_Dic25'!$A$3:$A$96,$A35))</f>
        <v>518.231229946524</v>
      </c>
      <c r="G35" s="10" t="n">
        <f aca="false">IF(SUMIFS('90_Origen_HH_Real_Dic25'!$C$3:$C$96,'90_Origen_HH_Real_Dic25'!$B$3:$B$96,$C35)=0,0,SUMIFS('90_Origen_EDP_Dic25'!$D$3:$D$26,'90_Origen_EDP_Dic25'!$A$3:$A$26,$C35)*E35/SUMIFS('90_Origen_HH_Real_Dic25'!$C$3:$C$96,'90_Origen_HH_Real_Dic25'!$B$3:$B$96,$C35))</f>
        <v>0</v>
      </c>
      <c r="H35" s="10" t="n">
        <f aca="false">G35-F35</f>
        <v>-518.231229946524</v>
      </c>
    </row>
    <row r="36" customFormat="false" ht="15" hidden="false" customHeight="false" outlineLevel="0" collapsed="false">
      <c r="A36" s="8" t="s">
        <v>277</v>
      </c>
      <c r="B36" s="17" t="str">
        <f aca="false">VLOOKUP($A36,'91_Puente_Identidad'!$A$3:$M$51,6,FALSE())</f>
        <v>Ingeniero de Proyectos</v>
      </c>
      <c r="C36" s="8" t="s">
        <v>264</v>
      </c>
      <c r="D36" s="17" t="str">
        <f aca="false">IFERROR(VLOOKUP($C36,'90_Origen_EDP_Dic25'!$A$3:$C$26,2,FALSE()),"Sin país")</f>
        <v>Perú</v>
      </c>
      <c r="E36" s="35" t="n">
        <f aca="false">SUMIFS('90_Origen_HH_Real_Dic25'!$C$3:$C$96,'90_Origen_HH_Real_Dic25'!$A$3:$A$96,$A36,'90_Origen_HH_Real_Dic25'!$B$3:$B$96,$C36)</f>
        <v>186</v>
      </c>
      <c r="F36" s="10" t="n">
        <f aca="false">IF(SUMIFS('90_Origen_HH_Real_Dic25'!$C$3:$C$96,'90_Origen_HH_Real_Dic25'!$A$3:$A$96,$A36)=0,0,VLOOKUP($A36,'91_Puente_Identidad'!$A$3:$I$51,9,FALSE())*E36/SUMIFS('90_Origen_HH_Real_Dic25'!$C$3:$C$96,'90_Origen_HH_Real_Dic25'!$A$3:$A$96,$A36))</f>
        <v>2048.23</v>
      </c>
      <c r="G36" s="10" t="n">
        <f aca="false">IF(SUMIFS('90_Origen_HH_Real_Dic25'!$C$3:$C$96,'90_Origen_HH_Real_Dic25'!$B$3:$B$96,$C36)=0,0,SUMIFS('90_Origen_EDP_Dic25'!$D$3:$D$26,'90_Origen_EDP_Dic25'!$A$3:$A$26,$C36)*E36/SUMIFS('90_Origen_HH_Real_Dic25'!$C$3:$C$96,'90_Origen_HH_Real_Dic25'!$B$3:$B$96,$C36))</f>
        <v>8100.203125</v>
      </c>
      <c r="H36" s="10" t="n">
        <f aca="false">G36-F36</f>
        <v>6051.973125</v>
      </c>
    </row>
    <row r="37" customFormat="false" ht="15" hidden="false" customHeight="false" outlineLevel="0" collapsed="false">
      <c r="A37" s="8" t="s">
        <v>278</v>
      </c>
      <c r="B37" s="17" t="str">
        <f aca="false">VLOOKUP($A37,'91_Puente_Identidad'!$A$3:$M$51,6,FALSE())</f>
        <v>Ingeniero Junior de Proyectos</v>
      </c>
      <c r="C37" s="8" t="s">
        <v>279</v>
      </c>
      <c r="D37" s="17" t="str">
        <f aca="false">IFERROR(VLOOKUP($C37,'90_Origen_EDP_Dic25'!$A$3:$C$26,2,FALSE()),"Sin país")</f>
        <v>Perú</v>
      </c>
      <c r="E37" s="35" t="n">
        <f aca="false">SUMIFS('90_Origen_HH_Real_Dic25'!$C$3:$C$96,'90_Origen_HH_Real_Dic25'!$A$3:$A$96,$A37,'90_Origen_HH_Real_Dic25'!$B$3:$B$96,$C37)</f>
        <v>90</v>
      </c>
      <c r="F37" s="10" t="n">
        <f aca="false">IF(SUMIFS('90_Origen_HH_Real_Dic25'!$C$3:$C$96,'90_Origen_HH_Real_Dic25'!$A$3:$A$96,$A37)=0,0,VLOOKUP($A37,'91_Puente_Identidad'!$A$3:$I$51,9,FALSE())*E37/SUMIFS('90_Origen_HH_Real_Dic25'!$C$3:$C$96,'90_Origen_HH_Real_Dic25'!$A$3:$A$96,$A37))</f>
        <v>1031.24423076923</v>
      </c>
      <c r="G37" s="10" t="n">
        <f aca="false">IF(SUMIFS('90_Origen_HH_Real_Dic25'!$C$3:$C$96,'90_Origen_HH_Real_Dic25'!$B$3:$B$96,$C37)=0,0,SUMIFS('90_Origen_EDP_Dic25'!$D$3:$D$26,'90_Origen_EDP_Dic25'!$A$3:$A$26,$C37)*E37/SUMIFS('90_Origen_HH_Real_Dic25'!$C$3:$C$96,'90_Origen_HH_Real_Dic25'!$B$3:$B$96,$C37))</f>
        <v>0</v>
      </c>
      <c r="H37" s="10" t="n">
        <f aca="false">G37-F37</f>
        <v>-1031.24423076923</v>
      </c>
    </row>
    <row r="38" customFormat="false" ht="15" hidden="false" customHeight="false" outlineLevel="0" collapsed="false">
      <c r="A38" s="8" t="s">
        <v>278</v>
      </c>
      <c r="B38" s="17" t="str">
        <f aca="false">VLOOKUP($A38,'91_Puente_Identidad'!$A$3:$M$51,6,FALSE())</f>
        <v>Ingeniero Junior de Proyectos</v>
      </c>
      <c r="C38" s="8" t="s">
        <v>273</v>
      </c>
      <c r="D38" s="17" t="str">
        <f aca="false">IFERROR(VLOOKUP($C38,'90_Origen_EDP_Dic25'!$A$3:$C$26,2,FALSE()),"Sin país")</f>
        <v>USA</v>
      </c>
      <c r="E38" s="35" t="n">
        <f aca="false">SUMIFS('90_Origen_HH_Real_Dic25'!$C$3:$C$96,'90_Origen_HH_Real_Dic25'!$A$3:$A$96,$A38,'90_Origen_HH_Real_Dic25'!$B$3:$B$96,$C38)</f>
        <v>66</v>
      </c>
      <c r="F38" s="10" t="n">
        <f aca="false">IF(SUMIFS('90_Origen_HH_Real_Dic25'!$C$3:$C$96,'90_Origen_HH_Real_Dic25'!$A$3:$A$96,$A38)=0,0,VLOOKUP($A38,'91_Puente_Identidad'!$A$3:$I$51,9,FALSE())*E38/SUMIFS('90_Origen_HH_Real_Dic25'!$C$3:$C$96,'90_Origen_HH_Real_Dic25'!$A$3:$A$96,$A38))</f>
        <v>756.245769230769</v>
      </c>
      <c r="G38" s="10" t="n">
        <f aca="false">IF(SUMIFS('90_Origen_HH_Real_Dic25'!$C$3:$C$96,'90_Origen_HH_Real_Dic25'!$B$3:$B$96,$C38)=0,0,SUMIFS('90_Origen_EDP_Dic25'!$D$3:$D$26,'90_Origen_EDP_Dic25'!$A$3:$A$26,$C38)*E38/SUMIFS('90_Origen_HH_Real_Dic25'!$C$3:$C$96,'90_Origen_HH_Real_Dic25'!$B$3:$B$96,$C38))</f>
        <v>3892.7625</v>
      </c>
      <c r="H38" s="10" t="n">
        <f aca="false">G38-F38</f>
        <v>3136.51673076923</v>
      </c>
    </row>
    <row r="39" customFormat="false" ht="15" hidden="false" customHeight="false" outlineLevel="0" collapsed="false">
      <c r="A39" s="8" t="s">
        <v>280</v>
      </c>
      <c r="B39" s="17" t="str">
        <f aca="false">VLOOKUP($A39,'91_Puente_Identidad'!$A$3:$M$51,6,FALSE())</f>
        <v>Ingeniero de Proyectos</v>
      </c>
      <c r="C39" s="8" t="s">
        <v>281</v>
      </c>
      <c r="D39" s="17" t="str">
        <f aca="false">IFERROR(VLOOKUP($C39,'90_Origen_EDP_Dic25'!$A$3:$C$26,2,FALSE()),"Sin país")</f>
        <v>Perú</v>
      </c>
      <c r="E39" s="35" t="n">
        <f aca="false">SUMIFS('90_Origen_HH_Real_Dic25'!$C$3:$C$96,'90_Origen_HH_Real_Dic25'!$A$3:$A$96,$A39,'90_Origen_HH_Real_Dic25'!$B$3:$B$96,$C39)</f>
        <v>27</v>
      </c>
      <c r="F39" s="10" t="n">
        <f aca="false">IF(SUMIFS('90_Origen_HH_Real_Dic25'!$C$3:$C$96,'90_Origen_HH_Real_Dic25'!$A$3:$A$96,$A39)=0,0,VLOOKUP($A39,'91_Puente_Identidad'!$A$3:$I$51,9,FALSE())*E39/SUMIFS('90_Origen_HH_Real_Dic25'!$C$3:$C$96,'90_Origen_HH_Real_Dic25'!$A$3:$A$96,$A39))</f>
        <v>1706.2425</v>
      </c>
      <c r="G39" s="10" t="n">
        <f aca="false">IF(SUMIFS('90_Origen_HH_Real_Dic25'!$C$3:$C$96,'90_Origen_HH_Real_Dic25'!$B$3:$B$96,$C39)=0,0,SUMIFS('90_Origen_EDP_Dic25'!$D$3:$D$26,'90_Origen_EDP_Dic25'!$A$3:$A$26,$C39)*E39/SUMIFS('90_Origen_HH_Real_Dic25'!$C$3:$C$96,'90_Origen_HH_Real_Dic25'!$B$3:$B$96,$C39))</f>
        <v>3730.29288702929</v>
      </c>
      <c r="H39" s="10" t="n">
        <f aca="false">G39-F39</f>
        <v>2024.05038702929</v>
      </c>
    </row>
    <row r="40" customFormat="false" ht="15" hidden="false" customHeight="false" outlineLevel="0" collapsed="false">
      <c r="A40" s="8" t="s">
        <v>280</v>
      </c>
      <c r="B40" s="17" t="str">
        <f aca="false">VLOOKUP($A40,'91_Puente_Identidad'!$A$3:$M$51,6,FALSE())</f>
        <v>Ingeniero de Proyectos</v>
      </c>
      <c r="C40" s="8" t="s">
        <v>248</v>
      </c>
      <c r="D40" s="17" t="str">
        <f aca="false">IFERROR(VLOOKUP($C40,'90_Origen_EDP_Dic25'!$A$3:$C$26,2,FALSE()),"Sin país")</f>
        <v>Brasil</v>
      </c>
      <c r="E40" s="35" t="n">
        <f aca="false">SUMIFS('90_Origen_HH_Real_Dic25'!$C$3:$C$96,'90_Origen_HH_Real_Dic25'!$A$3:$A$96,$A40,'90_Origen_HH_Real_Dic25'!$B$3:$B$96,$C40)</f>
        <v>9</v>
      </c>
      <c r="F40" s="10" t="n">
        <f aca="false">IF(SUMIFS('90_Origen_HH_Real_Dic25'!$C$3:$C$96,'90_Origen_HH_Real_Dic25'!$A$3:$A$96,$A40)=0,0,VLOOKUP($A40,'91_Puente_Identidad'!$A$3:$I$51,9,FALSE())*E40/SUMIFS('90_Origen_HH_Real_Dic25'!$C$3:$C$96,'90_Origen_HH_Real_Dic25'!$A$3:$A$96,$A40))</f>
        <v>568.7475</v>
      </c>
      <c r="G40" s="10" t="n">
        <f aca="false">IF(SUMIFS('90_Origen_HH_Real_Dic25'!$C$3:$C$96,'90_Origen_HH_Real_Dic25'!$B$3:$B$96,$C40)=0,0,SUMIFS('90_Origen_EDP_Dic25'!$D$3:$D$26,'90_Origen_EDP_Dic25'!$A$3:$A$26,$C40)*E40/SUMIFS('90_Origen_HH_Real_Dic25'!$C$3:$C$96,'90_Origen_HH_Real_Dic25'!$B$3:$B$96,$C40))</f>
        <v>1698.83300970874</v>
      </c>
      <c r="H40" s="10" t="n">
        <f aca="false">G40-F40</f>
        <v>1130.08550970874</v>
      </c>
    </row>
    <row r="41" customFormat="false" ht="15" hidden="false" customHeight="false" outlineLevel="0" collapsed="false">
      <c r="A41" s="8" t="s">
        <v>282</v>
      </c>
      <c r="B41" s="17" t="str">
        <f aca="false">VLOOKUP($A41,'91_Puente_Identidad'!$A$3:$M$51,6,FALSE())</f>
        <v>Ingeniero de Proyectos Metalúrgico</v>
      </c>
      <c r="C41" s="8" t="s">
        <v>246</v>
      </c>
      <c r="D41" s="17" t="str">
        <f aca="false">IFERROR(VLOOKUP($C41,'90_Origen_EDP_Dic25'!$A$3:$C$26,2,FALSE()),"Sin país")</f>
        <v>Rusia</v>
      </c>
      <c r="E41" s="35" t="n">
        <f aca="false">SUMIFS('90_Origen_HH_Real_Dic25'!$C$3:$C$96,'90_Origen_HH_Real_Dic25'!$A$3:$A$96,$A41,'90_Origen_HH_Real_Dic25'!$B$3:$B$96,$C41)</f>
        <v>176</v>
      </c>
      <c r="F41" s="10" t="n">
        <f aca="false">IF(SUMIFS('90_Origen_HH_Real_Dic25'!$C$3:$C$96,'90_Origen_HH_Real_Dic25'!$A$3:$A$96,$A41)=0,0,VLOOKUP($A41,'91_Puente_Identidad'!$A$3:$I$51,9,FALSE())*E41/SUMIFS('90_Origen_HH_Real_Dic25'!$C$3:$C$96,'90_Origen_HH_Real_Dic25'!$A$3:$A$96,$A41))</f>
        <v>4489.98</v>
      </c>
      <c r="G41" s="10" t="n">
        <f aca="false">IF(SUMIFS('90_Origen_HH_Real_Dic25'!$C$3:$C$96,'90_Origen_HH_Real_Dic25'!$B$3:$B$96,$C41)=0,0,SUMIFS('90_Origen_EDP_Dic25'!$D$3:$D$26,'90_Origen_EDP_Dic25'!$A$3:$A$26,$C41)*E41/SUMIFS('90_Origen_HH_Real_Dic25'!$C$3:$C$96,'90_Origen_HH_Real_Dic25'!$B$3:$B$96,$C41))</f>
        <v>0</v>
      </c>
      <c r="H41" s="10" t="n">
        <f aca="false">G41-F41</f>
        <v>-4489.98</v>
      </c>
    </row>
    <row r="42" customFormat="false" ht="15" hidden="false" customHeight="false" outlineLevel="0" collapsed="false">
      <c r="A42" s="8" t="s">
        <v>283</v>
      </c>
      <c r="B42" s="17" t="str">
        <f aca="false">VLOOKUP($A42,'91_Puente_Identidad'!$A$3:$M$51,6,FALSE())</f>
        <v>Ingeniero de Proyectos</v>
      </c>
      <c r="C42" s="8" t="s">
        <v>275</v>
      </c>
      <c r="D42" s="17" t="str">
        <f aca="false">IFERROR(VLOOKUP($C42,'90_Origen_EDP_Dic25'!$A$3:$C$26,2,FALSE()),"Sin país")</f>
        <v>Chile</v>
      </c>
      <c r="E42" s="35" t="n">
        <f aca="false">SUMIFS('90_Origen_HH_Real_Dic25'!$C$3:$C$96,'90_Origen_HH_Real_Dic25'!$A$3:$A$96,$A42,'90_Origen_HH_Real_Dic25'!$B$3:$B$96,$C42)</f>
        <v>176</v>
      </c>
      <c r="F42" s="10" t="n">
        <f aca="false">IF(SUMIFS('90_Origen_HH_Real_Dic25'!$C$3:$C$96,'90_Origen_HH_Real_Dic25'!$A$3:$A$96,$A42)=0,0,VLOOKUP($A42,'91_Puente_Identidad'!$A$3:$I$51,9,FALSE())*E42/SUMIFS('90_Origen_HH_Real_Dic25'!$C$3:$C$96,'90_Origen_HH_Real_Dic25'!$A$3:$A$96,$A42))</f>
        <v>4083.24</v>
      </c>
      <c r="G42" s="10" t="n">
        <f aca="false">IF(SUMIFS('90_Origen_HH_Real_Dic25'!$C$3:$C$96,'90_Origen_HH_Real_Dic25'!$B$3:$B$96,$C42)=0,0,SUMIFS('90_Origen_EDP_Dic25'!$D$3:$D$26,'90_Origen_EDP_Dic25'!$A$3:$A$26,$C42)*E42/SUMIFS('90_Origen_HH_Real_Dic25'!$C$3:$C$96,'90_Origen_HH_Real_Dic25'!$B$3:$B$96,$C42))</f>
        <v>0</v>
      </c>
      <c r="H42" s="10" t="n">
        <f aca="false">G42-F42</f>
        <v>-4083.24</v>
      </c>
    </row>
    <row r="43" customFormat="false" ht="15" hidden="false" customHeight="false" outlineLevel="0" collapsed="false">
      <c r="A43" s="8" t="s">
        <v>284</v>
      </c>
      <c r="B43" s="17" t="str">
        <f aca="false">VLOOKUP($A43,'91_Puente_Identidad'!$A$3:$M$51,6,FALSE())</f>
        <v>Ingeniero de Proyectos</v>
      </c>
      <c r="C43" s="8" t="s">
        <v>285</v>
      </c>
      <c r="D43" s="17" t="str">
        <f aca="false">IFERROR(VLOOKUP($C43,'90_Origen_EDP_Dic25'!$A$3:$C$26,2,FALSE()),"Sin país")</f>
        <v>Chile</v>
      </c>
      <c r="E43" s="35" t="n">
        <f aca="false">SUMIFS('90_Origen_HH_Real_Dic25'!$C$3:$C$96,'90_Origen_HH_Real_Dic25'!$A$3:$A$96,$A43,'90_Origen_HH_Real_Dic25'!$B$3:$B$96,$C43)</f>
        <v>24</v>
      </c>
      <c r="F43" s="10" t="n">
        <f aca="false">IF(SUMIFS('90_Origen_HH_Real_Dic25'!$C$3:$C$96,'90_Origen_HH_Real_Dic25'!$A$3:$A$96,$A43)=0,0,VLOOKUP($A43,'91_Puente_Identidad'!$A$3:$I$51,9,FALSE())*E43/SUMIFS('90_Origen_HH_Real_Dic25'!$C$3:$C$96,'90_Origen_HH_Real_Dic25'!$A$3:$A$96,$A43))</f>
        <v>325.059875776398</v>
      </c>
      <c r="G43" s="10" t="n">
        <f aca="false">IF(SUMIFS('90_Origen_HH_Real_Dic25'!$C$3:$C$96,'90_Origen_HH_Real_Dic25'!$B$3:$B$96,$C43)=0,0,SUMIFS('90_Origen_EDP_Dic25'!$D$3:$D$26,'90_Origen_EDP_Dic25'!$A$3:$A$26,$C43)*E43/SUMIFS('90_Origen_HH_Real_Dic25'!$C$3:$C$96,'90_Origen_HH_Real_Dic25'!$B$3:$B$96,$C43))</f>
        <v>0</v>
      </c>
      <c r="H43" s="10" t="n">
        <f aca="false">G43-F43</f>
        <v>-325.059875776398</v>
      </c>
    </row>
    <row r="44" customFormat="false" ht="15" hidden="false" customHeight="false" outlineLevel="0" collapsed="false">
      <c r="A44" s="8" t="s">
        <v>284</v>
      </c>
      <c r="B44" s="17" t="str">
        <f aca="false">VLOOKUP($A44,'91_Puente_Identidad'!$A$3:$M$51,6,FALSE())</f>
        <v>Ingeniero de Proyectos</v>
      </c>
      <c r="C44" s="8" t="s">
        <v>253</v>
      </c>
      <c r="D44" s="17" t="str">
        <f aca="false">IFERROR(VLOOKUP($C44,'90_Origen_EDP_Dic25'!$A$3:$C$26,2,FALSE()),"Sin país")</f>
        <v>Perú</v>
      </c>
      <c r="E44" s="35" t="n">
        <f aca="false">SUMIFS('90_Origen_HH_Real_Dic25'!$C$3:$C$96,'90_Origen_HH_Real_Dic25'!$A$3:$A$96,$A44,'90_Origen_HH_Real_Dic25'!$B$3:$B$96,$C44)</f>
        <v>137</v>
      </c>
      <c r="F44" s="10" t="n">
        <f aca="false">IF(SUMIFS('90_Origen_HH_Real_Dic25'!$C$3:$C$96,'90_Origen_HH_Real_Dic25'!$A$3:$A$96,$A44)=0,0,VLOOKUP($A44,'91_Puente_Identidad'!$A$3:$I$51,9,FALSE())*E44/SUMIFS('90_Origen_HH_Real_Dic25'!$C$3:$C$96,'90_Origen_HH_Real_Dic25'!$A$3:$A$96,$A44))</f>
        <v>1855.5501242236</v>
      </c>
      <c r="G44" s="10" t="n">
        <f aca="false">IF(SUMIFS('90_Origen_HH_Real_Dic25'!$C$3:$C$96,'90_Origen_HH_Real_Dic25'!$B$3:$B$96,$C44)=0,0,SUMIFS('90_Origen_EDP_Dic25'!$D$3:$D$26,'90_Origen_EDP_Dic25'!$A$3:$A$26,$C44)*E44/SUMIFS('90_Origen_HH_Real_Dic25'!$C$3:$C$96,'90_Origen_HH_Real_Dic25'!$B$3:$B$96,$C44))</f>
        <v>6428.52352941177</v>
      </c>
      <c r="H44" s="10" t="n">
        <f aca="false">G44-F44</f>
        <v>4572.97340518816</v>
      </c>
    </row>
    <row r="45" customFormat="false" ht="15" hidden="false" customHeight="false" outlineLevel="0" collapsed="false">
      <c r="A45" s="8" t="s">
        <v>286</v>
      </c>
      <c r="B45" s="17" t="str">
        <f aca="false">VLOOKUP($A45,'91_Puente_Identidad'!$A$3:$M$51,6,FALSE())</f>
        <v>Ingeniero Junior de Proyectos</v>
      </c>
      <c r="C45" s="8" t="s">
        <v>262</v>
      </c>
      <c r="D45" s="17" t="str">
        <f aca="false">IFERROR(VLOOKUP($C45,'90_Origen_EDP_Dic25'!$A$3:$C$26,2,FALSE()),"Sin país")</f>
        <v>Rusia</v>
      </c>
      <c r="E45" s="35" t="n">
        <f aca="false">SUMIFS('90_Origen_HH_Real_Dic25'!$C$3:$C$96,'90_Origen_HH_Real_Dic25'!$A$3:$A$96,$A45,'90_Origen_HH_Real_Dic25'!$B$3:$B$96,$C45)</f>
        <v>42</v>
      </c>
      <c r="F45" s="10" t="n">
        <f aca="false">IF(SUMIFS('90_Origen_HH_Real_Dic25'!$C$3:$C$96,'90_Origen_HH_Real_Dic25'!$A$3:$A$96,$A45)=0,0,VLOOKUP($A45,'91_Puente_Identidad'!$A$3:$I$51,9,FALSE())*E45/SUMIFS('90_Origen_HH_Real_Dic25'!$C$3:$C$96,'90_Origen_HH_Real_Dic25'!$A$3:$A$96,$A45))</f>
        <v>1126.12</v>
      </c>
      <c r="G45" s="10" t="n">
        <f aca="false">IF(SUMIFS('90_Origen_HH_Real_Dic25'!$C$3:$C$96,'90_Origen_HH_Real_Dic25'!$B$3:$B$96,$C45)=0,0,SUMIFS('90_Origen_EDP_Dic25'!$D$3:$D$26,'90_Origen_EDP_Dic25'!$A$3:$A$26,$C45)*E45/SUMIFS('90_Origen_HH_Real_Dic25'!$C$3:$C$96,'90_Origen_HH_Real_Dic25'!$B$3:$B$96,$C45))</f>
        <v>0</v>
      </c>
      <c r="H45" s="10" t="n">
        <f aca="false">G45-F45</f>
        <v>-1126.12</v>
      </c>
    </row>
    <row r="46" customFormat="false" ht="15" hidden="false" customHeight="false" outlineLevel="0" collapsed="false">
      <c r="A46" s="8" t="s">
        <v>287</v>
      </c>
      <c r="B46" s="17" t="str">
        <f aca="false">VLOOKUP($A46,'91_Puente_Identidad'!$A$3:$M$51,6,FALSE())</f>
        <v>Ingeniero Junior de Proyectos</v>
      </c>
      <c r="C46" s="8" t="s">
        <v>248</v>
      </c>
      <c r="D46" s="17" t="str">
        <f aca="false">IFERROR(VLOOKUP($C46,'90_Origen_EDP_Dic25'!$A$3:$C$26,2,FALSE()),"Sin país")</f>
        <v>Brasil</v>
      </c>
      <c r="E46" s="35" t="n">
        <f aca="false">SUMIFS('90_Origen_HH_Real_Dic25'!$C$3:$C$96,'90_Origen_HH_Real_Dic25'!$A$3:$A$96,$A46,'90_Origen_HH_Real_Dic25'!$B$3:$B$96,$C46)</f>
        <v>16</v>
      </c>
      <c r="F46" s="10" t="n">
        <f aca="false">IF(SUMIFS('90_Origen_HH_Real_Dic25'!$C$3:$C$96,'90_Origen_HH_Real_Dic25'!$A$3:$A$96,$A46)=0,0,VLOOKUP($A46,'91_Puente_Identidad'!$A$3:$I$51,9,FALSE())*E46/SUMIFS('90_Origen_HH_Real_Dic25'!$C$3:$C$96,'90_Origen_HH_Real_Dic25'!$A$3:$A$96,$A46))</f>
        <v>104.654088050314</v>
      </c>
      <c r="G46" s="10" t="n">
        <f aca="false">IF(SUMIFS('90_Origen_HH_Real_Dic25'!$C$3:$C$96,'90_Origen_HH_Real_Dic25'!$B$3:$B$96,$C46)=0,0,SUMIFS('90_Origen_EDP_Dic25'!$D$3:$D$26,'90_Origen_EDP_Dic25'!$A$3:$A$26,$C46)*E46/SUMIFS('90_Origen_HH_Real_Dic25'!$C$3:$C$96,'90_Origen_HH_Real_Dic25'!$B$3:$B$96,$C46))</f>
        <v>3020.14757281553</v>
      </c>
      <c r="H46" s="10" t="n">
        <f aca="false">G46-F46</f>
        <v>2915.49348476522</v>
      </c>
    </row>
    <row r="47" customFormat="false" ht="15" hidden="false" customHeight="false" outlineLevel="0" collapsed="false">
      <c r="A47" s="8" t="s">
        <v>287</v>
      </c>
      <c r="B47" s="17" t="str">
        <f aca="false">VLOOKUP($A47,'91_Puente_Identidad'!$A$3:$M$51,6,FALSE())</f>
        <v>Ingeniero Junior de Proyectos</v>
      </c>
      <c r="C47" s="8" t="s">
        <v>273</v>
      </c>
      <c r="D47" s="17" t="str">
        <f aca="false">IFERROR(VLOOKUP($C47,'90_Origen_EDP_Dic25'!$A$3:$C$26,2,FALSE()),"Sin país")</f>
        <v>USA</v>
      </c>
      <c r="E47" s="35" t="n">
        <f aca="false">SUMIFS('90_Origen_HH_Real_Dic25'!$C$3:$C$96,'90_Origen_HH_Real_Dic25'!$A$3:$A$96,$A47,'90_Origen_HH_Real_Dic25'!$B$3:$B$96,$C47)</f>
        <v>143</v>
      </c>
      <c r="F47" s="10" t="n">
        <f aca="false">IF(SUMIFS('90_Origen_HH_Real_Dic25'!$C$3:$C$96,'90_Origen_HH_Real_Dic25'!$A$3:$A$96,$A47)=0,0,VLOOKUP($A47,'91_Puente_Identidad'!$A$3:$I$51,9,FALSE())*E47/SUMIFS('90_Origen_HH_Real_Dic25'!$C$3:$C$96,'90_Origen_HH_Real_Dic25'!$A$3:$A$96,$A47))</f>
        <v>935.345911949686</v>
      </c>
      <c r="G47" s="10" t="n">
        <f aca="false">IF(SUMIFS('90_Origen_HH_Real_Dic25'!$C$3:$C$96,'90_Origen_HH_Real_Dic25'!$B$3:$B$96,$C47)=0,0,SUMIFS('90_Origen_EDP_Dic25'!$D$3:$D$26,'90_Origen_EDP_Dic25'!$A$3:$A$26,$C47)*E47/SUMIFS('90_Origen_HH_Real_Dic25'!$C$3:$C$96,'90_Origen_HH_Real_Dic25'!$B$3:$B$96,$C47))</f>
        <v>8434.31875</v>
      </c>
      <c r="H47" s="10" t="n">
        <f aca="false">G47-F47</f>
        <v>7498.97283805032</v>
      </c>
    </row>
    <row r="48" customFormat="false" ht="15" hidden="false" customHeight="false" outlineLevel="0" collapsed="false">
      <c r="A48" s="8" t="s">
        <v>288</v>
      </c>
      <c r="B48" s="17" t="str">
        <f aca="false">VLOOKUP($A48,'91_Puente_Identidad'!$A$3:$M$51,6,FALSE())</f>
        <v>Ingeniero de Proyectos</v>
      </c>
      <c r="C48" s="8" t="s">
        <v>251</v>
      </c>
      <c r="D48" s="17" t="str">
        <f aca="false">IFERROR(VLOOKUP($C48,'90_Origen_EDP_Dic25'!$A$3:$C$26,2,FALSE()),"Sin país")</f>
        <v>Brasil</v>
      </c>
      <c r="E48" s="35" t="n">
        <f aca="false">SUMIFS('90_Origen_HH_Real_Dic25'!$C$3:$C$96,'90_Origen_HH_Real_Dic25'!$A$3:$A$96,$A48,'90_Origen_HH_Real_Dic25'!$B$3:$B$96,$C48)</f>
        <v>17</v>
      </c>
      <c r="F48" s="10" t="n">
        <f aca="false">IF(SUMIFS('90_Origen_HH_Real_Dic25'!$C$3:$C$96,'90_Origen_HH_Real_Dic25'!$A$3:$A$96,$A48)=0,0,VLOOKUP($A48,'91_Puente_Identidad'!$A$3:$I$51,9,FALSE())*E48/SUMIFS('90_Origen_HH_Real_Dic25'!$C$3:$C$96,'90_Origen_HH_Real_Dic25'!$A$3:$A$96,$A48))</f>
        <v>367.132450331126</v>
      </c>
      <c r="G48" s="10" t="n">
        <f aca="false">IF(SUMIFS('90_Origen_HH_Real_Dic25'!$C$3:$C$96,'90_Origen_HH_Real_Dic25'!$B$3:$B$96,$C48)=0,0,SUMIFS('90_Origen_EDP_Dic25'!$D$3:$D$26,'90_Origen_EDP_Dic25'!$A$3:$A$26,$C48)*E48/SUMIFS('90_Origen_HH_Real_Dic25'!$C$3:$C$96,'90_Origen_HH_Real_Dic25'!$B$3:$B$96,$C48))</f>
        <v>961.542054054054</v>
      </c>
      <c r="H48" s="10" t="n">
        <f aca="false">G48-F48</f>
        <v>594.409603722928</v>
      </c>
    </row>
    <row r="49" customFormat="false" ht="15" hidden="false" customHeight="false" outlineLevel="0" collapsed="false">
      <c r="A49" s="8" t="s">
        <v>288</v>
      </c>
      <c r="B49" s="17" t="str">
        <f aca="false">VLOOKUP($A49,'91_Puente_Identidad'!$A$3:$M$51,6,FALSE())</f>
        <v>Ingeniero de Proyectos</v>
      </c>
      <c r="C49" s="8" t="s">
        <v>246</v>
      </c>
      <c r="D49" s="17" t="str">
        <f aca="false">IFERROR(VLOOKUP($C49,'90_Origen_EDP_Dic25'!$A$3:$C$26,2,FALSE()),"Sin país")</f>
        <v>Rusia</v>
      </c>
      <c r="E49" s="35" t="n">
        <f aca="false">SUMIFS('90_Origen_HH_Real_Dic25'!$C$3:$C$96,'90_Origen_HH_Real_Dic25'!$A$3:$A$96,$A49,'90_Origen_HH_Real_Dic25'!$B$3:$B$96,$C49)</f>
        <v>134</v>
      </c>
      <c r="F49" s="10" t="n">
        <f aca="false">IF(SUMIFS('90_Origen_HH_Real_Dic25'!$C$3:$C$96,'90_Origen_HH_Real_Dic25'!$A$3:$A$96,$A49)=0,0,VLOOKUP($A49,'91_Puente_Identidad'!$A$3:$I$51,9,FALSE())*E49/SUMIFS('90_Origen_HH_Real_Dic25'!$C$3:$C$96,'90_Origen_HH_Real_Dic25'!$A$3:$A$96,$A49))</f>
        <v>2893.86754966887</v>
      </c>
      <c r="G49" s="10" t="n">
        <f aca="false">IF(SUMIFS('90_Origen_HH_Real_Dic25'!$C$3:$C$96,'90_Origen_HH_Real_Dic25'!$B$3:$B$96,$C49)=0,0,SUMIFS('90_Origen_EDP_Dic25'!$D$3:$D$26,'90_Origen_EDP_Dic25'!$A$3:$A$26,$C49)*E49/SUMIFS('90_Origen_HH_Real_Dic25'!$C$3:$C$96,'90_Origen_HH_Real_Dic25'!$B$3:$B$96,$C49))</f>
        <v>0</v>
      </c>
      <c r="H49" s="10" t="n">
        <f aca="false">G49-F49</f>
        <v>-2893.86754966887</v>
      </c>
    </row>
    <row r="50" customFormat="false" ht="15" hidden="false" customHeight="false" outlineLevel="0" collapsed="false">
      <c r="A50" s="8" t="s">
        <v>289</v>
      </c>
      <c r="B50" s="17" t="n">
        <f aca="false">VLOOKUP($A50,'91_Puente_Identidad'!$A$3:$M$51,6,FALSE())</f>
        <v>0</v>
      </c>
      <c r="C50" s="8" t="s">
        <v>250</v>
      </c>
      <c r="D50" s="17" t="str">
        <f aca="false">IFERROR(VLOOKUP($C50,'90_Origen_EDP_Dic25'!$A$3:$C$26,2,FALSE()),"Sin país")</f>
        <v>Brasil</v>
      </c>
      <c r="E50" s="35" t="n">
        <f aca="false">SUMIFS('90_Origen_HH_Real_Dic25'!$C$3:$C$96,'90_Origen_HH_Real_Dic25'!$A$3:$A$96,$A50,'90_Origen_HH_Real_Dic25'!$B$3:$B$96,$C50)</f>
        <v>42</v>
      </c>
      <c r="F50" s="10" t="n">
        <f aca="false">IF(SUMIFS('90_Origen_HH_Real_Dic25'!$C$3:$C$96,'90_Origen_HH_Real_Dic25'!$A$3:$A$96,$A50)=0,0,VLOOKUP($A50,'91_Puente_Identidad'!$A$3:$I$51,9,FALSE())*E50/SUMIFS('90_Origen_HH_Real_Dic25'!$C$3:$C$96,'90_Origen_HH_Real_Dic25'!$A$3:$A$96,$A50))</f>
        <v>767.4275</v>
      </c>
      <c r="G50" s="10" t="n">
        <f aca="false">IF(SUMIFS('90_Origen_HH_Real_Dic25'!$C$3:$C$96,'90_Origen_HH_Real_Dic25'!$B$3:$B$96,$C50)=0,0,SUMIFS('90_Origen_EDP_Dic25'!$D$3:$D$26,'90_Origen_EDP_Dic25'!$A$3:$A$26,$C50)*E50/SUMIFS('90_Origen_HH_Real_Dic25'!$C$3:$C$96,'90_Origen_HH_Real_Dic25'!$B$3:$B$96,$C50))</f>
        <v>2611</v>
      </c>
      <c r="H50" s="10" t="n">
        <f aca="false">G50-F50</f>
        <v>1843.5725</v>
      </c>
    </row>
    <row r="51" customFormat="false" ht="15" hidden="false" customHeight="false" outlineLevel="0" collapsed="false">
      <c r="A51" s="8" t="s">
        <v>289</v>
      </c>
      <c r="B51" s="17" t="n">
        <f aca="false">VLOOKUP($A51,'91_Puente_Identidad'!$A$3:$M$51,6,FALSE())</f>
        <v>0</v>
      </c>
      <c r="C51" s="8" t="s">
        <v>251</v>
      </c>
      <c r="D51" s="17" t="str">
        <f aca="false">IFERROR(VLOOKUP($C51,'90_Origen_EDP_Dic25'!$A$3:$C$26,2,FALSE()),"Sin país")</f>
        <v>Brasil</v>
      </c>
      <c r="E51" s="35" t="n">
        <f aca="false">SUMIFS('90_Origen_HH_Real_Dic25'!$C$3:$C$96,'90_Origen_HH_Real_Dic25'!$A$3:$A$96,$A51,'90_Origen_HH_Real_Dic25'!$B$3:$B$96,$C51)</f>
        <v>30</v>
      </c>
      <c r="F51" s="10" t="n">
        <f aca="false">IF(SUMIFS('90_Origen_HH_Real_Dic25'!$C$3:$C$96,'90_Origen_HH_Real_Dic25'!$A$3:$A$96,$A51)=0,0,VLOOKUP($A51,'91_Puente_Identidad'!$A$3:$I$51,9,FALSE())*E51/SUMIFS('90_Origen_HH_Real_Dic25'!$C$3:$C$96,'90_Origen_HH_Real_Dic25'!$A$3:$A$96,$A51))</f>
        <v>548.1625</v>
      </c>
      <c r="G51" s="10" t="n">
        <f aca="false">IF(SUMIFS('90_Origen_HH_Real_Dic25'!$C$3:$C$96,'90_Origen_HH_Real_Dic25'!$B$3:$B$96,$C51)=0,0,SUMIFS('90_Origen_EDP_Dic25'!$D$3:$D$26,'90_Origen_EDP_Dic25'!$A$3:$A$26,$C51)*E51/SUMIFS('90_Origen_HH_Real_Dic25'!$C$3:$C$96,'90_Origen_HH_Real_Dic25'!$B$3:$B$96,$C51))</f>
        <v>1696.83891891892</v>
      </c>
      <c r="H51" s="10" t="n">
        <f aca="false">G51-F51</f>
        <v>1148.67641891892</v>
      </c>
    </row>
    <row r="52" customFormat="false" ht="15" hidden="false" customHeight="false" outlineLevel="0" collapsed="false">
      <c r="A52" s="8" t="s">
        <v>290</v>
      </c>
      <c r="B52" s="17" t="str">
        <f aca="false">VLOOKUP($A52,'91_Puente_Identidad'!$A$3:$M$51,6,FALSE())</f>
        <v>Ingeniero Principal Senior</v>
      </c>
      <c r="C52" s="8" t="s">
        <v>256</v>
      </c>
      <c r="D52" s="17" t="str">
        <f aca="false">IFERROR(VLOOKUP($C52,'90_Origen_EDP_Dic25'!$A$3:$C$26,2,FALSE()),"Sin país")</f>
        <v>Chile</v>
      </c>
      <c r="E52" s="35" t="n">
        <f aca="false">SUMIFS('90_Origen_HH_Real_Dic25'!$C$3:$C$96,'90_Origen_HH_Real_Dic25'!$A$3:$A$96,$A52,'90_Origen_HH_Real_Dic25'!$B$3:$B$96,$C52)</f>
        <v>32</v>
      </c>
      <c r="F52" s="10" t="n">
        <f aca="false">IF(SUMIFS('90_Origen_HH_Real_Dic25'!$C$3:$C$96,'90_Origen_HH_Real_Dic25'!$A$3:$A$96,$A52)=0,0,VLOOKUP($A52,'91_Puente_Identidad'!$A$3:$I$51,9,FALSE())*E52/SUMIFS('90_Origen_HH_Real_Dic25'!$C$3:$C$96,'90_Origen_HH_Real_Dic25'!$A$3:$A$96,$A52))</f>
        <v>912.764675324675</v>
      </c>
      <c r="G52" s="10" t="n">
        <f aca="false">IF(SUMIFS('90_Origen_HH_Real_Dic25'!$C$3:$C$96,'90_Origen_HH_Real_Dic25'!$B$3:$B$96,$C52)=0,0,SUMIFS('90_Origen_EDP_Dic25'!$D$3:$D$26,'90_Origen_EDP_Dic25'!$A$3:$A$26,$C52)*E52/SUMIFS('90_Origen_HH_Real_Dic25'!$C$3:$C$96,'90_Origen_HH_Real_Dic25'!$B$3:$B$96,$C52))</f>
        <v>49406.4761904762</v>
      </c>
      <c r="H52" s="10" t="n">
        <f aca="false">G52-F52</f>
        <v>48493.7115151515</v>
      </c>
    </row>
    <row r="53" customFormat="false" ht="15" hidden="false" customHeight="false" outlineLevel="0" collapsed="false">
      <c r="A53" s="8" t="s">
        <v>290</v>
      </c>
      <c r="B53" s="17" t="str">
        <f aca="false">VLOOKUP($A53,'91_Puente_Identidad'!$A$3:$M$51,6,FALSE())</f>
        <v>Ingeniero Principal Senior</v>
      </c>
      <c r="C53" s="8" t="s">
        <v>276</v>
      </c>
      <c r="D53" s="17" t="str">
        <f aca="false">IFERROR(VLOOKUP($C53,'90_Origen_EDP_Dic25'!$A$3:$C$26,2,FALSE()),"Sin país")</f>
        <v>Chile</v>
      </c>
      <c r="E53" s="35" t="n">
        <f aca="false">SUMIFS('90_Origen_HH_Real_Dic25'!$C$3:$C$96,'90_Origen_HH_Real_Dic25'!$A$3:$A$96,$A53,'90_Origen_HH_Real_Dic25'!$B$3:$B$96,$C53)</f>
        <v>20</v>
      </c>
      <c r="F53" s="10" t="n">
        <f aca="false">IF(SUMIFS('90_Origen_HH_Real_Dic25'!$C$3:$C$96,'90_Origen_HH_Real_Dic25'!$A$3:$A$96,$A53)=0,0,VLOOKUP($A53,'91_Puente_Identidad'!$A$3:$I$51,9,FALSE())*E53/SUMIFS('90_Origen_HH_Real_Dic25'!$C$3:$C$96,'90_Origen_HH_Real_Dic25'!$A$3:$A$96,$A53))</f>
        <v>570.477922077922</v>
      </c>
      <c r="G53" s="10" t="n">
        <f aca="false">IF(SUMIFS('90_Origen_HH_Real_Dic25'!$C$3:$C$96,'90_Origen_HH_Real_Dic25'!$B$3:$B$96,$C53)=0,0,SUMIFS('90_Origen_EDP_Dic25'!$D$3:$D$26,'90_Origen_EDP_Dic25'!$A$3:$A$26,$C53)*E53/SUMIFS('90_Origen_HH_Real_Dic25'!$C$3:$C$96,'90_Origen_HH_Real_Dic25'!$B$3:$B$96,$C53))</f>
        <v>0</v>
      </c>
      <c r="H53" s="10" t="n">
        <f aca="false">G53-F53</f>
        <v>-570.477922077922</v>
      </c>
    </row>
    <row r="54" customFormat="false" ht="15" hidden="false" customHeight="false" outlineLevel="0" collapsed="false">
      <c r="A54" s="8" t="s">
        <v>290</v>
      </c>
      <c r="B54" s="17" t="str">
        <f aca="false">VLOOKUP($A54,'91_Puente_Identidad'!$A$3:$M$51,6,FALSE())</f>
        <v>Ingeniero Principal Senior</v>
      </c>
      <c r="C54" s="8" t="s">
        <v>253</v>
      </c>
      <c r="D54" s="17" t="str">
        <f aca="false">IFERROR(VLOOKUP($C54,'90_Origen_EDP_Dic25'!$A$3:$C$26,2,FALSE()),"Sin país")</f>
        <v>Perú</v>
      </c>
      <c r="E54" s="35" t="n">
        <f aca="false">SUMIFS('90_Origen_HH_Real_Dic25'!$C$3:$C$96,'90_Origen_HH_Real_Dic25'!$A$3:$A$96,$A54,'90_Origen_HH_Real_Dic25'!$B$3:$B$96,$C54)</f>
        <v>102</v>
      </c>
      <c r="F54" s="10" t="n">
        <f aca="false">IF(SUMIFS('90_Origen_HH_Real_Dic25'!$C$3:$C$96,'90_Origen_HH_Real_Dic25'!$A$3:$A$96,$A54)=0,0,VLOOKUP($A54,'91_Puente_Identidad'!$A$3:$I$51,9,FALSE())*E54/SUMIFS('90_Origen_HH_Real_Dic25'!$C$3:$C$96,'90_Origen_HH_Real_Dic25'!$A$3:$A$96,$A54))</f>
        <v>2909.4374025974</v>
      </c>
      <c r="G54" s="10" t="n">
        <f aca="false">IF(SUMIFS('90_Origen_HH_Real_Dic25'!$C$3:$C$96,'90_Origen_HH_Real_Dic25'!$B$3:$B$96,$C54)=0,0,SUMIFS('90_Origen_EDP_Dic25'!$D$3:$D$26,'90_Origen_EDP_Dic25'!$A$3:$A$26,$C54)*E54/SUMIFS('90_Origen_HH_Real_Dic25'!$C$3:$C$96,'90_Origen_HH_Real_Dic25'!$B$3:$B$96,$C54))</f>
        <v>4786.2</v>
      </c>
      <c r="H54" s="10" t="n">
        <f aca="false">G54-F54</f>
        <v>1876.7625974026</v>
      </c>
    </row>
    <row r="55" customFormat="false" ht="15" hidden="false" customHeight="false" outlineLevel="0" collapsed="false">
      <c r="A55" s="8" t="s">
        <v>291</v>
      </c>
      <c r="B55" s="17" t="str">
        <f aca="false">VLOOKUP($A55,'91_Puente_Identidad'!$A$3:$M$51,6,FALSE())</f>
        <v>Ingeniero de Proyectos</v>
      </c>
      <c r="C55" s="8" t="s">
        <v>292</v>
      </c>
      <c r="D55" s="17" t="str">
        <f aca="false">IFERROR(VLOOKUP($C55,'90_Origen_EDP_Dic25'!$A$3:$C$26,2,FALSE()),"Sin país")</f>
        <v>Sin país</v>
      </c>
      <c r="E55" s="35" t="n">
        <f aca="false">SUMIFS('90_Origen_HH_Real_Dic25'!$C$3:$C$96,'90_Origen_HH_Real_Dic25'!$A$3:$A$96,$A55,'90_Origen_HH_Real_Dic25'!$B$3:$B$96,$C55)</f>
        <v>15</v>
      </c>
      <c r="F55" s="10" t="n">
        <f aca="false">IF(SUMIFS('90_Origen_HH_Real_Dic25'!$C$3:$C$96,'90_Origen_HH_Real_Dic25'!$A$3:$A$96,$A55)=0,0,VLOOKUP($A55,'91_Puente_Identidad'!$A$3:$I$51,9,FALSE())*E55/SUMIFS('90_Origen_HH_Real_Dic25'!$C$3:$C$96,'90_Origen_HH_Real_Dic25'!$A$3:$A$96,$A55))</f>
        <v>311.19</v>
      </c>
      <c r="G55" s="10" t="n">
        <f aca="false">IF(SUMIFS('90_Origen_HH_Real_Dic25'!$C$3:$C$96,'90_Origen_HH_Real_Dic25'!$B$3:$B$96,$C55)=0,0,SUMIFS('90_Origen_EDP_Dic25'!$D$3:$D$26,'90_Origen_EDP_Dic25'!$A$3:$A$26,$C55)*E55/SUMIFS('90_Origen_HH_Real_Dic25'!$C$3:$C$96,'90_Origen_HH_Real_Dic25'!$B$3:$B$96,$C55))</f>
        <v>0</v>
      </c>
      <c r="H55" s="10" t="n">
        <f aca="false">G55-F55</f>
        <v>-311.19</v>
      </c>
    </row>
    <row r="56" customFormat="false" ht="15" hidden="false" customHeight="false" outlineLevel="0" collapsed="false">
      <c r="A56" s="8" t="s">
        <v>291</v>
      </c>
      <c r="B56" s="17" t="str">
        <f aca="false">VLOOKUP($A56,'91_Puente_Identidad'!$A$3:$M$51,6,FALSE())</f>
        <v>Ingeniero de Proyectos</v>
      </c>
      <c r="C56" s="8" t="s">
        <v>272</v>
      </c>
      <c r="D56" s="17" t="str">
        <f aca="false">IFERROR(VLOOKUP($C56,'90_Origen_EDP_Dic25'!$A$3:$C$26,2,FALSE()),"Sin país")</f>
        <v>Chile</v>
      </c>
      <c r="E56" s="35" t="n">
        <f aca="false">SUMIFS('90_Origen_HH_Real_Dic25'!$C$3:$C$96,'90_Origen_HH_Real_Dic25'!$A$3:$A$96,$A56,'90_Origen_HH_Real_Dic25'!$B$3:$B$96,$C56)</f>
        <v>15</v>
      </c>
      <c r="F56" s="10" t="n">
        <f aca="false">IF(SUMIFS('90_Origen_HH_Real_Dic25'!$C$3:$C$96,'90_Origen_HH_Real_Dic25'!$A$3:$A$96,$A56)=0,0,VLOOKUP($A56,'91_Puente_Identidad'!$A$3:$I$51,9,FALSE())*E56/SUMIFS('90_Origen_HH_Real_Dic25'!$C$3:$C$96,'90_Origen_HH_Real_Dic25'!$A$3:$A$96,$A56))</f>
        <v>311.19</v>
      </c>
      <c r="G56" s="10" t="n">
        <f aca="false">IF(SUMIFS('90_Origen_HH_Real_Dic25'!$C$3:$C$96,'90_Origen_HH_Real_Dic25'!$B$3:$B$96,$C56)=0,0,SUMIFS('90_Origen_EDP_Dic25'!$D$3:$D$26,'90_Origen_EDP_Dic25'!$A$3:$A$26,$C56)*E56/SUMIFS('90_Origen_HH_Real_Dic25'!$C$3:$C$96,'90_Origen_HH_Real_Dic25'!$B$3:$B$96,$C56))</f>
        <v>4482.64285714286</v>
      </c>
      <c r="H56" s="10" t="n">
        <f aca="false">G56-F56</f>
        <v>4171.45285714286</v>
      </c>
    </row>
    <row r="57" customFormat="false" ht="15" hidden="false" customHeight="false" outlineLevel="0" collapsed="false">
      <c r="A57" s="8" t="s">
        <v>291</v>
      </c>
      <c r="B57" s="17" t="str">
        <f aca="false">VLOOKUP($A57,'91_Puente_Identidad'!$A$3:$M$51,6,FALSE())</f>
        <v>Ingeniero de Proyectos</v>
      </c>
      <c r="C57" s="8" t="s">
        <v>266</v>
      </c>
      <c r="D57" s="17" t="str">
        <f aca="false">IFERROR(VLOOKUP($C57,'90_Origen_EDP_Dic25'!$A$3:$C$26,2,FALSE()),"Sin país")</f>
        <v>Chile</v>
      </c>
      <c r="E57" s="35" t="n">
        <f aca="false">SUMIFS('90_Origen_HH_Real_Dic25'!$C$3:$C$96,'90_Origen_HH_Real_Dic25'!$A$3:$A$96,$A57,'90_Origen_HH_Real_Dic25'!$B$3:$B$96,$C57)</f>
        <v>115</v>
      </c>
      <c r="F57" s="10" t="n">
        <f aca="false">IF(SUMIFS('90_Origen_HH_Real_Dic25'!$C$3:$C$96,'90_Origen_HH_Real_Dic25'!$A$3:$A$96,$A57)=0,0,VLOOKUP($A57,'91_Puente_Identidad'!$A$3:$I$51,9,FALSE())*E57/SUMIFS('90_Origen_HH_Real_Dic25'!$C$3:$C$96,'90_Origen_HH_Real_Dic25'!$A$3:$A$96,$A57))</f>
        <v>2385.79</v>
      </c>
      <c r="G57" s="10" t="n">
        <f aca="false">IF(SUMIFS('90_Origen_HH_Real_Dic25'!$C$3:$C$96,'90_Origen_HH_Real_Dic25'!$B$3:$B$96,$C57)=0,0,SUMIFS('90_Origen_EDP_Dic25'!$D$3:$D$26,'90_Origen_EDP_Dic25'!$A$3:$A$26,$C57)*E57/SUMIFS('90_Origen_HH_Real_Dic25'!$C$3:$C$96,'90_Origen_HH_Real_Dic25'!$B$3:$B$96,$C57))</f>
        <v>0</v>
      </c>
      <c r="H57" s="10" t="n">
        <f aca="false">G57-F57</f>
        <v>-2385.79</v>
      </c>
    </row>
    <row r="58" customFormat="false" ht="15" hidden="false" customHeight="false" outlineLevel="0" collapsed="false">
      <c r="A58" s="8" t="s">
        <v>291</v>
      </c>
      <c r="B58" s="17" t="str">
        <f aca="false">VLOOKUP($A58,'91_Puente_Identidad'!$A$3:$M$51,6,FALSE())</f>
        <v>Ingeniero de Proyectos</v>
      </c>
      <c r="C58" s="8" t="s">
        <v>273</v>
      </c>
      <c r="D58" s="17" t="str">
        <f aca="false">IFERROR(VLOOKUP($C58,'90_Origen_EDP_Dic25'!$A$3:$C$26,2,FALSE()),"Sin país")</f>
        <v>USA</v>
      </c>
      <c r="E58" s="35" t="n">
        <f aca="false">SUMIFS('90_Origen_HH_Real_Dic25'!$C$3:$C$96,'90_Origen_HH_Real_Dic25'!$A$3:$A$96,$A58,'90_Origen_HH_Real_Dic25'!$B$3:$B$96,$C58)</f>
        <v>15</v>
      </c>
      <c r="F58" s="10" t="n">
        <f aca="false">IF(SUMIFS('90_Origen_HH_Real_Dic25'!$C$3:$C$96,'90_Origen_HH_Real_Dic25'!$A$3:$A$96,$A58)=0,0,VLOOKUP($A58,'91_Puente_Identidad'!$A$3:$I$51,9,FALSE())*E58/SUMIFS('90_Origen_HH_Real_Dic25'!$C$3:$C$96,'90_Origen_HH_Real_Dic25'!$A$3:$A$96,$A58))</f>
        <v>311.19</v>
      </c>
      <c r="G58" s="10" t="n">
        <f aca="false">IF(SUMIFS('90_Origen_HH_Real_Dic25'!$C$3:$C$96,'90_Origen_HH_Real_Dic25'!$B$3:$B$96,$C58)=0,0,SUMIFS('90_Origen_EDP_Dic25'!$D$3:$D$26,'90_Origen_EDP_Dic25'!$A$3:$A$26,$C58)*E58/SUMIFS('90_Origen_HH_Real_Dic25'!$C$3:$C$96,'90_Origen_HH_Real_Dic25'!$B$3:$B$96,$C58))</f>
        <v>884.71875</v>
      </c>
      <c r="H58" s="10" t="n">
        <f aca="false">G58-F58</f>
        <v>573.52875</v>
      </c>
    </row>
    <row r="59" customFormat="false" ht="15" hidden="false" customHeight="false" outlineLevel="0" collapsed="false">
      <c r="A59" s="8" t="s">
        <v>293</v>
      </c>
      <c r="B59" s="17" t="str">
        <f aca="false">VLOOKUP($A59,'91_Puente_Identidad'!$A$3:$M$51,6,FALSE())</f>
        <v>Ingeniero Principal Senior</v>
      </c>
      <c r="C59" s="8" t="s">
        <v>250</v>
      </c>
      <c r="D59" s="17" t="str">
        <f aca="false">IFERROR(VLOOKUP($C59,'90_Origen_EDP_Dic25'!$A$3:$C$26,2,FALSE()),"Sin país")</f>
        <v>Brasil</v>
      </c>
      <c r="E59" s="35" t="n">
        <f aca="false">SUMIFS('90_Origen_HH_Real_Dic25'!$C$3:$C$96,'90_Origen_HH_Real_Dic25'!$A$3:$A$96,$A59,'90_Origen_HH_Real_Dic25'!$B$3:$B$96,$C59)</f>
        <v>101</v>
      </c>
      <c r="F59" s="10" t="n">
        <f aca="false">IF(SUMIFS('90_Origen_HH_Real_Dic25'!$C$3:$C$96,'90_Origen_HH_Real_Dic25'!$A$3:$A$96,$A59)=0,0,VLOOKUP($A59,'91_Puente_Identidad'!$A$3:$I$51,9,FALSE())*E59/SUMIFS('90_Origen_HH_Real_Dic25'!$C$3:$C$96,'90_Origen_HH_Real_Dic25'!$A$3:$A$96,$A59))</f>
        <v>4292.30412121212</v>
      </c>
      <c r="G59" s="10" t="n">
        <f aca="false">IF(SUMIFS('90_Origen_HH_Real_Dic25'!$C$3:$C$96,'90_Origen_HH_Real_Dic25'!$B$3:$B$96,$C59)=0,0,SUMIFS('90_Origen_EDP_Dic25'!$D$3:$D$26,'90_Origen_EDP_Dic25'!$A$3:$A$26,$C59)*E59/SUMIFS('90_Origen_HH_Real_Dic25'!$C$3:$C$96,'90_Origen_HH_Real_Dic25'!$B$3:$B$96,$C59))</f>
        <v>6278.83333333333</v>
      </c>
      <c r="H59" s="10" t="n">
        <f aca="false">G59-F59</f>
        <v>1986.52921212121</v>
      </c>
    </row>
    <row r="60" customFormat="false" ht="15" hidden="false" customHeight="false" outlineLevel="0" collapsed="false">
      <c r="A60" s="8" t="s">
        <v>293</v>
      </c>
      <c r="B60" s="17" t="str">
        <f aca="false">VLOOKUP($A60,'91_Puente_Identidad'!$A$3:$M$51,6,FALSE())</f>
        <v>Ingeniero Principal Senior</v>
      </c>
      <c r="C60" s="8" t="s">
        <v>251</v>
      </c>
      <c r="D60" s="17" t="str">
        <f aca="false">IFERROR(VLOOKUP($C60,'90_Origen_EDP_Dic25'!$A$3:$C$26,2,FALSE()),"Sin país")</f>
        <v>Brasil</v>
      </c>
      <c r="E60" s="35" t="n">
        <f aca="false">SUMIFS('90_Origen_HH_Real_Dic25'!$C$3:$C$96,'90_Origen_HH_Real_Dic25'!$A$3:$A$96,$A60,'90_Origen_HH_Real_Dic25'!$B$3:$B$96,$C60)</f>
        <v>64</v>
      </c>
      <c r="F60" s="10" t="n">
        <f aca="false">IF(SUMIFS('90_Origen_HH_Real_Dic25'!$C$3:$C$96,'90_Origen_HH_Real_Dic25'!$A$3:$A$96,$A60)=0,0,VLOOKUP($A60,'91_Puente_Identidad'!$A$3:$I$51,9,FALSE())*E60/SUMIFS('90_Origen_HH_Real_Dic25'!$C$3:$C$96,'90_Origen_HH_Real_Dic25'!$A$3:$A$96,$A60))</f>
        <v>2719.87587878788</v>
      </c>
      <c r="G60" s="10" t="n">
        <f aca="false">IF(SUMIFS('90_Origen_HH_Real_Dic25'!$C$3:$C$96,'90_Origen_HH_Real_Dic25'!$B$3:$B$96,$C60)=0,0,SUMIFS('90_Origen_EDP_Dic25'!$D$3:$D$26,'90_Origen_EDP_Dic25'!$A$3:$A$26,$C60)*E60/SUMIFS('90_Origen_HH_Real_Dic25'!$C$3:$C$96,'90_Origen_HH_Real_Dic25'!$B$3:$B$96,$C60))</f>
        <v>3619.92302702703</v>
      </c>
      <c r="H60" s="10" t="n">
        <f aca="false">G60-F60</f>
        <v>900.047148239148</v>
      </c>
    </row>
    <row r="61" customFormat="false" ht="15" hidden="false" customHeight="false" outlineLevel="0" collapsed="false">
      <c r="A61" s="8" t="s">
        <v>294</v>
      </c>
      <c r="B61" s="17" t="str">
        <f aca="false">VLOOKUP($A61,'91_Puente_Identidad'!$A$3:$M$51,6,FALSE())</f>
        <v>Ingeniero de Proyectos</v>
      </c>
      <c r="C61" s="8" t="s">
        <v>246</v>
      </c>
      <c r="D61" s="17" t="str">
        <f aca="false">IFERROR(VLOOKUP($C61,'90_Origen_EDP_Dic25'!$A$3:$C$26,2,FALSE()),"Sin país")</f>
        <v>Rusia</v>
      </c>
      <c r="E61" s="35" t="n">
        <f aca="false">SUMIFS('90_Origen_HH_Real_Dic25'!$C$3:$C$96,'90_Origen_HH_Real_Dic25'!$A$3:$A$96,$A61,'90_Origen_HH_Real_Dic25'!$B$3:$B$96,$C61)</f>
        <v>177</v>
      </c>
      <c r="F61" s="10" t="n">
        <f aca="false">IF(SUMIFS('90_Origen_HH_Real_Dic25'!$C$3:$C$96,'90_Origen_HH_Real_Dic25'!$A$3:$A$96,$A61)=0,0,VLOOKUP($A61,'91_Puente_Identidad'!$A$3:$I$51,9,FALSE())*E61/SUMIFS('90_Origen_HH_Real_Dic25'!$C$3:$C$96,'90_Origen_HH_Real_Dic25'!$A$3:$A$96,$A61))</f>
        <v>3758.41</v>
      </c>
      <c r="G61" s="10" t="n">
        <f aca="false">IF(SUMIFS('90_Origen_HH_Real_Dic25'!$C$3:$C$96,'90_Origen_HH_Real_Dic25'!$B$3:$B$96,$C61)=0,0,SUMIFS('90_Origen_EDP_Dic25'!$D$3:$D$26,'90_Origen_EDP_Dic25'!$A$3:$A$26,$C61)*E61/SUMIFS('90_Origen_HH_Real_Dic25'!$C$3:$C$96,'90_Origen_HH_Real_Dic25'!$B$3:$B$96,$C61))</f>
        <v>0</v>
      </c>
      <c r="H61" s="10" t="n">
        <f aca="false">G61-F61</f>
        <v>-3758.41</v>
      </c>
    </row>
    <row r="62" customFormat="false" ht="15" hidden="false" customHeight="false" outlineLevel="0" collapsed="false">
      <c r="A62" s="8" t="s">
        <v>295</v>
      </c>
      <c r="B62" s="17" t="str">
        <f aca="false">VLOOKUP($A62,'91_Puente_Identidad'!$A$3:$M$51,6,FALSE())</f>
        <v>Geólogo Junior</v>
      </c>
      <c r="C62" s="8" t="s">
        <v>272</v>
      </c>
      <c r="D62" s="17" t="str">
        <f aca="false">IFERROR(VLOOKUP($C62,'90_Origen_EDP_Dic25'!$A$3:$C$26,2,FALSE()),"Sin país")</f>
        <v>Chile</v>
      </c>
      <c r="E62" s="35" t="n">
        <f aca="false">SUMIFS('90_Origen_HH_Real_Dic25'!$C$3:$C$96,'90_Origen_HH_Real_Dic25'!$A$3:$A$96,$A62,'90_Origen_HH_Real_Dic25'!$B$3:$B$96,$C62)</f>
        <v>59</v>
      </c>
      <c r="F62" s="10" t="n">
        <f aca="false">IF(SUMIFS('90_Origen_HH_Real_Dic25'!$C$3:$C$96,'90_Origen_HH_Real_Dic25'!$A$3:$A$96,$A62)=0,0,VLOOKUP($A62,'91_Puente_Identidad'!$A$3:$I$51,9,FALSE())*E62/SUMIFS('90_Origen_HH_Real_Dic25'!$C$3:$C$96,'90_Origen_HH_Real_Dic25'!$A$3:$A$96,$A62))</f>
        <v>731.451616766467</v>
      </c>
      <c r="G62" s="10" t="n">
        <f aca="false">IF(SUMIFS('90_Origen_HH_Real_Dic25'!$C$3:$C$96,'90_Origen_HH_Real_Dic25'!$B$3:$B$96,$C62)=0,0,SUMIFS('90_Origen_EDP_Dic25'!$D$3:$D$26,'90_Origen_EDP_Dic25'!$A$3:$A$26,$C62)*E62/SUMIFS('90_Origen_HH_Real_Dic25'!$C$3:$C$96,'90_Origen_HH_Real_Dic25'!$B$3:$B$96,$C62))</f>
        <v>17631.7285714286</v>
      </c>
      <c r="H62" s="10" t="n">
        <f aca="false">G62-F62</f>
        <v>16900.2769546621</v>
      </c>
    </row>
    <row r="63" customFormat="false" ht="15" hidden="false" customHeight="false" outlineLevel="0" collapsed="false">
      <c r="A63" s="8" t="s">
        <v>295</v>
      </c>
      <c r="B63" s="17" t="str">
        <f aca="false">VLOOKUP($A63,'91_Puente_Identidad'!$A$3:$M$51,6,FALSE())</f>
        <v>Geólogo Junior</v>
      </c>
      <c r="C63" s="8" t="s">
        <v>296</v>
      </c>
      <c r="D63" s="17" t="str">
        <f aca="false">IFERROR(VLOOKUP($C63,'90_Origen_EDP_Dic25'!$A$3:$C$26,2,FALSE()),"Sin país")</f>
        <v>Chile</v>
      </c>
      <c r="E63" s="35" t="n">
        <f aca="false">SUMIFS('90_Origen_HH_Real_Dic25'!$C$3:$C$96,'90_Origen_HH_Real_Dic25'!$A$3:$A$96,$A63,'90_Origen_HH_Real_Dic25'!$B$3:$B$96,$C63)</f>
        <v>108</v>
      </c>
      <c r="F63" s="10" t="n">
        <f aca="false">IF(SUMIFS('90_Origen_HH_Real_Dic25'!$C$3:$C$96,'90_Origen_HH_Real_Dic25'!$A$3:$A$96,$A63)=0,0,VLOOKUP($A63,'91_Puente_Identidad'!$A$3:$I$51,9,FALSE())*E63/SUMIFS('90_Origen_HH_Real_Dic25'!$C$3:$C$96,'90_Origen_HH_Real_Dic25'!$A$3:$A$96,$A63))</f>
        <v>1338.92838323353</v>
      </c>
      <c r="G63" s="10" t="n">
        <f aca="false">IF(SUMIFS('90_Origen_HH_Real_Dic25'!$C$3:$C$96,'90_Origen_HH_Real_Dic25'!$B$3:$B$96,$C63)=0,0,SUMIFS('90_Origen_EDP_Dic25'!$D$3:$D$26,'90_Origen_EDP_Dic25'!$A$3:$A$26,$C63)*E63/SUMIFS('90_Origen_HH_Real_Dic25'!$C$3:$C$96,'90_Origen_HH_Real_Dic25'!$B$3:$B$96,$C63))</f>
        <v>61084.4693877551</v>
      </c>
      <c r="H63" s="10" t="n">
        <f aca="false">G63-F63</f>
        <v>59745.5410045216</v>
      </c>
    </row>
    <row r="64" customFormat="false" ht="15" hidden="false" customHeight="false" outlineLevel="0" collapsed="false">
      <c r="A64" s="8" t="s">
        <v>297</v>
      </c>
      <c r="B64" s="17" t="str">
        <f aca="false">VLOOKUP($A64,'91_Puente_Identidad'!$A$3:$M$51,6,FALSE())</f>
        <v>Ingeniero de Proyectos</v>
      </c>
      <c r="C64" s="8" t="s">
        <v>251</v>
      </c>
      <c r="D64" s="17" t="str">
        <f aca="false">IFERROR(VLOOKUP($C64,'90_Origen_EDP_Dic25'!$A$3:$C$26,2,FALSE()),"Sin país")</f>
        <v>Brasil</v>
      </c>
      <c r="E64" s="35" t="n">
        <f aca="false">SUMIFS('90_Origen_HH_Real_Dic25'!$C$3:$C$96,'90_Origen_HH_Real_Dic25'!$A$3:$A$96,$A64,'90_Origen_HH_Real_Dic25'!$B$3:$B$96,$C64)</f>
        <v>3</v>
      </c>
      <c r="F64" s="10" t="n">
        <f aca="false">IF(SUMIFS('90_Origen_HH_Real_Dic25'!$C$3:$C$96,'90_Origen_HH_Real_Dic25'!$A$3:$A$96,$A64)=0,0,VLOOKUP($A64,'91_Puente_Identidad'!$A$3:$I$51,9,FALSE())*E64/SUMIFS('90_Origen_HH_Real_Dic25'!$C$3:$C$96,'90_Origen_HH_Real_Dic25'!$A$3:$A$96,$A64))</f>
        <v>46.0084482758621</v>
      </c>
      <c r="G64" s="10" t="n">
        <f aca="false">IF(SUMIFS('90_Origen_HH_Real_Dic25'!$C$3:$C$96,'90_Origen_HH_Real_Dic25'!$B$3:$B$96,$C64)=0,0,SUMIFS('90_Origen_EDP_Dic25'!$D$3:$D$26,'90_Origen_EDP_Dic25'!$A$3:$A$26,$C64)*E64/SUMIFS('90_Origen_HH_Real_Dic25'!$C$3:$C$96,'90_Origen_HH_Real_Dic25'!$B$3:$B$96,$C64))</f>
        <v>169.683891891892</v>
      </c>
      <c r="H64" s="10" t="n">
        <f aca="false">G64-F64</f>
        <v>123.67544361603</v>
      </c>
    </row>
    <row r="65" customFormat="false" ht="15" hidden="false" customHeight="false" outlineLevel="0" collapsed="false">
      <c r="A65" s="8" t="s">
        <v>297</v>
      </c>
      <c r="B65" s="17" t="str">
        <f aca="false">VLOOKUP($A65,'91_Puente_Identidad'!$A$3:$M$51,6,FALSE())</f>
        <v>Ingeniero de Proyectos</v>
      </c>
      <c r="C65" s="8" t="s">
        <v>273</v>
      </c>
      <c r="D65" s="17" t="str">
        <f aca="false">IFERROR(VLOOKUP($C65,'90_Origen_EDP_Dic25'!$A$3:$C$26,2,FALSE()),"Sin país")</f>
        <v>USA</v>
      </c>
      <c r="E65" s="35" t="n">
        <f aca="false">SUMIFS('90_Origen_HH_Real_Dic25'!$C$3:$C$96,'90_Origen_HH_Real_Dic25'!$A$3:$A$96,$A65,'90_Origen_HH_Real_Dic25'!$B$3:$B$96,$C65)</f>
        <v>171</v>
      </c>
      <c r="F65" s="10" t="n">
        <f aca="false">IF(SUMIFS('90_Origen_HH_Real_Dic25'!$C$3:$C$96,'90_Origen_HH_Real_Dic25'!$A$3:$A$96,$A65)=0,0,VLOOKUP($A65,'91_Puente_Identidad'!$A$3:$I$51,9,FALSE())*E65/SUMIFS('90_Origen_HH_Real_Dic25'!$C$3:$C$96,'90_Origen_HH_Real_Dic25'!$A$3:$A$96,$A65))</f>
        <v>2622.48155172414</v>
      </c>
      <c r="G65" s="10" t="n">
        <f aca="false">IF(SUMIFS('90_Origen_HH_Real_Dic25'!$C$3:$C$96,'90_Origen_HH_Real_Dic25'!$B$3:$B$96,$C65)=0,0,SUMIFS('90_Origen_EDP_Dic25'!$D$3:$D$26,'90_Origen_EDP_Dic25'!$A$3:$A$26,$C65)*E65/SUMIFS('90_Origen_HH_Real_Dic25'!$C$3:$C$96,'90_Origen_HH_Real_Dic25'!$B$3:$B$96,$C65))</f>
        <v>10085.79375</v>
      </c>
      <c r="H65" s="10" t="n">
        <f aca="false">G65-F65</f>
        <v>7463.31219827586</v>
      </c>
    </row>
    <row r="66" customFormat="false" ht="15" hidden="false" customHeight="false" outlineLevel="0" collapsed="false">
      <c r="A66" s="13" t="s">
        <v>298</v>
      </c>
      <c r="B66" s="14"/>
      <c r="C66" s="14"/>
      <c r="D66" s="14"/>
      <c r="E66" s="36" t="n">
        <f aca="false">SUM(E6:E65)</f>
        <v>5102</v>
      </c>
      <c r="F66" s="15" t="n">
        <f aca="false">SUM(F6:F65)</f>
        <v>102406.08</v>
      </c>
      <c r="G66" s="15" t="n">
        <f aca="false">SUM(G6:G65)</f>
        <v>413745.700067834</v>
      </c>
      <c r="H66" s="15" t="n">
        <f aca="false">SUM(H6:H65)</f>
        <v>311339.620067834</v>
      </c>
    </row>
    <row r="68" customFormat="false" ht="26.85" hidden="false" customHeight="false" outlineLevel="0" collapsed="false">
      <c r="A68" s="3" t="s">
        <v>299</v>
      </c>
    </row>
    <row r="69" customFormat="false" ht="23.85" hidden="false" customHeight="false" outlineLevel="0" collapsed="false">
      <c r="A69" s="7" t="s">
        <v>238</v>
      </c>
      <c r="B69" s="7" t="s">
        <v>241</v>
      </c>
      <c r="C69" s="7" t="s">
        <v>300</v>
      </c>
      <c r="D69" s="7" t="s">
        <v>301</v>
      </c>
      <c r="E69" s="7" t="s">
        <v>302</v>
      </c>
    </row>
    <row r="70" customFormat="false" ht="15" hidden="false" customHeight="false" outlineLevel="0" collapsed="false">
      <c r="A70" s="8"/>
      <c r="B70" s="37" t="n">
        <f aca="false">SUMIFS('04_Rentab_Dotacion_Dic2025'!$E$6:$E$65,'04_Rentab_Dotacion_Dic2025'!$B$6:$B$65,$A70)</f>
        <v>72</v>
      </c>
      <c r="C70" s="10" t="n">
        <f aca="false">SUMIFS('04_Rentab_Dotacion_Dic2025'!$F$6:$F$65,'04_Rentab_Dotacion_Dic2025'!$B$6:$B$65,$A70)</f>
        <v>1315.59</v>
      </c>
      <c r="D70" s="10" t="n">
        <f aca="false">SUMIFS('04_Rentab_Dotacion_Dic2025'!$G$6:$G$65,'04_Rentab_Dotacion_Dic2025'!$B$6:$B$65,$A70)</f>
        <v>4307.83891891892</v>
      </c>
      <c r="E70" s="10" t="n">
        <f aca="false">SUMIFS('04_Rentab_Dotacion_Dic2025'!$H$6:$H$65,'04_Rentab_Dotacion_Dic2025'!$B$6:$B$65,$A70)</f>
        <v>2992.24891891892</v>
      </c>
    </row>
    <row r="71" customFormat="false" ht="15" hidden="false" customHeight="false" outlineLevel="0" collapsed="false">
      <c r="A71" s="8" t="s">
        <v>303</v>
      </c>
      <c r="B71" s="37" t="n">
        <f aca="false">SUMIFS('04_Rentab_Dotacion_Dic2025'!$E$6:$E$65,'04_Rentab_Dotacion_Dic2025'!$B$6:$B$65,$A71)</f>
        <v>167</v>
      </c>
      <c r="C71" s="10" t="n">
        <f aca="false">SUMIFS('04_Rentab_Dotacion_Dic2025'!$F$6:$F$65,'04_Rentab_Dotacion_Dic2025'!$B$6:$B$65,$A71)</f>
        <v>2070.38</v>
      </c>
      <c r="D71" s="10" t="n">
        <f aca="false">SUMIFS('04_Rentab_Dotacion_Dic2025'!$G$6:$G$65,'04_Rentab_Dotacion_Dic2025'!$B$6:$B$65,$A71)</f>
        <v>78716.1979591837</v>
      </c>
      <c r="E71" s="10" t="n">
        <f aca="false">SUMIFS('04_Rentab_Dotacion_Dic2025'!$H$6:$H$65,'04_Rentab_Dotacion_Dic2025'!$B$6:$B$65,$A71)</f>
        <v>76645.8179591837</v>
      </c>
    </row>
    <row r="72" customFormat="false" ht="15" hidden="false" customHeight="false" outlineLevel="0" collapsed="false">
      <c r="A72" s="8" t="s">
        <v>304</v>
      </c>
      <c r="B72" s="37" t="n">
        <f aca="false">SUMIFS('04_Rentab_Dotacion_Dic2025'!$E$6:$E$65,'04_Rentab_Dotacion_Dic2025'!$B$6:$B$65,$A72)</f>
        <v>515</v>
      </c>
      <c r="C72" s="10" t="n">
        <f aca="false">SUMIFS('04_Rentab_Dotacion_Dic2025'!$F$6:$F$65,'04_Rentab_Dotacion_Dic2025'!$B$6:$B$65,$A72)</f>
        <v>14345.69</v>
      </c>
      <c r="D72" s="10" t="n">
        <f aca="false">SUMIFS('04_Rentab_Dotacion_Dic2025'!$G$6:$G$65,'04_Rentab_Dotacion_Dic2025'!$B$6:$B$65,$A72)</f>
        <v>7790.18745945946</v>
      </c>
      <c r="E72" s="10" t="n">
        <f aca="false">SUMIFS('04_Rentab_Dotacion_Dic2025'!$H$6:$H$65,'04_Rentab_Dotacion_Dic2025'!$B$6:$B$65,$A72)</f>
        <v>-6555.50254054054</v>
      </c>
    </row>
    <row r="73" customFormat="false" ht="15" hidden="false" customHeight="false" outlineLevel="0" collapsed="false">
      <c r="A73" s="8" t="s">
        <v>305</v>
      </c>
      <c r="B73" s="37" t="n">
        <f aca="false">SUMIFS('04_Rentab_Dotacion_Dic2025'!$E$6:$E$65,'04_Rentab_Dotacion_Dic2025'!$B$6:$B$65,$A73)</f>
        <v>195</v>
      </c>
      <c r="C73" s="10" t="n">
        <f aca="false">SUMIFS('04_Rentab_Dotacion_Dic2025'!$F$6:$F$65,'04_Rentab_Dotacion_Dic2025'!$B$6:$B$65,$A73)</f>
        <v>1487.94</v>
      </c>
      <c r="D73" s="10" t="n">
        <f aca="false">SUMIFS('04_Rentab_Dotacion_Dic2025'!$G$6:$G$65,'04_Rentab_Dotacion_Dic2025'!$B$6:$B$65,$A73)</f>
        <v>0</v>
      </c>
      <c r="E73" s="10" t="n">
        <f aca="false">SUMIFS('04_Rentab_Dotacion_Dic2025'!$H$6:$H$65,'04_Rentab_Dotacion_Dic2025'!$B$6:$B$65,$A73)</f>
        <v>-1487.94</v>
      </c>
    </row>
    <row r="74" customFormat="false" ht="15" hidden="false" customHeight="false" outlineLevel="0" collapsed="false">
      <c r="A74" s="8" t="s">
        <v>306</v>
      </c>
      <c r="B74" s="37" t="n">
        <f aca="false">SUMIFS('04_Rentab_Dotacion_Dic2025'!$E$6:$E$65,'04_Rentab_Dotacion_Dic2025'!$B$6:$B$65,$A74)</f>
        <v>357</v>
      </c>
      <c r="C74" s="10" t="n">
        <f aca="false">SUMIFS('04_Rentab_Dotacion_Dic2025'!$F$6:$F$65,'04_Rentab_Dotacion_Dic2025'!$B$6:$B$65,$A74)</f>
        <v>3953.61</v>
      </c>
      <c r="D74" s="10" t="n">
        <f aca="false">SUMIFS('04_Rentab_Dotacion_Dic2025'!$G$6:$G$65,'04_Rentab_Dotacion_Dic2025'!$B$6:$B$65,$A74)</f>
        <v>15347.2288228155</v>
      </c>
      <c r="E74" s="10" t="n">
        <f aca="false">SUMIFS('04_Rentab_Dotacion_Dic2025'!$H$6:$H$65,'04_Rentab_Dotacion_Dic2025'!$B$6:$B$65,$A74)</f>
        <v>11393.6188228155</v>
      </c>
    </row>
    <row r="75" customFormat="false" ht="15" hidden="false" customHeight="false" outlineLevel="0" collapsed="false">
      <c r="A75" s="8" t="s">
        <v>307</v>
      </c>
      <c r="B75" s="37" t="n">
        <f aca="false">SUMIFS('04_Rentab_Dotacion_Dic2025'!$E$6:$E$65,'04_Rentab_Dotacion_Dic2025'!$B$6:$B$65,$A75)</f>
        <v>470</v>
      </c>
      <c r="C75" s="10" t="n">
        <f aca="false">SUMIFS('04_Rentab_Dotacion_Dic2025'!$F$6:$F$65,'04_Rentab_Dotacion_Dic2025'!$B$6:$B$65,$A75)</f>
        <v>15618.12</v>
      </c>
      <c r="D75" s="10" t="n">
        <f aca="false">SUMIFS('04_Rentab_Dotacion_Dic2025'!$G$6:$G$65,'04_Rentab_Dotacion_Dic2025'!$B$6:$B$65,$A75)</f>
        <v>88828.4673722651</v>
      </c>
      <c r="E75" s="10" t="n">
        <f aca="false">SUMIFS('04_Rentab_Dotacion_Dic2025'!$H$6:$H$65,'04_Rentab_Dotacion_Dic2025'!$B$6:$B$65,$A75)</f>
        <v>73210.3473722651</v>
      </c>
    </row>
    <row r="76" customFormat="false" ht="15" hidden="false" customHeight="false" outlineLevel="0" collapsed="false">
      <c r="A76" s="8" t="s">
        <v>308</v>
      </c>
      <c r="B76" s="37" t="n">
        <f aca="false">SUMIFS('04_Rentab_Dotacion_Dic2025'!$E$6:$E$65,'04_Rentab_Dotacion_Dic2025'!$B$6:$B$65,$A76)</f>
        <v>2815</v>
      </c>
      <c r="C76" s="10" t="n">
        <f aca="false">SUMIFS('04_Rentab_Dotacion_Dic2025'!$F$6:$F$65,'04_Rentab_Dotacion_Dic2025'!$B$6:$B$65,$A76)</f>
        <v>53447.97</v>
      </c>
      <c r="D76" s="10" t="n">
        <f aca="false">SUMIFS('04_Rentab_Dotacion_Dic2025'!$G$6:$G$65,'04_Rentab_Dotacion_Dic2025'!$B$6:$B$65,$A76)</f>
        <v>218755.779535191</v>
      </c>
      <c r="E76" s="10" t="n">
        <f aca="false">SUMIFS('04_Rentab_Dotacion_Dic2025'!$H$6:$H$65,'04_Rentab_Dotacion_Dic2025'!$B$6:$B$65,$A76)</f>
        <v>165307.809535191</v>
      </c>
    </row>
    <row r="77" customFormat="false" ht="15" hidden="false" customHeight="false" outlineLevel="0" collapsed="false">
      <c r="A77" s="8" t="s">
        <v>309</v>
      </c>
      <c r="B77" s="37" t="n">
        <f aca="false">SUMIFS('04_Rentab_Dotacion_Dic2025'!$E$6:$E$65,'04_Rentab_Dotacion_Dic2025'!$B$6:$B$65,$A77)</f>
        <v>371</v>
      </c>
      <c r="C77" s="10" t="n">
        <f aca="false">SUMIFS('04_Rentab_Dotacion_Dic2025'!$F$6:$F$65,'04_Rentab_Dotacion_Dic2025'!$B$6:$B$65,$A77)</f>
        <v>6644.66</v>
      </c>
      <c r="D77" s="10" t="n">
        <f aca="false">SUMIFS('04_Rentab_Dotacion_Dic2025'!$G$6:$G$65,'04_Rentab_Dotacion_Dic2025'!$B$6:$B$65,$A77)</f>
        <v>0</v>
      </c>
      <c r="E77" s="10" t="n">
        <f aca="false">SUMIFS('04_Rentab_Dotacion_Dic2025'!$H$6:$H$65,'04_Rentab_Dotacion_Dic2025'!$B$6:$B$65,$A77)</f>
        <v>-6644.66</v>
      </c>
    </row>
    <row r="78" customFormat="false" ht="15" hidden="false" customHeight="false" outlineLevel="0" collapsed="false">
      <c r="A78" s="8" t="s">
        <v>310</v>
      </c>
      <c r="B78" s="37" t="n">
        <f aca="false">SUMIFS('04_Rentab_Dotacion_Dic2025'!$E$6:$E$65,'04_Rentab_Dotacion_Dic2025'!$B$6:$B$65,$A78)</f>
        <v>140</v>
      </c>
      <c r="C78" s="10" t="n">
        <f aca="false">SUMIFS('04_Rentab_Dotacion_Dic2025'!$F$6:$F$65,'04_Rentab_Dotacion_Dic2025'!$B$6:$B$65,$A78)</f>
        <v>3522.12</v>
      </c>
      <c r="D78" s="10" t="n">
        <f aca="false">SUMIFS('04_Rentab_Dotacion_Dic2025'!$G$6:$G$65,'04_Rentab_Dotacion_Dic2025'!$B$6:$B$65,$A78)</f>
        <v>0</v>
      </c>
      <c r="E78" s="10" t="n">
        <f aca="false">SUMIFS('04_Rentab_Dotacion_Dic2025'!$H$6:$H$65,'04_Rentab_Dotacion_Dic2025'!$B$6:$B$65,$A78)</f>
        <v>-3522.12</v>
      </c>
    </row>
    <row r="80" customFormat="false" ht="26.85" hidden="false" customHeight="false" outlineLevel="0" collapsed="false">
      <c r="A80" s="3" t="s">
        <v>311</v>
      </c>
    </row>
    <row r="81" customFormat="false" ht="23.85" hidden="false" customHeight="false" outlineLevel="0" collapsed="false">
      <c r="A81" s="7" t="s">
        <v>240</v>
      </c>
      <c r="B81" s="7" t="s">
        <v>241</v>
      </c>
      <c r="C81" s="7" t="s">
        <v>300</v>
      </c>
      <c r="D81" s="7" t="s">
        <v>301</v>
      </c>
      <c r="E81" s="7" t="s">
        <v>302</v>
      </c>
    </row>
    <row r="82" customFormat="false" ht="15" hidden="false" customHeight="false" outlineLevel="0" collapsed="false">
      <c r="A82" s="8" t="s">
        <v>62</v>
      </c>
      <c r="B82" s="37" t="n">
        <f aca="false">SUMIFS('04_Rentab_Dotacion_Dic2025'!$E$6:$E$65,'04_Rentab_Dotacion_Dic2025'!$D$6:$D$65,$A82)</f>
        <v>1185</v>
      </c>
      <c r="C82" s="10" t="n">
        <f aca="false">SUMIFS('04_Rentab_Dotacion_Dic2025'!$F$6:$F$65,'04_Rentab_Dotacion_Dic2025'!$D$6:$D$65,$A82)</f>
        <v>25663.7180297467</v>
      </c>
      <c r="D82" s="10" t="n">
        <f aca="false">SUMIFS('04_Rentab_Dotacion_Dic2025'!$G$6:$G$65,'04_Rentab_Dotacion_Dic2025'!$D$6:$D$65,$A82)</f>
        <v>121235.555133736</v>
      </c>
      <c r="E82" s="10" t="n">
        <f aca="false">SUMIFS('04_Rentab_Dotacion_Dic2025'!$H$6:$H$65,'04_Rentab_Dotacion_Dic2025'!$D$6:$D$65,$A82)</f>
        <v>95571.837103989</v>
      </c>
    </row>
    <row r="83" customFormat="false" ht="15" hidden="false" customHeight="false" outlineLevel="0" collapsed="false">
      <c r="A83" s="8" t="s">
        <v>48</v>
      </c>
      <c r="B83" s="37" t="n">
        <f aca="false">SUMIFS('04_Rentab_Dotacion_Dic2025'!$E$6:$E$65,'04_Rentab_Dotacion_Dic2025'!$D$6:$D$65,$A83)</f>
        <v>905</v>
      </c>
      <c r="C83" s="10" t="n">
        <f aca="false">SUMIFS('04_Rentab_Dotacion_Dic2025'!$F$6:$F$65,'04_Rentab_Dotacion_Dic2025'!$D$6:$D$65,$A83)</f>
        <v>17006.9867700269</v>
      </c>
      <c r="D83" s="10" t="n">
        <f aca="false">SUMIFS('04_Rentab_Dotacion_Dic2025'!$G$6:$G$65,'04_Rentab_Dotacion_Dic2025'!$D$6:$D$65,$A83)</f>
        <v>232614.469387755</v>
      </c>
      <c r="E83" s="10" t="n">
        <f aca="false">SUMIFS('04_Rentab_Dotacion_Dic2025'!$H$6:$H$65,'04_Rentab_Dotacion_Dic2025'!$D$6:$D$65,$A83)</f>
        <v>215607.482617728</v>
      </c>
    </row>
    <row r="84" customFormat="false" ht="15" hidden="false" customHeight="false" outlineLevel="0" collapsed="false">
      <c r="A84" s="8" t="s">
        <v>61</v>
      </c>
      <c r="B84" s="37" t="n">
        <f aca="false">SUMIFS('04_Rentab_Dotacion_Dic2025'!$E$6:$E$65,'04_Rentab_Dotacion_Dic2025'!$D$6:$D$65,$A84)</f>
        <v>726</v>
      </c>
      <c r="C84" s="10" t="n">
        <f aca="false">SUMIFS('04_Rentab_Dotacion_Dic2025'!$F$6:$F$65,'04_Rentab_Dotacion_Dic2025'!$D$6:$D$65,$A84)</f>
        <v>15107.7842575902</v>
      </c>
      <c r="D84" s="10" t="n">
        <f aca="false">SUMIFS('04_Rentab_Dotacion_Dic2025'!$G$6:$G$65,'04_Rentab_Dotacion_Dic2025'!$D$6:$D$65,$A84)</f>
        <v>31584.675546343</v>
      </c>
      <c r="E84" s="10" t="n">
        <f aca="false">SUMIFS('04_Rentab_Dotacion_Dic2025'!$H$6:$H$65,'04_Rentab_Dotacion_Dic2025'!$D$6:$D$65,$A84)</f>
        <v>16476.8912887528</v>
      </c>
    </row>
    <row r="85" customFormat="false" ht="15" hidden="false" customHeight="false" outlineLevel="0" collapsed="false">
      <c r="A85" s="8" t="s">
        <v>76</v>
      </c>
      <c r="B85" s="37" t="n">
        <f aca="false">SUMIFS('04_Rentab_Dotacion_Dic2025'!$E$6:$E$65,'04_Rentab_Dotacion_Dic2025'!$D$6:$D$65,$A85)</f>
        <v>1791</v>
      </c>
      <c r="C85" s="10" t="n">
        <f aca="false">SUMIFS('04_Rentab_Dotacion_Dic2025'!$F$6:$F$65,'04_Rentab_Dotacion_Dic2025'!$D$6:$D$65,$A85)</f>
        <v>37319.435060725</v>
      </c>
      <c r="D85" s="10" t="n">
        <f aca="false">SUMIFS('04_Rentab_Dotacion_Dic2025'!$G$6:$G$65,'04_Rentab_Dotacion_Dic2025'!$D$6:$D$65,$A85)</f>
        <v>0</v>
      </c>
      <c r="E85" s="10" t="n">
        <f aca="false">SUMIFS('04_Rentab_Dotacion_Dic2025'!$H$6:$H$65,'04_Rentab_Dotacion_Dic2025'!$D$6:$D$65,$A85)</f>
        <v>-37319.435060725</v>
      </c>
    </row>
    <row r="86" customFormat="false" ht="15" hidden="false" customHeight="false" outlineLevel="0" collapsed="false">
      <c r="A86" s="8" t="s">
        <v>312</v>
      </c>
      <c r="B86" s="37" t="n">
        <f aca="false">SUMIFS('04_Rentab_Dotacion_Dic2025'!$E$6:$E$65,'04_Rentab_Dotacion_Dic2025'!$D$6:$D$65,$A86)</f>
        <v>15</v>
      </c>
      <c r="C86" s="10" t="n">
        <f aca="false">SUMIFS('04_Rentab_Dotacion_Dic2025'!$F$6:$F$65,'04_Rentab_Dotacion_Dic2025'!$D$6:$D$65,$A86)</f>
        <v>311.19</v>
      </c>
      <c r="D86" s="10" t="n">
        <f aca="false">SUMIFS('04_Rentab_Dotacion_Dic2025'!$G$6:$G$65,'04_Rentab_Dotacion_Dic2025'!$D$6:$D$65,$A86)</f>
        <v>0</v>
      </c>
      <c r="E86" s="10" t="n">
        <f aca="false">SUMIFS('04_Rentab_Dotacion_Dic2025'!$H$6:$H$65,'04_Rentab_Dotacion_Dic2025'!$D$6:$D$65,$A86)</f>
        <v>-311.19</v>
      </c>
    </row>
    <row r="87" customFormat="false" ht="15" hidden="false" customHeight="false" outlineLevel="0" collapsed="false">
      <c r="A87" s="8" t="s">
        <v>63</v>
      </c>
      <c r="B87" s="37" t="n">
        <f aca="false">SUMIFS('04_Rentab_Dotacion_Dic2025'!$E$6:$E$65,'04_Rentab_Dotacion_Dic2025'!$D$6:$D$65,$A87)</f>
        <v>480</v>
      </c>
      <c r="C87" s="10" t="n">
        <f aca="false">SUMIFS('04_Rentab_Dotacion_Dic2025'!$F$6:$F$65,'04_Rentab_Dotacion_Dic2025'!$D$6:$D$65,$A87)</f>
        <v>6996.96588191122</v>
      </c>
      <c r="D87" s="10" t="n">
        <f aca="false">SUMIFS('04_Rentab_Dotacion_Dic2025'!$G$6:$G$65,'04_Rentab_Dotacion_Dic2025'!$D$6:$D$65,$A87)</f>
        <v>28311</v>
      </c>
      <c r="E87" s="10" t="n">
        <f aca="false">SUMIFS('04_Rentab_Dotacion_Dic2025'!$H$6:$H$65,'04_Rentab_Dotacion_Dic2025'!$D$6:$D$65,$A87)</f>
        <v>21314.0341180888</v>
      </c>
    </row>
    <row r="89" customFormat="false" ht="39.55" hidden="false" customHeight="false" outlineLevel="0" collapsed="false">
      <c r="A89" s="3" t="s">
        <v>313</v>
      </c>
    </row>
    <row r="90" customFormat="false" ht="23.85" hidden="false" customHeight="false" outlineLevel="0" collapsed="false">
      <c r="A90" s="7" t="s">
        <v>239</v>
      </c>
      <c r="B90" s="7" t="s">
        <v>42</v>
      </c>
      <c r="C90" s="7" t="s">
        <v>241</v>
      </c>
      <c r="D90" s="7" t="s">
        <v>301</v>
      </c>
      <c r="E90" s="7" t="s">
        <v>300</v>
      </c>
      <c r="F90" s="7" t="s">
        <v>302</v>
      </c>
      <c r="G90" s="7" t="s">
        <v>314</v>
      </c>
    </row>
    <row r="91" customFormat="false" ht="15" hidden="false" customHeight="false" outlineLevel="0" collapsed="false">
      <c r="A91" s="8" t="s">
        <v>275</v>
      </c>
      <c r="B91" s="17" t="str">
        <f aca="false">IFERROR(VLOOKUP($A91,'90_Origen_EDP_Dic25'!$A$3:$C$26,2,FALSE()),"-")</f>
        <v>Chile</v>
      </c>
      <c r="C91" s="37" t="n">
        <f aca="false">SUMIFS('04_Rentab_Dotacion_Dic2025'!$E$6:$E$65,'04_Rentab_Dotacion_Dic2025'!$C$6:$C$65,$A91)</f>
        <v>322</v>
      </c>
      <c r="D91" s="10" t="n">
        <f aca="false">SUMIFS('04_Rentab_Dotacion_Dic2025'!$G$6:$G$65,'04_Rentab_Dotacion_Dic2025'!$C$6:$C$65,$A91)</f>
        <v>0</v>
      </c>
      <c r="E91" s="10" t="n">
        <f aca="false">SUMIFS('04_Rentab_Dotacion_Dic2025'!$F$6:$F$65,'04_Rentab_Dotacion_Dic2025'!$C$6:$C$65,$A91)</f>
        <v>5928.64877005348</v>
      </c>
      <c r="F91" s="10" t="n">
        <f aca="false">SUMIFS('04_Rentab_Dotacion_Dic2025'!$H$6:$H$65,'04_Rentab_Dotacion_Dic2025'!$C$6:$C$65,$A91)</f>
        <v>-5928.64877005348</v>
      </c>
      <c r="G91" s="9" t="n">
        <f aca="false">SUMIFS('90_Origen_EDP_Dic25'!$D$3:$D$26,'90_Origen_EDP_Dic25'!$A$3:$A$26,$A91)</f>
        <v>0</v>
      </c>
    </row>
    <row r="92" customFormat="false" ht="15" hidden="false" customHeight="false" outlineLevel="0" collapsed="false">
      <c r="A92" s="8" t="s">
        <v>256</v>
      </c>
      <c r="B92" s="17" t="str">
        <f aca="false">IFERROR(VLOOKUP($A92,'90_Origen_EDP_Dic25'!$A$3:$C$26,2,FALSE()),"-")</f>
        <v>Chile</v>
      </c>
      <c r="C92" s="37" t="n">
        <f aca="false">SUMIFS('04_Rentab_Dotacion_Dic2025'!$E$6:$E$65,'04_Rentab_Dotacion_Dic2025'!$C$6:$C$65,$A92)</f>
        <v>84</v>
      </c>
      <c r="D92" s="10" t="n">
        <f aca="false">SUMIFS('04_Rentab_Dotacion_Dic2025'!$G$6:$G$65,'04_Rentab_Dotacion_Dic2025'!$C$6:$C$65,$A92)</f>
        <v>129692</v>
      </c>
      <c r="E92" s="10" t="n">
        <f aca="false">SUMIFS('04_Rentab_Dotacion_Dic2025'!$F$6:$F$65,'04_Rentab_Dotacion_Dic2025'!$C$6:$C$65,$A92)</f>
        <v>1950.16995451249</v>
      </c>
      <c r="F92" s="10" t="n">
        <f aca="false">SUMIFS('04_Rentab_Dotacion_Dic2025'!$H$6:$H$65,'04_Rentab_Dotacion_Dic2025'!$C$6:$C$65,$A92)</f>
        <v>127741.830045488</v>
      </c>
      <c r="G92" s="9" t="n">
        <f aca="false">SUMIFS('90_Origen_EDP_Dic25'!$D$3:$D$26,'90_Origen_EDP_Dic25'!$A$3:$A$26,$A92)</f>
        <v>129692</v>
      </c>
    </row>
    <row r="93" customFormat="false" ht="15" hidden="false" customHeight="false" outlineLevel="0" collapsed="false">
      <c r="A93" s="8" t="s">
        <v>281</v>
      </c>
      <c r="B93" s="17" t="str">
        <f aca="false">IFERROR(VLOOKUP($A93,'90_Origen_EDP_Dic25'!$A$3:$C$26,2,FALSE()),"-")</f>
        <v>Perú</v>
      </c>
      <c r="C93" s="37" t="n">
        <f aca="false">SUMIFS('04_Rentab_Dotacion_Dic2025'!$E$6:$E$65,'04_Rentab_Dotacion_Dic2025'!$C$6:$C$65,$A93)</f>
        <v>27</v>
      </c>
      <c r="D93" s="10" t="n">
        <f aca="false">SUMIFS('04_Rentab_Dotacion_Dic2025'!$G$6:$G$65,'04_Rentab_Dotacion_Dic2025'!$C$6:$C$65,$A93)</f>
        <v>3730.29288702929</v>
      </c>
      <c r="E93" s="10" t="n">
        <f aca="false">SUMIFS('04_Rentab_Dotacion_Dic2025'!$F$6:$F$65,'04_Rentab_Dotacion_Dic2025'!$C$6:$C$65,$A93)</f>
        <v>1706.2425</v>
      </c>
      <c r="F93" s="10" t="n">
        <f aca="false">SUMIFS('04_Rentab_Dotacion_Dic2025'!$H$6:$H$65,'04_Rentab_Dotacion_Dic2025'!$C$6:$C$65,$A93)</f>
        <v>2024.05038702929</v>
      </c>
      <c r="G93" s="9" t="n">
        <f aca="false">SUMIFS('90_Origen_EDP_Dic25'!$D$3:$D$26,'90_Origen_EDP_Dic25'!$A$3:$A$26,$A93)</f>
        <v>33020</v>
      </c>
    </row>
    <row r="94" customFormat="false" ht="15" hidden="false" customHeight="false" outlineLevel="0" collapsed="false">
      <c r="A94" s="8" t="s">
        <v>292</v>
      </c>
      <c r="B94" s="17" t="str">
        <f aca="false">IFERROR(VLOOKUP($A94,'90_Origen_EDP_Dic25'!$A$3:$C$26,2,FALSE()),"-")</f>
        <v>Sin país</v>
      </c>
      <c r="C94" s="37" t="n">
        <f aca="false">SUMIFS('04_Rentab_Dotacion_Dic2025'!$E$6:$E$65,'04_Rentab_Dotacion_Dic2025'!$C$6:$C$65,$A94)</f>
        <v>15</v>
      </c>
      <c r="D94" s="10" t="n">
        <f aca="false">SUMIFS('04_Rentab_Dotacion_Dic2025'!$G$6:$G$65,'04_Rentab_Dotacion_Dic2025'!$C$6:$C$65,$A94)</f>
        <v>0</v>
      </c>
      <c r="E94" s="10" t="n">
        <f aca="false">SUMIFS('04_Rentab_Dotacion_Dic2025'!$F$6:$F$65,'04_Rentab_Dotacion_Dic2025'!$C$6:$C$65,$A94)</f>
        <v>311.19</v>
      </c>
      <c r="F94" s="10" t="n">
        <f aca="false">SUMIFS('04_Rentab_Dotacion_Dic2025'!$H$6:$H$65,'04_Rentab_Dotacion_Dic2025'!$C$6:$C$65,$A94)</f>
        <v>-311.19</v>
      </c>
      <c r="G94" s="9" t="n">
        <f aca="false">SUMIFS('90_Origen_EDP_Dic25'!$D$3:$D$26,'90_Origen_EDP_Dic25'!$A$3:$A$26,$A94)</f>
        <v>0</v>
      </c>
    </row>
    <row r="95" customFormat="false" ht="15" hidden="false" customHeight="false" outlineLevel="0" collapsed="false">
      <c r="A95" s="8" t="s">
        <v>258</v>
      </c>
      <c r="B95" s="17" t="str">
        <f aca="false">IFERROR(VLOOKUP($A95,'90_Origen_EDP_Dic25'!$A$3:$C$26,2,FALSE()),"-")</f>
        <v>Rusia</v>
      </c>
      <c r="C95" s="37" t="n">
        <f aca="false">SUMIFS('04_Rentab_Dotacion_Dic2025'!$E$6:$E$65,'04_Rentab_Dotacion_Dic2025'!$C$6:$C$65,$A95)</f>
        <v>293</v>
      </c>
      <c r="D95" s="10" t="n">
        <f aca="false">SUMIFS('04_Rentab_Dotacion_Dic2025'!$G$6:$G$65,'04_Rentab_Dotacion_Dic2025'!$C$6:$C$65,$A95)</f>
        <v>0</v>
      </c>
      <c r="E95" s="10" t="n">
        <f aca="false">SUMIFS('04_Rentab_Dotacion_Dic2025'!$F$6:$F$65,'04_Rentab_Dotacion_Dic2025'!$C$6:$C$65,$A95)</f>
        <v>7247.46762146893</v>
      </c>
      <c r="F95" s="10" t="n">
        <f aca="false">SUMIFS('04_Rentab_Dotacion_Dic2025'!$H$6:$H$65,'04_Rentab_Dotacion_Dic2025'!$C$6:$C$65,$A95)</f>
        <v>-7247.46762146893</v>
      </c>
      <c r="G95" s="9" t="n">
        <f aca="false">SUMIFS('90_Origen_EDP_Dic25'!$D$3:$D$26,'90_Origen_EDP_Dic25'!$A$3:$A$26,$A95)</f>
        <v>0</v>
      </c>
    </row>
    <row r="96" customFormat="false" ht="15" hidden="false" customHeight="false" outlineLevel="0" collapsed="false">
      <c r="A96" s="8" t="s">
        <v>250</v>
      </c>
      <c r="B96" s="17" t="str">
        <f aca="false">IFERROR(VLOOKUP($A96,'90_Origen_EDP_Dic25'!$A$3:$C$26,2,FALSE()),"-")</f>
        <v>Brasil</v>
      </c>
      <c r="C96" s="37" t="n">
        <f aca="false">SUMIFS('04_Rentab_Dotacion_Dic2025'!$E$6:$E$65,'04_Rentab_Dotacion_Dic2025'!$C$6:$C$65,$A96)</f>
        <v>379</v>
      </c>
      <c r="D96" s="10" t="n">
        <f aca="false">SUMIFS('04_Rentab_Dotacion_Dic2025'!$G$6:$G$65,'04_Rentab_Dotacion_Dic2025'!$C$6:$C$65,$A96)</f>
        <v>23561.1666666667</v>
      </c>
      <c r="E96" s="10" t="n">
        <f aca="false">SUMIFS('04_Rentab_Dotacion_Dic2025'!$F$6:$F$65,'04_Rentab_Dotacion_Dic2025'!$C$6:$C$65,$A96)</f>
        <v>10534.7859770878</v>
      </c>
      <c r="F96" s="10" t="n">
        <f aca="false">SUMIFS('04_Rentab_Dotacion_Dic2025'!$H$6:$H$65,'04_Rentab_Dotacion_Dic2025'!$C$6:$C$65,$A96)</f>
        <v>13026.3806895789</v>
      </c>
      <c r="G96" s="9" t="n">
        <f aca="false">SUMIFS('90_Origen_EDP_Dic25'!$D$3:$D$26,'90_Origen_EDP_Dic25'!$A$3:$A$26,$A96)</f>
        <v>23872</v>
      </c>
    </row>
    <row r="97" customFormat="false" ht="15" hidden="false" customHeight="false" outlineLevel="0" collapsed="false">
      <c r="A97" s="8" t="s">
        <v>272</v>
      </c>
      <c r="B97" s="17" t="str">
        <f aca="false">IFERROR(VLOOKUP($A97,'90_Origen_EDP_Dic25'!$A$3:$C$26,2,FALSE()),"-")</f>
        <v>Chile</v>
      </c>
      <c r="C97" s="37" t="n">
        <f aca="false">SUMIFS('04_Rentab_Dotacion_Dic2025'!$E$6:$E$65,'04_Rentab_Dotacion_Dic2025'!$C$6:$C$65,$A97)</f>
        <v>140</v>
      </c>
      <c r="D97" s="10" t="n">
        <f aca="false">SUMIFS('04_Rentab_Dotacion_Dic2025'!$G$6:$G$65,'04_Rentab_Dotacion_Dic2025'!$C$6:$C$65,$A97)</f>
        <v>41838</v>
      </c>
      <c r="E97" s="10" t="n">
        <f aca="false">SUMIFS('04_Rentab_Dotacion_Dic2025'!$F$6:$F$65,'04_Rentab_Dotacion_Dic2025'!$C$6:$C$65,$A97)</f>
        <v>2884.19896775985</v>
      </c>
      <c r="F97" s="10" t="n">
        <f aca="false">SUMIFS('04_Rentab_Dotacion_Dic2025'!$H$6:$H$65,'04_Rentab_Dotacion_Dic2025'!$C$6:$C$65,$A97)</f>
        <v>38953.8010322402</v>
      </c>
      <c r="G97" s="9" t="n">
        <f aca="false">SUMIFS('90_Origen_EDP_Dic25'!$D$3:$D$26,'90_Origen_EDP_Dic25'!$A$3:$A$26,$A97)</f>
        <v>41838</v>
      </c>
    </row>
    <row r="98" customFormat="false" ht="15" hidden="false" customHeight="false" outlineLevel="0" collapsed="false">
      <c r="A98" s="8" t="s">
        <v>266</v>
      </c>
      <c r="B98" s="17" t="str">
        <f aca="false">IFERROR(VLOOKUP($A98,'90_Origen_EDP_Dic25'!$A$3:$C$26,2,FALSE()),"-")</f>
        <v>Chile</v>
      </c>
      <c r="C98" s="37" t="n">
        <f aca="false">SUMIFS('04_Rentab_Dotacion_Dic2025'!$E$6:$E$65,'04_Rentab_Dotacion_Dic2025'!$C$6:$C$65,$A98)</f>
        <v>166</v>
      </c>
      <c r="D98" s="10" t="n">
        <f aca="false">SUMIFS('04_Rentab_Dotacion_Dic2025'!$G$6:$G$65,'04_Rentab_Dotacion_Dic2025'!$C$6:$C$65,$A98)</f>
        <v>0</v>
      </c>
      <c r="E98" s="10" t="n">
        <f aca="false">SUMIFS('04_Rentab_Dotacion_Dic2025'!$F$6:$F$65,'04_Rentab_Dotacion_Dic2025'!$C$6:$C$65,$A98)</f>
        <v>3491.27166666667</v>
      </c>
      <c r="F98" s="10" t="n">
        <f aca="false">SUMIFS('04_Rentab_Dotacion_Dic2025'!$H$6:$H$65,'04_Rentab_Dotacion_Dic2025'!$C$6:$C$65,$A98)</f>
        <v>-3491.27166666667</v>
      </c>
      <c r="G98" s="9" t="n">
        <f aca="false">SUMIFS('90_Origen_EDP_Dic25'!$D$3:$D$26,'90_Origen_EDP_Dic25'!$A$3:$A$26,$A98)</f>
        <v>0</v>
      </c>
    </row>
    <row r="99" customFormat="false" ht="15" hidden="false" customHeight="false" outlineLevel="0" collapsed="false">
      <c r="A99" s="8" t="s">
        <v>276</v>
      </c>
      <c r="B99" s="17" t="str">
        <f aca="false">IFERROR(VLOOKUP($A99,'90_Origen_EDP_Dic25'!$A$3:$C$26,2,FALSE()),"-")</f>
        <v>Chile</v>
      </c>
      <c r="C99" s="37" t="n">
        <f aca="false">SUMIFS('04_Rentab_Dotacion_Dic2025'!$E$6:$E$65,'04_Rentab_Dotacion_Dic2025'!$C$6:$C$65,$A99)</f>
        <v>61</v>
      </c>
      <c r="D99" s="10" t="n">
        <f aca="false">SUMIFS('04_Rentab_Dotacion_Dic2025'!$G$6:$G$65,'04_Rentab_Dotacion_Dic2025'!$C$6:$C$65,$A99)</f>
        <v>0</v>
      </c>
      <c r="E99" s="10" t="n">
        <f aca="false">SUMIFS('04_Rentab_Dotacion_Dic2025'!$F$6:$F$65,'04_Rentab_Dotacion_Dic2025'!$C$6:$C$65,$A99)</f>
        <v>1088.70915202445</v>
      </c>
      <c r="F99" s="10" t="n">
        <f aca="false">SUMIFS('04_Rentab_Dotacion_Dic2025'!$H$6:$H$65,'04_Rentab_Dotacion_Dic2025'!$C$6:$C$65,$A99)</f>
        <v>-1088.70915202445</v>
      </c>
      <c r="G99" s="9" t="n">
        <f aca="false">SUMIFS('90_Origen_EDP_Dic25'!$D$3:$D$26,'90_Origen_EDP_Dic25'!$A$3:$A$26,$A99)</f>
        <v>0</v>
      </c>
    </row>
    <row r="100" customFormat="false" ht="15" hidden="false" customHeight="false" outlineLevel="0" collapsed="false">
      <c r="A100" s="8" t="s">
        <v>248</v>
      </c>
      <c r="B100" s="17" t="str">
        <f aca="false">IFERROR(VLOOKUP($A100,'90_Origen_EDP_Dic25'!$A$3:$C$26,2,FALSE()),"-")</f>
        <v>Brasil</v>
      </c>
      <c r="C100" s="37" t="n">
        <f aca="false">SUMIFS('04_Rentab_Dotacion_Dic2025'!$E$6:$E$65,'04_Rentab_Dotacion_Dic2025'!$C$6:$C$65,$A100)</f>
        <v>394</v>
      </c>
      <c r="D100" s="10" t="n">
        <f aca="false">SUMIFS('04_Rentab_Dotacion_Dic2025'!$G$6:$G$65,'04_Rentab_Dotacion_Dic2025'!$C$6:$C$65,$A100)</f>
        <v>74371.1339805825</v>
      </c>
      <c r="E100" s="10" t="n">
        <f aca="false">SUMIFS('04_Rentab_Dotacion_Dic2025'!$F$6:$F$65,'04_Rentab_Dotacion_Dic2025'!$C$6:$C$65,$A100)</f>
        <v>6101.19325471698</v>
      </c>
      <c r="F100" s="10" t="n">
        <f aca="false">SUMIFS('04_Rentab_Dotacion_Dic2025'!$H$6:$H$65,'04_Rentab_Dotacion_Dic2025'!$C$6:$C$65,$A100)</f>
        <v>68269.9407258655</v>
      </c>
      <c r="G100" s="9" t="n">
        <f aca="false">SUMIFS('90_Origen_EDP_Dic25'!$D$3:$D$26,'90_Origen_EDP_Dic25'!$A$3:$A$26,$A100)</f>
        <v>97211</v>
      </c>
    </row>
    <row r="101" customFormat="false" ht="15" hidden="false" customHeight="false" outlineLevel="0" collapsed="false">
      <c r="A101" s="8" t="s">
        <v>251</v>
      </c>
      <c r="B101" s="17" t="str">
        <f aca="false">IFERROR(VLOOKUP($A101,'90_Origen_EDP_Dic25'!$A$3:$C$26,2,FALSE()),"-")</f>
        <v>Brasil</v>
      </c>
      <c r="C101" s="37" t="n">
        <f aca="false">SUMIFS('04_Rentab_Dotacion_Dic2025'!$E$6:$E$65,'04_Rentab_Dotacion_Dic2025'!$C$6:$C$65,$A101)</f>
        <v>412</v>
      </c>
      <c r="D101" s="10" t="n">
        <f aca="false">SUMIFS('04_Rentab_Dotacion_Dic2025'!$G$6:$G$65,'04_Rentab_Dotacion_Dic2025'!$C$6:$C$65,$A101)</f>
        <v>23303.2544864865</v>
      </c>
      <c r="E101" s="10" t="n">
        <f aca="false">SUMIFS('04_Rentab_Dotacion_Dic2025'!$F$6:$F$65,'04_Rentab_Dotacion_Dic2025'!$C$6:$C$65,$A101)</f>
        <v>9027.73879794192</v>
      </c>
      <c r="F101" s="10" t="n">
        <f aca="false">SUMIFS('04_Rentab_Dotacion_Dic2025'!$H$6:$H$65,'04_Rentab_Dotacion_Dic2025'!$C$6:$C$65,$A101)</f>
        <v>14275.5156885446</v>
      </c>
      <c r="G101" s="9" t="n">
        <f aca="false">SUMIFS('90_Origen_EDP_Dic25'!$D$3:$D$26,'90_Origen_EDP_Dic25'!$A$3:$A$26,$A101)</f>
        <v>52319.2</v>
      </c>
    </row>
    <row r="102" customFormat="false" ht="15" hidden="false" customHeight="false" outlineLevel="0" collapsed="false">
      <c r="A102" s="8" t="s">
        <v>296</v>
      </c>
      <c r="B102" s="17" t="str">
        <f aca="false">IFERROR(VLOOKUP($A102,'90_Origen_EDP_Dic25'!$A$3:$C$26,2,FALSE()),"-")</f>
        <v>Chile</v>
      </c>
      <c r="C102" s="37" t="n">
        <f aca="false">SUMIFS('04_Rentab_Dotacion_Dic2025'!$E$6:$E$65,'04_Rentab_Dotacion_Dic2025'!$C$6:$C$65,$A102)</f>
        <v>108</v>
      </c>
      <c r="D102" s="10" t="n">
        <f aca="false">SUMIFS('04_Rentab_Dotacion_Dic2025'!$G$6:$G$65,'04_Rentab_Dotacion_Dic2025'!$C$6:$C$65,$A102)</f>
        <v>61084.4693877551</v>
      </c>
      <c r="E102" s="10" t="n">
        <f aca="false">SUMIFS('04_Rentab_Dotacion_Dic2025'!$F$6:$F$65,'04_Rentab_Dotacion_Dic2025'!$C$6:$C$65,$A102)</f>
        <v>1338.92838323353</v>
      </c>
      <c r="F102" s="10" t="n">
        <f aca="false">SUMIFS('04_Rentab_Dotacion_Dic2025'!$H$6:$H$65,'04_Rentab_Dotacion_Dic2025'!$C$6:$C$65,$A102)</f>
        <v>59745.5410045216</v>
      </c>
      <c r="G102" s="9" t="n">
        <f aca="false">SUMIFS('90_Origen_EDP_Dic25'!$D$3:$D$26,'90_Origen_EDP_Dic25'!$A$3:$A$26,$A102)</f>
        <v>110857</v>
      </c>
    </row>
    <row r="103" customFormat="false" ht="15" hidden="false" customHeight="false" outlineLevel="0" collapsed="false">
      <c r="A103" s="8" t="s">
        <v>279</v>
      </c>
      <c r="B103" s="17" t="str">
        <f aca="false">IFERROR(VLOOKUP($A103,'90_Origen_EDP_Dic25'!$A$3:$C$26,2,FALSE()),"-")</f>
        <v>Perú</v>
      </c>
      <c r="C103" s="37" t="n">
        <f aca="false">SUMIFS('04_Rentab_Dotacion_Dic2025'!$E$6:$E$65,'04_Rentab_Dotacion_Dic2025'!$C$6:$C$65,$A103)</f>
        <v>90</v>
      </c>
      <c r="D103" s="10" t="n">
        <f aca="false">SUMIFS('04_Rentab_Dotacion_Dic2025'!$G$6:$G$65,'04_Rentab_Dotacion_Dic2025'!$C$6:$C$65,$A103)</f>
        <v>0</v>
      </c>
      <c r="E103" s="10" t="n">
        <f aca="false">SUMIFS('04_Rentab_Dotacion_Dic2025'!$F$6:$F$65,'04_Rentab_Dotacion_Dic2025'!$C$6:$C$65,$A103)</f>
        <v>1031.24423076923</v>
      </c>
      <c r="F103" s="10" t="n">
        <f aca="false">SUMIFS('04_Rentab_Dotacion_Dic2025'!$H$6:$H$65,'04_Rentab_Dotacion_Dic2025'!$C$6:$C$65,$A103)</f>
        <v>-1031.24423076923</v>
      </c>
      <c r="G103" s="9" t="n">
        <f aca="false">SUMIFS('90_Origen_EDP_Dic25'!$D$3:$D$26,'90_Origen_EDP_Dic25'!$A$3:$A$26,$A103)</f>
        <v>0</v>
      </c>
    </row>
    <row r="104" customFormat="false" ht="15" hidden="false" customHeight="false" outlineLevel="0" collapsed="false">
      <c r="A104" s="8" t="s">
        <v>285</v>
      </c>
      <c r="B104" s="17" t="str">
        <f aca="false">IFERROR(VLOOKUP($A104,'90_Origen_EDP_Dic25'!$A$3:$C$26,2,FALSE()),"-")</f>
        <v>Chile</v>
      </c>
      <c r="C104" s="37" t="n">
        <f aca="false">SUMIFS('04_Rentab_Dotacion_Dic2025'!$E$6:$E$65,'04_Rentab_Dotacion_Dic2025'!$C$6:$C$65,$A104)</f>
        <v>24</v>
      </c>
      <c r="D104" s="10" t="n">
        <f aca="false">SUMIFS('04_Rentab_Dotacion_Dic2025'!$G$6:$G$65,'04_Rentab_Dotacion_Dic2025'!$C$6:$C$65,$A104)</f>
        <v>0</v>
      </c>
      <c r="E104" s="10" t="n">
        <f aca="false">SUMIFS('04_Rentab_Dotacion_Dic2025'!$F$6:$F$65,'04_Rentab_Dotacion_Dic2025'!$C$6:$C$65,$A104)</f>
        <v>325.059875776398</v>
      </c>
      <c r="F104" s="10" t="n">
        <f aca="false">SUMIFS('04_Rentab_Dotacion_Dic2025'!$H$6:$H$65,'04_Rentab_Dotacion_Dic2025'!$C$6:$C$65,$A104)</f>
        <v>-325.059875776398</v>
      </c>
      <c r="G104" s="9" t="n">
        <f aca="false">SUMIFS('90_Origen_EDP_Dic25'!$D$3:$D$26,'90_Origen_EDP_Dic25'!$A$3:$A$26,$A104)</f>
        <v>0</v>
      </c>
    </row>
    <row r="105" customFormat="false" ht="15" hidden="false" customHeight="false" outlineLevel="0" collapsed="false">
      <c r="A105" s="8" t="s">
        <v>253</v>
      </c>
      <c r="B105" s="17" t="str">
        <f aca="false">IFERROR(VLOOKUP($A105,'90_Origen_EDP_Dic25'!$A$3:$C$26,2,FALSE()),"-")</f>
        <v>Perú</v>
      </c>
      <c r="C105" s="37" t="n">
        <f aca="false">SUMIFS('04_Rentab_Dotacion_Dic2025'!$E$6:$E$65,'04_Rentab_Dotacion_Dic2025'!$C$6:$C$65,$A105)</f>
        <v>395</v>
      </c>
      <c r="D105" s="10" t="n">
        <f aca="false">SUMIFS('04_Rentab_Dotacion_Dic2025'!$G$6:$G$65,'04_Rentab_Dotacion_Dic2025'!$C$6:$C$65,$A105)</f>
        <v>18534.7941176471</v>
      </c>
      <c r="E105" s="10" t="n">
        <f aca="false">SUMIFS('04_Rentab_Dotacion_Dic2025'!$F$6:$F$65,'04_Rentab_Dotacion_Dic2025'!$C$6:$C$65,$A105)</f>
        <v>8209.57752682101</v>
      </c>
      <c r="F105" s="10" t="n">
        <f aca="false">SUMIFS('04_Rentab_Dotacion_Dic2025'!$H$6:$H$65,'04_Rentab_Dotacion_Dic2025'!$C$6:$C$65,$A105)</f>
        <v>10325.2165908261</v>
      </c>
      <c r="G105" s="9" t="n">
        <f aca="false">SUMIFS('90_Origen_EDP_Dic25'!$D$3:$D$26,'90_Origen_EDP_Dic25'!$A$3:$A$26,$A105)</f>
        <v>23931</v>
      </c>
    </row>
    <row r="106" customFormat="false" ht="15" hidden="false" customHeight="false" outlineLevel="0" collapsed="false">
      <c r="A106" s="8" t="s">
        <v>264</v>
      </c>
      <c r="B106" s="17" t="str">
        <f aca="false">IFERROR(VLOOKUP($A106,'90_Origen_EDP_Dic25'!$A$3:$C$26,2,FALSE()),"-")</f>
        <v>Perú</v>
      </c>
      <c r="C106" s="37" t="n">
        <f aca="false">SUMIFS('04_Rentab_Dotacion_Dic2025'!$E$6:$E$65,'04_Rentab_Dotacion_Dic2025'!$C$6:$C$65,$A106)</f>
        <v>214</v>
      </c>
      <c r="D106" s="10" t="n">
        <f aca="false">SUMIFS('04_Rentab_Dotacion_Dic2025'!$G$6:$G$65,'04_Rentab_Dotacion_Dic2025'!$C$6:$C$65,$A106)</f>
        <v>9319.58854166667</v>
      </c>
      <c r="E106" s="10" t="n">
        <f aca="false">SUMIFS('04_Rentab_Dotacion_Dic2025'!$F$6:$F$65,'04_Rentab_Dotacion_Dic2025'!$C$6:$C$65,$A106)</f>
        <v>4160.72</v>
      </c>
      <c r="F106" s="10" t="n">
        <f aca="false">SUMIFS('04_Rentab_Dotacion_Dic2025'!$H$6:$H$65,'04_Rentab_Dotacion_Dic2025'!$C$6:$C$65,$A106)</f>
        <v>5158.86854166667</v>
      </c>
      <c r="G106" s="9" t="n">
        <f aca="false">SUMIFS('90_Origen_EDP_Dic25'!$D$3:$D$26,'90_Origen_EDP_Dic25'!$A$3:$A$26,$A106)</f>
        <v>16723</v>
      </c>
    </row>
    <row r="107" customFormat="false" ht="15" hidden="false" customHeight="false" outlineLevel="0" collapsed="false">
      <c r="A107" s="8" t="s">
        <v>262</v>
      </c>
      <c r="B107" s="17" t="str">
        <f aca="false">IFERROR(VLOOKUP($A107,'90_Origen_EDP_Dic25'!$A$3:$C$26,2,FALSE()),"-")</f>
        <v>Rusia</v>
      </c>
      <c r="C107" s="37" t="n">
        <f aca="false">SUMIFS('04_Rentab_Dotacion_Dic2025'!$E$6:$E$65,'04_Rentab_Dotacion_Dic2025'!$C$6:$C$65,$A107)</f>
        <v>114</v>
      </c>
      <c r="D107" s="10" t="n">
        <f aca="false">SUMIFS('04_Rentab_Dotacion_Dic2025'!$G$6:$G$65,'04_Rentab_Dotacion_Dic2025'!$C$6:$C$65,$A107)</f>
        <v>0</v>
      </c>
      <c r="E107" s="10" t="n">
        <f aca="false">SUMIFS('04_Rentab_Dotacion_Dic2025'!$F$6:$F$65,'04_Rentab_Dotacion_Dic2025'!$C$6:$C$65,$A107)</f>
        <v>4471.90967741936</v>
      </c>
      <c r="F107" s="10" t="n">
        <f aca="false">SUMIFS('04_Rentab_Dotacion_Dic2025'!$H$6:$H$65,'04_Rentab_Dotacion_Dic2025'!$C$6:$C$65,$A107)</f>
        <v>-4471.90967741936</v>
      </c>
      <c r="G107" s="9" t="n">
        <f aca="false">SUMIFS('90_Origen_EDP_Dic25'!$D$3:$D$26,'90_Origen_EDP_Dic25'!$A$3:$A$26,$A107)</f>
        <v>0</v>
      </c>
    </row>
    <row r="108" customFormat="false" ht="15" hidden="false" customHeight="false" outlineLevel="0" collapsed="false">
      <c r="A108" s="8" t="s">
        <v>260</v>
      </c>
      <c r="B108" s="17" t="str">
        <f aca="false">IFERROR(VLOOKUP($A108,'90_Origen_EDP_Dic25'!$A$3:$C$26,2,FALSE()),"-")</f>
        <v>Rusia</v>
      </c>
      <c r="C108" s="37" t="n">
        <f aca="false">SUMIFS('04_Rentab_Dotacion_Dic2025'!$E$6:$E$65,'04_Rentab_Dotacion_Dic2025'!$C$6:$C$65,$A108)</f>
        <v>322</v>
      </c>
      <c r="D108" s="10" t="n">
        <f aca="false">SUMIFS('04_Rentab_Dotacion_Dic2025'!$G$6:$G$65,'04_Rentab_Dotacion_Dic2025'!$C$6:$C$65,$A108)</f>
        <v>0</v>
      </c>
      <c r="E108" s="10" t="n">
        <f aca="false">SUMIFS('04_Rentab_Dotacion_Dic2025'!$F$6:$F$65,'04_Rentab_Dotacion_Dic2025'!$C$6:$C$65,$A108)</f>
        <v>8212.71736744531</v>
      </c>
      <c r="F108" s="10" t="n">
        <f aca="false">SUMIFS('04_Rentab_Dotacion_Dic2025'!$H$6:$H$65,'04_Rentab_Dotacion_Dic2025'!$C$6:$C$65,$A108)</f>
        <v>-8212.71736744531</v>
      </c>
      <c r="G108" s="9" t="n">
        <f aca="false">SUMIFS('90_Origen_EDP_Dic25'!$D$3:$D$26,'90_Origen_EDP_Dic25'!$A$3:$A$26,$A108)</f>
        <v>0</v>
      </c>
    </row>
    <row r="109" customFormat="false" ht="15" hidden="false" customHeight="false" outlineLevel="0" collapsed="false">
      <c r="A109" s="8" t="s">
        <v>273</v>
      </c>
      <c r="B109" s="17" t="str">
        <f aca="false">IFERROR(VLOOKUP($A109,'90_Origen_EDP_Dic25'!$A$3:$C$26,2,FALSE()),"-")</f>
        <v>USA</v>
      </c>
      <c r="C109" s="37" t="n">
        <f aca="false">SUMIFS('04_Rentab_Dotacion_Dic2025'!$E$6:$E$65,'04_Rentab_Dotacion_Dic2025'!$C$6:$C$65,$A109)</f>
        <v>480</v>
      </c>
      <c r="D109" s="10" t="n">
        <f aca="false">SUMIFS('04_Rentab_Dotacion_Dic2025'!$G$6:$G$65,'04_Rentab_Dotacion_Dic2025'!$C$6:$C$65,$A109)</f>
        <v>28311</v>
      </c>
      <c r="E109" s="10" t="n">
        <f aca="false">SUMIFS('04_Rentab_Dotacion_Dic2025'!$F$6:$F$65,'04_Rentab_Dotacion_Dic2025'!$C$6:$C$65,$A109)</f>
        <v>6996.96588191122</v>
      </c>
      <c r="F109" s="10" t="n">
        <f aca="false">SUMIFS('04_Rentab_Dotacion_Dic2025'!$H$6:$H$65,'04_Rentab_Dotacion_Dic2025'!$C$6:$C$65,$A109)</f>
        <v>21314.0341180888</v>
      </c>
      <c r="G109" s="9" t="n">
        <f aca="false">SUMIFS('90_Origen_EDP_Dic25'!$D$3:$D$26,'90_Origen_EDP_Dic25'!$A$3:$A$26,$A109)</f>
        <v>28311</v>
      </c>
    </row>
    <row r="110" customFormat="false" ht="15" hidden="false" customHeight="false" outlineLevel="0" collapsed="false">
      <c r="A110" s="8" t="s">
        <v>246</v>
      </c>
      <c r="B110" s="17" t="str">
        <f aca="false">IFERROR(VLOOKUP($A110,'90_Origen_EDP_Dic25'!$A$3:$C$26,2,FALSE()),"-")</f>
        <v>Rusia</v>
      </c>
      <c r="C110" s="37" t="n">
        <f aca="false">SUMIFS('04_Rentab_Dotacion_Dic2025'!$E$6:$E$65,'04_Rentab_Dotacion_Dic2025'!$C$6:$C$65,$A110)</f>
        <v>1062</v>
      </c>
      <c r="D110" s="10" t="n">
        <f aca="false">SUMIFS('04_Rentab_Dotacion_Dic2025'!$G$6:$G$65,'04_Rentab_Dotacion_Dic2025'!$C$6:$C$65,$A110)</f>
        <v>0</v>
      </c>
      <c r="E110" s="10" t="n">
        <f aca="false">SUMIFS('04_Rentab_Dotacion_Dic2025'!$F$6:$F$65,'04_Rentab_Dotacion_Dic2025'!$C$6:$C$65,$A110)</f>
        <v>17387.3403943914</v>
      </c>
      <c r="F110" s="10" t="n">
        <f aca="false">SUMIFS('04_Rentab_Dotacion_Dic2025'!$H$6:$H$65,'04_Rentab_Dotacion_Dic2025'!$C$6:$C$65,$A110)</f>
        <v>-17387.3403943914</v>
      </c>
      <c r="G110" s="9" t="n">
        <f aca="false">SUMIFS('90_Origen_EDP_Dic25'!$D$3:$D$26,'90_Origen_EDP_Dic25'!$A$3:$A$26,$A110)</f>
        <v>0</v>
      </c>
    </row>
    <row r="112" customFormat="false" ht="64.9" hidden="false" customHeight="false" outlineLevel="0" collapsed="false">
      <c r="A112" s="3" t="s">
        <v>315</v>
      </c>
    </row>
    <row r="113" customFormat="false" ht="23.85" hidden="false" customHeight="false" outlineLevel="0" collapsed="false">
      <c r="A113" s="7" t="s">
        <v>237</v>
      </c>
      <c r="B113" s="7" t="s">
        <v>238</v>
      </c>
      <c r="C113" s="7" t="s">
        <v>316</v>
      </c>
      <c r="D113" s="7" t="s">
        <v>317</v>
      </c>
      <c r="E113" s="7" t="s">
        <v>318</v>
      </c>
      <c r="F113" s="7" t="s">
        <v>319</v>
      </c>
      <c r="G113" s="7" t="s">
        <v>302</v>
      </c>
      <c r="H113" s="7" t="s">
        <v>320</v>
      </c>
    </row>
    <row r="114" customFormat="false" ht="15" hidden="false" customHeight="false" outlineLevel="0" collapsed="false">
      <c r="A114" s="8" t="s">
        <v>245</v>
      </c>
      <c r="B114" s="17" t="str">
        <f aca="false">VLOOKUP($A114,'91_Puente_Identidad'!$A$3:$M$51,6,FALSE())</f>
        <v>Ingeniero Estructural</v>
      </c>
      <c r="C114" s="17" t="str">
        <f aca="false">VLOOKUP($A114,'91_Puente_Identidad'!$A$3:$M$51,8,FALSE())</f>
        <v>Chile</v>
      </c>
      <c r="D114" s="37" t="n">
        <f aca="false">SUMIFS('04_Rentab_Dotacion_Dic2025'!$E$6:$E$65,'04_Rentab_Dotacion_Dic2025'!$A$6:$A$65,$A114)</f>
        <v>195</v>
      </c>
      <c r="E114" s="9" t="n">
        <f aca="false">VLOOKUP($A114,'91_Puente_Identidad'!$A$3:$M$51,9,FALSE())</f>
        <v>1487.94</v>
      </c>
      <c r="F114" s="10" t="n">
        <f aca="false">SUMIFS('04_Rentab_Dotacion_Dic2025'!$G$6:$G$65,'04_Rentab_Dotacion_Dic2025'!$A$6:$A$65,$A114)</f>
        <v>0</v>
      </c>
      <c r="G114" s="10" t="n">
        <f aca="false">SUMIFS('04_Rentab_Dotacion_Dic2025'!$H$6:$H$65,'04_Rentab_Dotacion_Dic2025'!$A$6:$A$65,$A114)</f>
        <v>-1487.94</v>
      </c>
      <c r="H114" s="35" t="n">
        <f aca="false">VLOOKUP($A114,'91_Puente_Identidad'!$A$3:$M$51,12,FALSE())</f>
        <v>0</v>
      </c>
    </row>
    <row r="115" customFormat="false" ht="15" hidden="false" customHeight="false" outlineLevel="0" collapsed="false">
      <c r="A115" s="8" t="s">
        <v>247</v>
      </c>
      <c r="B115" s="17" t="str">
        <f aca="false">VLOOKUP($A115,'91_Puente_Identidad'!$A$3:$M$51,6,FALSE())</f>
        <v>Ingeniero de Proyectos</v>
      </c>
      <c r="C115" s="17" t="str">
        <f aca="false">VLOOKUP($A115,'91_Puente_Identidad'!$A$3:$M$51,8,FALSE())</f>
        <v>Perú</v>
      </c>
      <c r="D115" s="37" t="n">
        <f aca="false">SUMIFS('04_Rentab_Dotacion_Dic2025'!$E$6:$E$65,'04_Rentab_Dotacion_Dic2025'!$A$6:$A$65,$A115)</f>
        <v>159</v>
      </c>
      <c r="E115" s="9" t="n">
        <f aca="false">VLOOKUP($A115,'91_Puente_Identidad'!$A$3:$M$51,9,FALSE())</f>
        <v>1949.99</v>
      </c>
      <c r="F115" s="10" t="n">
        <f aca="false">SUMIFS('04_Rentab_Dotacion_Dic2025'!$G$6:$G$65,'04_Rentab_Dotacion_Dic2025'!$A$6:$A$65,$A115)</f>
        <v>30012.7165048544</v>
      </c>
      <c r="G115" s="10" t="n">
        <f aca="false">SUMIFS('04_Rentab_Dotacion_Dic2025'!$H$6:$H$65,'04_Rentab_Dotacion_Dic2025'!$A$6:$A$65,$A115)</f>
        <v>28062.7265048544</v>
      </c>
      <c r="H115" s="35" t="n">
        <f aca="false">VLOOKUP($A115,'91_Puente_Identidad'!$A$3:$M$51,12,FALSE())</f>
        <v>4</v>
      </c>
    </row>
    <row r="116" customFormat="false" ht="15" hidden="false" customHeight="false" outlineLevel="0" collapsed="false">
      <c r="A116" s="8" t="s">
        <v>249</v>
      </c>
      <c r="B116" s="17" t="str">
        <f aca="false">VLOOKUP($A116,'91_Puente_Identidad'!$A$3:$M$51,6,FALSE())</f>
        <v>Ingeniero de Proyectos</v>
      </c>
      <c r="C116" s="17" t="str">
        <f aca="false">VLOOKUP($A116,'91_Puente_Identidad'!$A$3:$M$51,8,FALSE())</f>
        <v>Chile</v>
      </c>
      <c r="D116" s="37" t="n">
        <f aca="false">SUMIFS('04_Rentab_Dotacion_Dic2025'!$E$6:$E$65,'04_Rentab_Dotacion_Dic2025'!$A$6:$A$65,$A116)</f>
        <v>177</v>
      </c>
      <c r="E116" s="9" t="n">
        <f aca="false">VLOOKUP($A116,'91_Puente_Identidad'!$A$3:$M$51,9,FALSE())</f>
        <v>2031.79</v>
      </c>
      <c r="F116" s="10" t="n">
        <f aca="false">SUMIFS('04_Rentab_Dotacion_Dic2025'!$G$6:$G$65,'04_Rentab_Dotacion_Dic2025'!$A$6:$A$65,$A116)</f>
        <v>10874.5765045045</v>
      </c>
      <c r="G116" s="10" t="n">
        <f aca="false">SUMIFS('04_Rentab_Dotacion_Dic2025'!$H$6:$H$65,'04_Rentab_Dotacion_Dic2025'!$A$6:$A$65,$A116)</f>
        <v>8842.7865045045</v>
      </c>
      <c r="H116" s="35" t="n">
        <f aca="false">VLOOKUP($A116,'91_Puente_Identidad'!$A$3:$M$51,12,FALSE())</f>
        <v>6</v>
      </c>
    </row>
    <row r="117" customFormat="false" ht="15" hidden="false" customHeight="false" outlineLevel="0" collapsed="false">
      <c r="A117" s="8" t="s">
        <v>252</v>
      </c>
      <c r="B117" s="17" t="str">
        <f aca="false">VLOOKUP($A117,'91_Puente_Identidad'!$A$3:$M$51,6,FALSE())</f>
        <v>Ingeniero de Proyectos</v>
      </c>
      <c r="C117" s="17" t="str">
        <f aca="false">VLOOKUP($A117,'91_Puente_Identidad'!$A$3:$M$51,8,FALSE())</f>
        <v>Chile</v>
      </c>
      <c r="D117" s="37" t="n">
        <f aca="false">SUMIFS('04_Rentab_Dotacion_Dic2025'!$E$6:$E$65,'04_Rentab_Dotacion_Dic2025'!$A$6:$A$65,$A117)</f>
        <v>156</v>
      </c>
      <c r="E117" s="9" t="n">
        <f aca="false">VLOOKUP($A117,'91_Puente_Identidad'!$A$3:$M$51,9,FALSE())</f>
        <v>3444.59</v>
      </c>
      <c r="F117" s="10" t="n">
        <f aca="false">SUMIFS('04_Rentab_Dotacion_Dic2025'!$G$6:$G$65,'04_Rentab_Dotacion_Dic2025'!$A$6:$A$65,$A117)</f>
        <v>7320.07058823529</v>
      </c>
      <c r="G117" s="10" t="n">
        <f aca="false">SUMIFS('04_Rentab_Dotacion_Dic2025'!$H$6:$H$65,'04_Rentab_Dotacion_Dic2025'!$A$6:$A$65,$A117)</f>
        <v>3875.48058823529</v>
      </c>
      <c r="H117" s="35" t="n">
        <f aca="false">VLOOKUP($A117,'91_Puente_Identidad'!$A$3:$M$51,12,FALSE())</f>
        <v>192</v>
      </c>
    </row>
    <row r="118" customFormat="false" ht="15" hidden="false" customHeight="false" outlineLevel="0" collapsed="false">
      <c r="A118" s="8" t="s">
        <v>254</v>
      </c>
      <c r="B118" s="17" t="str">
        <f aca="false">VLOOKUP($A118,'91_Puente_Identidad'!$A$3:$M$51,6,FALSE())</f>
        <v>Ingenieria</v>
      </c>
      <c r="C118" s="17" t="str">
        <f aca="false">VLOOKUP($A118,'91_Puente_Identidad'!$A$3:$M$51,8,FALSE())</f>
        <v>Chile</v>
      </c>
      <c r="D118" s="37" t="n">
        <f aca="false">SUMIFS('04_Rentab_Dotacion_Dic2025'!$E$6:$E$65,'04_Rentab_Dotacion_Dic2025'!$A$6:$A$65,$A118)</f>
        <v>179</v>
      </c>
      <c r="E118" s="9" t="n">
        <f aca="false">VLOOKUP($A118,'91_Puente_Identidad'!$A$3:$M$51,9,FALSE())</f>
        <v>1717.85</v>
      </c>
      <c r="F118" s="10" t="n">
        <f aca="false">SUMIFS('04_Rentab_Dotacion_Dic2025'!$G$6:$G$65,'04_Rentab_Dotacion_Dic2025'!$A$6:$A$65,$A118)</f>
        <v>2941.18745945946</v>
      </c>
      <c r="G118" s="10" t="n">
        <f aca="false">SUMIFS('04_Rentab_Dotacion_Dic2025'!$H$6:$H$65,'04_Rentab_Dotacion_Dic2025'!$A$6:$A$65,$A118)</f>
        <v>1223.33745945946</v>
      </c>
      <c r="H118" s="35" t="n">
        <f aca="false">VLOOKUP($A118,'91_Puente_Identidad'!$A$3:$M$51,12,FALSE())</f>
        <v>192</v>
      </c>
    </row>
    <row r="119" customFormat="false" ht="15" hidden="false" customHeight="false" outlineLevel="0" collapsed="false">
      <c r="A119" s="8" t="s">
        <v>255</v>
      </c>
      <c r="B119" s="17" t="str">
        <f aca="false">VLOOKUP($A119,'91_Puente_Identidad'!$A$3:$M$51,6,FALSE())</f>
        <v>Ingeniero de Proyectos</v>
      </c>
      <c r="C119" s="17" t="str">
        <f aca="false">VLOOKUP($A119,'91_Puente_Identidad'!$A$3:$M$51,8,FALSE())</f>
        <v>Chile</v>
      </c>
      <c r="D119" s="37" t="n">
        <f aca="false">SUMIFS('04_Rentab_Dotacion_Dic2025'!$E$6:$E$65,'04_Rentab_Dotacion_Dic2025'!$A$6:$A$65,$A119)</f>
        <v>197</v>
      </c>
      <c r="E119" s="9" t="n">
        <f aca="false">VLOOKUP($A119,'91_Puente_Identidad'!$A$3:$M$51,9,FALSE())</f>
        <v>3930.17</v>
      </c>
      <c r="F119" s="10" t="n">
        <f aca="false">SUMIFS('04_Rentab_Dotacion_Dic2025'!$G$6:$G$65,'04_Rentab_Dotacion_Dic2025'!$A$6:$A$65,$A119)</f>
        <v>88486.9119176319</v>
      </c>
      <c r="G119" s="10" t="n">
        <f aca="false">SUMIFS('04_Rentab_Dotacion_Dic2025'!$H$6:$H$65,'04_Rentab_Dotacion_Dic2025'!$A$6:$A$65,$A119)</f>
        <v>84556.7419176319</v>
      </c>
      <c r="H119" s="35" t="n">
        <f aca="false">VLOOKUP($A119,'91_Puente_Identidad'!$A$3:$M$51,12,FALSE())</f>
        <v>24</v>
      </c>
    </row>
    <row r="120" customFormat="false" ht="15" hidden="false" customHeight="false" outlineLevel="0" collapsed="false">
      <c r="A120" s="8" t="s">
        <v>257</v>
      </c>
      <c r="B120" s="17" t="str">
        <f aca="false">VLOOKUP($A120,'91_Puente_Identidad'!$A$3:$M$51,6,FALSE())</f>
        <v>Ingenieria</v>
      </c>
      <c r="C120" s="17" t="str">
        <f aca="false">VLOOKUP($A120,'91_Puente_Identidad'!$A$3:$M$51,8,FALSE())</f>
        <v>Chile</v>
      </c>
      <c r="D120" s="37" t="n">
        <f aca="false">SUMIFS('04_Rentab_Dotacion_Dic2025'!$E$6:$E$65,'04_Rentab_Dotacion_Dic2025'!$A$6:$A$65,$A120)</f>
        <v>150</v>
      </c>
      <c r="E120" s="9" t="n">
        <f aca="false">VLOOKUP($A120,'91_Puente_Identidad'!$A$3:$M$51,9,FALSE())</f>
        <v>3984.55</v>
      </c>
      <c r="F120" s="10" t="n">
        <f aca="false">SUMIFS('04_Rentab_Dotacion_Dic2025'!$G$6:$G$65,'04_Rentab_Dotacion_Dic2025'!$A$6:$A$65,$A120)</f>
        <v>0</v>
      </c>
      <c r="G120" s="10" t="n">
        <f aca="false">SUMIFS('04_Rentab_Dotacion_Dic2025'!$H$6:$H$65,'04_Rentab_Dotacion_Dic2025'!$A$6:$A$65,$A120)</f>
        <v>-3984.55</v>
      </c>
      <c r="H120" s="35" t="n">
        <f aca="false">VLOOKUP($A120,'91_Puente_Identidad'!$A$3:$M$51,12,FALSE())</f>
        <v>192</v>
      </c>
    </row>
    <row r="121" customFormat="false" ht="15" hidden="false" customHeight="false" outlineLevel="0" collapsed="false">
      <c r="A121" s="8" t="s">
        <v>259</v>
      </c>
      <c r="B121" s="17" t="str">
        <f aca="false">VLOOKUP($A121,'91_Puente_Identidad'!$A$3:$M$51,6,FALSE())</f>
        <v>Ingeniero de Proyectos</v>
      </c>
      <c r="C121" s="17" t="str">
        <f aca="false">VLOOKUP($A121,'91_Puente_Identidad'!$A$3:$M$51,8,FALSE())</f>
        <v>Chile</v>
      </c>
      <c r="D121" s="37" t="n">
        <f aca="false">SUMIFS('04_Rentab_Dotacion_Dic2025'!$E$6:$E$65,'04_Rentab_Dotacion_Dic2025'!$A$6:$A$65,$A121)</f>
        <v>174</v>
      </c>
      <c r="E121" s="9" t="n">
        <f aca="false">VLOOKUP($A121,'91_Puente_Identidad'!$A$3:$M$51,9,FALSE())</f>
        <v>3596.44</v>
      </c>
      <c r="F121" s="10" t="n">
        <f aca="false">SUMIFS('04_Rentab_Dotacion_Dic2025'!$G$6:$G$65,'04_Rentab_Dotacion_Dic2025'!$A$6:$A$65,$A121)</f>
        <v>248.666666666667</v>
      </c>
      <c r="G121" s="10" t="n">
        <f aca="false">SUMIFS('04_Rentab_Dotacion_Dic2025'!$H$6:$H$65,'04_Rentab_Dotacion_Dic2025'!$A$6:$A$65,$A121)</f>
        <v>-3347.77333333333</v>
      </c>
      <c r="H121" s="35" t="n">
        <f aca="false">VLOOKUP($A121,'91_Puente_Identidad'!$A$3:$M$51,12,FALSE())</f>
        <v>6</v>
      </c>
    </row>
    <row r="122" customFormat="false" ht="15" hidden="false" customHeight="false" outlineLevel="0" collapsed="false">
      <c r="A122" s="8" t="s">
        <v>261</v>
      </c>
      <c r="B122" s="17" t="str">
        <f aca="false">VLOOKUP($A122,'91_Puente_Identidad'!$A$3:$M$51,6,FALSE())</f>
        <v>Ingenieria</v>
      </c>
      <c r="C122" s="17" t="str">
        <f aca="false">VLOOKUP($A122,'91_Puente_Identidad'!$A$3:$M$51,8,FALSE())</f>
        <v>Chile</v>
      </c>
      <c r="D122" s="37" t="n">
        <f aca="false">SUMIFS('04_Rentab_Dotacion_Dic2025'!$E$6:$E$65,'04_Rentab_Dotacion_Dic2025'!$A$6:$A$65,$A122)</f>
        <v>186</v>
      </c>
      <c r="E122" s="9" t="n">
        <f aca="false">VLOOKUP($A122,'91_Puente_Identidad'!$A$3:$M$51,9,FALSE())</f>
        <v>8643.29</v>
      </c>
      <c r="F122" s="10" t="n">
        <f aca="false">SUMIFS('04_Rentab_Dotacion_Dic2025'!$G$6:$G$65,'04_Rentab_Dotacion_Dic2025'!$A$6:$A$65,$A122)</f>
        <v>4849</v>
      </c>
      <c r="G122" s="10" t="n">
        <f aca="false">SUMIFS('04_Rentab_Dotacion_Dic2025'!$H$6:$H$65,'04_Rentab_Dotacion_Dic2025'!$A$6:$A$65,$A122)</f>
        <v>-3794.29</v>
      </c>
      <c r="H122" s="35" t="n">
        <f aca="false">VLOOKUP($A122,'91_Puente_Identidad'!$A$3:$M$51,12,FALSE())</f>
        <v>98</v>
      </c>
    </row>
    <row r="123" customFormat="false" ht="15" hidden="false" customHeight="false" outlineLevel="0" collapsed="false">
      <c r="A123" s="8" t="s">
        <v>263</v>
      </c>
      <c r="B123" s="17" t="str">
        <f aca="false">VLOOKUP($A123,'91_Puente_Identidad'!$A$3:$M$51,6,FALSE())</f>
        <v>Ingeniero de Proyectos</v>
      </c>
      <c r="C123" s="17" t="str">
        <f aca="false">VLOOKUP($A123,'91_Puente_Identidad'!$A$3:$M$51,8,FALSE())</f>
        <v>Perú</v>
      </c>
      <c r="D123" s="37" t="n">
        <f aca="false">SUMIFS('04_Rentab_Dotacion_Dic2025'!$E$6:$E$65,'04_Rentab_Dotacion_Dic2025'!$A$6:$A$65,$A123)</f>
        <v>28</v>
      </c>
      <c r="E123" s="9" t="n">
        <f aca="false">VLOOKUP($A123,'91_Puente_Identidad'!$A$3:$M$51,9,FALSE())</f>
        <v>2112.49</v>
      </c>
      <c r="F123" s="10" t="n">
        <f aca="false">SUMIFS('04_Rentab_Dotacion_Dic2025'!$G$6:$G$65,'04_Rentab_Dotacion_Dic2025'!$A$6:$A$65,$A123)</f>
        <v>1219.38541666667</v>
      </c>
      <c r="G123" s="10" t="n">
        <f aca="false">SUMIFS('04_Rentab_Dotacion_Dic2025'!$H$6:$H$65,'04_Rentab_Dotacion_Dic2025'!$A$6:$A$65,$A123)</f>
        <v>-893.104583333333</v>
      </c>
      <c r="H123" s="35" t="n">
        <f aca="false">VLOOKUP($A123,'91_Puente_Identidad'!$A$3:$M$51,12,FALSE())</f>
        <v>39</v>
      </c>
    </row>
    <row r="124" customFormat="false" ht="15" hidden="false" customHeight="false" outlineLevel="0" collapsed="false">
      <c r="A124" s="8" t="s">
        <v>265</v>
      </c>
      <c r="B124" s="17" t="str">
        <f aca="false">VLOOKUP($A124,'91_Puente_Identidad'!$A$3:$M$51,6,FALSE())</f>
        <v>Ingeniero de Proyectos</v>
      </c>
      <c r="C124" s="17" t="str">
        <f aca="false">VLOOKUP($A124,'91_Puente_Identidad'!$A$3:$M$51,8,FALSE())</f>
        <v>Chile</v>
      </c>
      <c r="D124" s="37" t="n">
        <f aca="false">SUMIFS('04_Rentab_Dotacion_Dic2025'!$E$6:$E$65,'04_Rentab_Dotacion_Dic2025'!$A$6:$A$65,$A124)</f>
        <v>162</v>
      </c>
      <c r="E124" s="9" t="n">
        <f aca="false">VLOOKUP($A124,'91_Puente_Identidad'!$A$3:$M$51,9,FALSE())</f>
        <v>3511.53</v>
      </c>
      <c r="F124" s="10" t="n">
        <f aca="false">SUMIFS('04_Rentab_Dotacion_Dic2025'!$G$6:$G$65,'04_Rentab_Dotacion_Dic2025'!$A$6:$A$65,$A124)</f>
        <v>10640.8355581212</v>
      </c>
      <c r="G124" s="10" t="n">
        <f aca="false">SUMIFS('04_Rentab_Dotacion_Dic2025'!$H$6:$H$65,'04_Rentab_Dotacion_Dic2025'!$A$6:$A$65,$A124)</f>
        <v>7129.30555812123</v>
      </c>
      <c r="H124" s="35" t="n">
        <f aca="false">VLOOKUP($A124,'91_Puente_Identidad'!$A$3:$M$51,12,FALSE())</f>
        <v>0</v>
      </c>
    </row>
    <row r="125" customFormat="false" ht="15" hidden="false" customHeight="false" outlineLevel="0" collapsed="false">
      <c r="A125" s="8" t="s">
        <v>267</v>
      </c>
      <c r="B125" s="17" t="str">
        <f aca="false">VLOOKUP($A125,'91_Puente_Identidad'!$A$3:$M$51,6,FALSE())</f>
        <v>Ingeniero de Proyectos</v>
      </c>
      <c r="C125" s="17" t="str">
        <f aca="false">VLOOKUP($A125,'91_Puente_Identidad'!$A$3:$M$51,8,FALSE())</f>
        <v>Chile</v>
      </c>
      <c r="D125" s="37" t="n">
        <f aca="false">SUMIFS('04_Rentab_Dotacion_Dic2025'!$E$6:$E$65,'04_Rentab_Dotacion_Dic2025'!$A$6:$A$65,$A125)</f>
        <v>177</v>
      </c>
      <c r="E125" s="9" t="n">
        <f aca="false">VLOOKUP($A125,'91_Puente_Identidad'!$A$3:$M$51,9,FALSE())</f>
        <v>4150.51</v>
      </c>
      <c r="F125" s="10" t="n">
        <f aca="false">SUMIFS('04_Rentab_Dotacion_Dic2025'!$G$6:$G$65,'04_Rentab_Dotacion_Dic2025'!$A$6:$A$65,$A125)</f>
        <v>0</v>
      </c>
      <c r="G125" s="10" t="n">
        <f aca="false">SUMIFS('04_Rentab_Dotacion_Dic2025'!$H$6:$H$65,'04_Rentab_Dotacion_Dic2025'!$A$6:$A$65,$A125)</f>
        <v>-4150.51</v>
      </c>
      <c r="H125" s="35" t="n">
        <f aca="false">VLOOKUP($A125,'91_Puente_Identidad'!$A$3:$M$51,12,FALSE())</f>
        <v>6</v>
      </c>
    </row>
    <row r="126" customFormat="false" ht="15" hidden="false" customHeight="false" outlineLevel="0" collapsed="false">
      <c r="A126" s="8" t="s">
        <v>268</v>
      </c>
      <c r="B126" s="17" t="str">
        <f aca="false">VLOOKUP($A126,'91_Puente_Identidad'!$A$3:$M$51,6,FALSE())</f>
        <v>Modelador Numérico</v>
      </c>
      <c r="C126" s="17" t="str">
        <f aca="false">VLOOKUP($A126,'91_Puente_Identidad'!$A$3:$M$51,8,FALSE())</f>
        <v>Chile</v>
      </c>
      <c r="D126" s="37" t="n">
        <f aca="false">SUMIFS('04_Rentab_Dotacion_Dic2025'!$E$6:$E$65,'04_Rentab_Dotacion_Dic2025'!$A$6:$A$65,$A126)</f>
        <v>140</v>
      </c>
      <c r="E126" s="9" t="n">
        <f aca="false">VLOOKUP($A126,'91_Puente_Identidad'!$A$3:$M$51,9,FALSE())</f>
        <v>3522.12</v>
      </c>
      <c r="F126" s="10" t="n">
        <f aca="false">SUMIFS('04_Rentab_Dotacion_Dic2025'!$G$6:$G$65,'04_Rentab_Dotacion_Dic2025'!$A$6:$A$65,$A126)</f>
        <v>0</v>
      </c>
      <c r="G126" s="10" t="n">
        <f aca="false">SUMIFS('04_Rentab_Dotacion_Dic2025'!$H$6:$H$65,'04_Rentab_Dotacion_Dic2025'!$A$6:$A$65,$A126)</f>
        <v>-3522.12</v>
      </c>
      <c r="H126" s="35" t="n">
        <f aca="false">VLOOKUP($A126,'91_Puente_Identidad'!$A$3:$M$51,12,FALSE())</f>
        <v>0</v>
      </c>
    </row>
    <row r="127" customFormat="false" ht="15" hidden="false" customHeight="false" outlineLevel="0" collapsed="false">
      <c r="A127" s="8" t="s">
        <v>269</v>
      </c>
      <c r="B127" s="17" t="str">
        <f aca="false">VLOOKUP($A127,'91_Puente_Identidad'!$A$3:$M$51,6,FALSE())</f>
        <v>Ingeniero de Proyectos</v>
      </c>
      <c r="C127" s="17" t="str">
        <f aca="false">VLOOKUP($A127,'91_Puente_Identidad'!$A$3:$M$51,8,FALSE())</f>
        <v>Perú</v>
      </c>
      <c r="D127" s="37" t="n">
        <f aca="false">SUMIFS('04_Rentab_Dotacion_Dic2025'!$E$6:$E$65,'04_Rentab_Dotacion_Dic2025'!$A$6:$A$65,$A127)</f>
        <v>177</v>
      </c>
      <c r="E127" s="9" t="n">
        <f aca="false">VLOOKUP($A127,'91_Puente_Identidad'!$A$3:$M$51,9,FALSE())</f>
        <v>2762.49</v>
      </c>
      <c r="F127" s="10" t="n">
        <f aca="false">SUMIFS('04_Rentab_Dotacion_Dic2025'!$G$6:$G$65,'04_Rentab_Dotacion_Dic2025'!$A$6:$A$65,$A127)</f>
        <v>33410.3825242718</v>
      </c>
      <c r="G127" s="10" t="n">
        <f aca="false">SUMIFS('04_Rentab_Dotacion_Dic2025'!$H$6:$H$65,'04_Rentab_Dotacion_Dic2025'!$A$6:$A$65,$A127)</f>
        <v>30647.8925242718</v>
      </c>
      <c r="H127" s="35" t="n">
        <f aca="false">VLOOKUP($A127,'91_Puente_Identidad'!$A$3:$M$51,12,FALSE())</f>
        <v>-30</v>
      </c>
    </row>
    <row r="128" customFormat="false" ht="15" hidden="false" customHeight="false" outlineLevel="0" collapsed="false">
      <c r="A128" s="8" t="s">
        <v>270</v>
      </c>
      <c r="B128" s="17" t="str">
        <f aca="false">VLOOKUP($A128,'91_Puente_Identidad'!$A$3:$M$51,6,FALSE())</f>
        <v>Ingeniero de Proyectos Metalúrgico</v>
      </c>
      <c r="C128" s="17" t="str">
        <f aca="false">VLOOKUP($A128,'91_Puente_Identidad'!$A$3:$M$51,8,FALSE())</f>
        <v>Chile</v>
      </c>
      <c r="D128" s="37" t="n">
        <f aca="false">SUMIFS('04_Rentab_Dotacion_Dic2025'!$E$6:$E$65,'04_Rentab_Dotacion_Dic2025'!$A$6:$A$65,$A128)</f>
        <v>195</v>
      </c>
      <c r="E128" s="9" t="n">
        <f aca="false">VLOOKUP($A128,'91_Puente_Identidad'!$A$3:$M$51,9,FALSE())</f>
        <v>2154.68</v>
      </c>
      <c r="F128" s="10" t="n">
        <f aca="false">SUMIFS('04_Rentab_Dotacion_Dic2025'!$G$6:$G$65,'04_Rentab_Dotacion_Dic2025'!$A$6:$A$65,$A128)</f>
        <v>0</v>
      </c>
      <c r="G128" s="10" t="n">
        <f aca="false">SUMIFS('04_Rentab_Dotacion_Dic2025'!$H$6:$H$65,'04_Rentab_Dotacion_Dic2025'!$A$6:$A$65,$A128)</f>
        <v>-2154.68</v>
      </c>
      <c r="H128" s="35" t="n">
        <f aca="false">VLOOKUP($A128,'91_Puente_Identidad'!$A$3:$M$51,12,FALSE())</f>
        <v>0</v>
      </c>
    </row>
    <row r="129" customFormat="false" ht="15" hidden="false" customHeight="false" outlineLevel="0" collapsed="false">
      <c r="A129" s="8" t="s">
        <v>271</v>
      </c>
      <c r="B129" s="17" t="str">
        <f aca="false">VLOOKUP($A129,'91_Puente_Identidad'!$A$3:$M$51,6,FALSE())</f>
        <v>Ingeniero Principal Senior</v>
      </c>
      <c r="C129" s="17" t="str">
        <f aca="false">VLOOKUP($A129,'91_Puente_Identidad'!$A$3:$M$51,8,FALSE())</f>
        <v>Chile</v>
      </c>
      <c r="D129" s="37" t="n">
        <f aca="false">SUMIFS('04_Rentab_Dotacion_Dic2025'!$E$6:$E$65,'04_Rentab_Dotacion_Dic2025'!$A$6:$A$65,$A129)</f>
        <v>151</v>
      </c>
      <c r="E129" s="9" t="n">
        <f aca="false">VLOOKUP($A129,'91_Puente_Identidad'!$A$3:$M$51,9,FALSE())</f>
        <v>4213.26</v>
      </c>
      <c r="F129" s="10" t="n">
        <f aca="false">SUMIFS('04_Rentab_Dotacion_Dic2025'!$G$6:$G$65,'04_Rentab_Dotacion_Dic2025'!$A$6:$A$65,$A129)</f>
        <v>24737.0348214286</v>
      </c>
      <c r="G129" s="10" t="n">
        <f aca="false">SUMIFS('04_Rentab_Dotacion_Dic2025'!$H$6:$H$65,'04_Rentab_Dotacion_Dic2025'!$A$6:$A$65,$A129)</f>
        <v>20523.7748214286</v>
      </c>
      <c r="H129" s="35" t="n">
        <f aca="false">VLOOKUP($A129,'91_Puente_Identidad'!$A$3:$M$51,12,FALSE())</f>
        <v>0</v>
      </c>
    </row>
    <row r="130" customFormat="false" ht="15" hidden="false" customHeight="false" outlineLevel="0" collapsed="false">
      <c r="A130" s="8" t="s">
        <v>274</v>
      </c>
      <c r="B130" s="17" t="str">
        <f aca="false">VLOOKUP($A130,'91_Puente_Identidad'!$A$3:$M$51,6,FALSE())</f>
        <v>Ingeniero de Proyectos</v>
      </c>
      <c r="C130" s="17" t="str">
        <f aca="false">VLOOKUP($A130,'91_Puente_Identidad'!$A$3:$M$51,8,FALSE())</f>
        <v>Chile</v>
      </c>
      <c r="D130" s="37" t="n">
        <f aca="false">SUMIFS('04_Rentab_Dotacion_Dic2025'!$E$6:$E$65,'04_Rentab_Dotacion_Dic2025'!$A$6:$A$65,$A130)</f>
        <v>187</v>
      </c>
      <c r="E130" s="9" t="n">
        <f aca="false">VLOOKUP($A130,'91_Puente_Identidad'!$A$3:$M$51,9,FALSE())</f>
        <v>2363.64</v>
      </c>
      <c r="F130" s="10" t="n">
        <f aca="false">SUMIFS('04_Rentab_Dotacion_Dic2025'!$G$6:$G$65,'04_Rentab_Dotacion_Dic2025'!$A$6:$A$65,$A130)</f>
        <v>0</v>
      </c>
      <c r="G130" s="10" t="n">
        <f aca="false">SUMIFS('04_Rentab_Dotacion_Dic2025'!$H$6:$H$65,'04_Rentab_Dotacion_Dic2025'!$A$6:$A$65,$A130)</f>
        <v>-2363.64</v>
      </c>
      <c r="H130" s="35" t="n">
        <f aca="false">VLOOKUP($A130,'91_Puente_Identidad'!$A$3:$M$51,12,FALSE())</f>
        <v>192</v>
      </c>
    </row>
    <row r="131" customFormat="false" ht="15" hidden="false" customHeight="false" outlineLevel="0" collapsed="false">
      <c r="A131" s="8" t="s">
        <v>277</v>
      </c>
      <c r="B131" s="17" t="str">
        <f aca="false">VLOOKUP($A131,'91_Puente_Identidad'!$A$3:$M$51,6,FALSE())</f>
        <v>Ingeniero de Proyectos</v>
      </c>
      <c r="C131" s="17" t="str">
        <f aca="false">VLOOKUP($A131,'91_Puente_Identidad'!$A$3:$M$51,8,FALSE())</f>
        <v>Chile</v>
      </c>
      <c r="D131" s="37" t="n">
        <f aca="false">SUMIFS('04_Rentab_Dotacion_Dic2025'!$E$6:$E$65,'04_Rentab_Dotacion_Dic2025'!$A$6:$A$65,$A131)</f>
        <v>186</v>
      </c>
      <c r="E131" s="9" t="n">
        <f aca="false">VLOOKUP($A131,'91_Puente_Identidad'!$A$3:$M$51,9,FALSE())</f>
        <v>2048.23</v>
      </c>
      <c r="F131" s="10" t="n">
        <f aca="false">SUMIFS('04_Rentab_Dotacion_Dic2025'!$G$6:$G$65,'04_Rentab_Dotacion_Dic2025'!$A$6:$A$65,$A131)</f>
        <v>8100.203125</v>
      </c>
      <c r="G131" s="10" t="n">
        <f aca="false">SUMIFS('04_Rentab_Dotacion_Dic2025'!$H$6:$H$65,'04_Rentab_Dotacion_Dic2025'!$A$6:$A$65,$A131)</f>
        <v>6051.973125</v>
      </c>
      <c r="H131" s="35" t="n">
        <f aca="false">VLOOKUP($A131,'91_Puente_Identidad'!$A$3:$M$51,12,FALSE())</f>
        <v>30</v>
      </c>
    </row>
    <row r="132" customFormat="false" ht="15" hidden="false" customHeight="false" outlineLevel="0" collapsed="false">
      <c r="A132" s="8" t="s">
        <v>278</v>
      </c>
      <c r="B132" s="17" t="str">
        <f aca="false">VLOOKUP($A132,'91_Puente_Identidad'!$A$3:$M$51,6,FALSE())</f>
        <v>Ingeniero Junior de Proyectos</v>
      </c>
      <c r="C132" s="17" t="str">
        <f aca="false">VLOOKUP($A132,'91_Puente_Identidad'!$A$3:$M$51,8,FALSE())</f>
        <v>Perú</v>
      </c>
      <c r="D132" s="37" t="n">
        <f aca="false">SUMIFS('04_Rentab_Dotacion_Dic2025'!$E$6:$E$65,'04_Rentab_Dotacion_Dic2025'!$A$6:$A$65,$A132)</f>
        <v>156</v>
      </c>
      <c r="E132" s="9" t="n">
        <f aca="false">VLOOKUP($A132,'91_Puente_Identidad'!$A$3:$M$51,9,FALSE())</f>
        <v>1787.49</v>
      </c>
      <c r="F132" s="10" t="n">
        <f aca="false">SUMIFS('04_Rentab_Dotacion_Dic2025'!$G$6:$G$65,'04_Rentab_Dotacion_Dic2025'!$A$6:$A$65,$A132)</f>
        <v>3892.7625</v>
      </c>
      <c r="G132" s="10" t="n">
        <f aca="false">SUMIFS('04_Rentab_Dotacion_Dic2025'!$H$6:$H$65,'04_Rentab_Dotacion_Dic2025'!$A$6:$A$65,$A132)</f>
        <v>2105.2725</v>
      </c>
      <c r="H132" s="35" t="n">
        <f aca="false">VLOOKUP($A132,'91_Puente_Identidad'!$A$3:$M$51,12,FALSE())</f>
        <v>6</v>
      </c>
    </row>
    <row r="133" customFormat="false" ht="15" hidden="false" customHeight="false" outlineLevel="0" collapsed="false">
      <c r="A133" s="8" t="s">
        <v>280</v>
      </c>
      <c r="B133" s="17" t="str">
        <f aca="false">VLOOKUP($A133,'91_Puente_Identidad'!$A$3:$M$51,6,FALSE())</f>
        <v>Ingeniero de Proyectos</v>
      </c>
      <c r="C133" s="17" t="str">
        <f aca="false">VLOOKUP($A133,'91_Puente_Identidad'!$A$3:$M$51,8,FALSE())</f>
        <v>Perú</v>
      </c>
      <c r="D133" s="37" t="n">
        <f aca="false">SUMIFS('04_Rentab_Dotacion_Dic2025'!$E$6:$E$65,'04_Rentab_Dotacion_Dic2025'!$A$6:$A$65,$A133)</f>
        <v>36</v>
      </c>
      <c r="E133" s="9" t="n">
        <f aca="false">VLOOKUP($A133,'91_Puente_Identidad'!$A$3:$M$51,9,FALSE())</f>
        <v>2274.99</v>
      </c>
      <c r="F133" s="10" t="n">
        <f aca="false">SUMIFS('04_Rentab_Dotacion_Dic2025'!$G$6:$G$65,'04_Rentab_Dotacion_Dic2025'!$A$6:$A$65,$A133)</f>
        <v>5429.12589673803</v>
      </c>
      <c r="G133" s="10" t="n">
        <f aca="false">SUMIFS('04_Rentab_Dotacion_Dic2025'!$H$6:$H$65,'04_Rentab_Dotacion_Dic2025'!$A$6:$A$65,$A133)</f>
        <v>3154.13589673803</v>
      </c>
      <c r="H133" s="35" t="n">
        <f aca="false">VLOOKUP($A133,'91_Puente_Identidad'!$A$3:$M$51,12,FALSE())</f>
        <v>57</v>
      </c>
    </row>
    <row r="134" customFormat="false" ht="15" hidden="false" customHeight="false" outlineLevel="0" collapsed="false">
      <c r="A134" s="8" t="s">
        <v>282</v>
      </c>
      <c r="B134" s="17" t="str">
        <f aca="false">VLOOKUP($A134,'91_Puente_Identidad'!$A$3:$M$51,6,FALSE())</f>
        <v>Ingeniero de Proyectos Metalúrgico</v>
      </c>
      <c r="C134" s="17" t="str">
        <f aca="false">VLOOKUP($A134,'91_Puente_Identidad'!$A$3:$M$51,8,FALSE())</f>
        <v>Chile</v>
      </c>
      <c r="D134" s="37" t="n">
        <f aca="false">SUMIFS('04_Rentab_Dotacion_Dic2025'!$E$6:$E$65,'04_Rentab_Dotacion_Dic2025'!$A$6:$A$65,$A134)</f>
        <v>176</v>
      </c>
      <c r="E134" s="9" t="n">
        <f aca="false">VLOOKUP($A134,'91_Puente_Identidad'!$A$3:$M$51,9,FALSE())</f>
        <v>4489.98</v>
      </c>
      <c r="F134" s="10" t="n">
        <f aca="false">SUMIFS('04_Rentab_Dotacion_Dic2025'!$G$6:$G$65,'04_Rentab_Dotacion_Dic2025'!$A$6:$A$65,$A134)</f>
        <v>0</v>
      </c>
      <c r="G134" s="10" t="n">
        <f aca="false">SUMIFS('04_Rentab_Dotacion_Dic2025'!$H$6:$H$65,'04_Rentab_Dotacion_Dic2025'!$A$6:$A$65,$A134)</f>
        <v>-4489.98</v>
      </c>
      <c r="H134" s="35" t="n">
        <f aca="false">VLOOKUP($A134,'91_Puente_Identidad'!$A$3:$M$51,12,FALSE())</f>
        <v>0</v>
      </c>
    </row>
    <row r="135" customFormat="false" ht="15" hidden="false" customHeight="false" outlineLevel="0" collapsed="false">
      <c r="A135" s="8" t="s">
        <v>283</v>
      </c>
      <c r="B135" s="17" t="str">
        <f aca="false">VLOOKUP($A135,'91_Puente_Identidad'!$A$3:$M$51,6,FALSE())</f>
        <v>Ingeniero de Proyectos</v>
      </c>
      <c r="C135" s="17" t="str">
        <f aca="false">VLOOKUP($A135,'91_Puente_Identidad'!$A$3:$M$51,8,FALSE())</f>
        <v>Perú</v>
      </c>
      <c r="D135" s="37" t="n">
        <f aca="false">SUMIFS('04_Rentab_Dotacion_Dic2025'!$E$6:$E$65,'04_Rentab_Dotacion_Dic2025'!$A$6:$A$65,$A135)</f>
        <v>176</v>
      </c>
      <c r="E135" s="9" t="n">
        <f aca="false">VLOOKUP($A135,'91_Puente_Identidad'!$A$3:$M$51,9,FALSE())</f>
        <v>4083.24</v>
      </c>
      <c r="F135" s="10" t="n">
        <f aca="false">SUMIFS('04_Rentab_Dotacion_Dic2025'!$G$6:$G$65,'04_Rentab_Dotacion_Dic2025'!$A$6:$A$65,$A135)</f>
        <v>0</v>
      </c>
      <c r="G135" s="10" t="n">
        <f aca="false">SUMIFS('04_Rentab_Dotacion_Dic2025'!$H$6:$H$65,'04_Rentab_Dotacion_Dic2025'!$A$6:$A$65,$A135)</f>
        <v>-4083.24</v>
      </c>
      <c r="H135" s="35" t="n">
        <f aca="false">VLOOKUP($A135,'91_Puente_Identidad'!$A$3:$M$51,12,FALSE())</f>
        <v>192</v>
      </c>
    </row>
    <row r="136" customFormat="false" ht="15" hidden="false" customHeight="false" outlineLevel="0" collapsed="false">
      <c r="A136" s="8" t="s">
        <v>284</v>
      </c>
      <c r="B136" s="17" t="str">
        <f aca="false">VLOOKUP($A136,'91_Puente_Identidad'!$A$3:$M$51,6,FALSE())</f>
        <v>Ingeniero de Proyectos</v>
      </c>
      <c r="C136" s="17" t="str">
        <f aca="false">VLOOKUP($A136,'91_Puente_Identidad'!$A$3:$M$51,8,FALSE())</f>
        <v>Chile</v>
      </c>
      <c r="D136" s="37" t="n">
        <f aca="false">SUMIFS('04_Rentab_Dotacion_Dic2025'!$E$6:$E$65,'04_Rentab_Dotacion_Dic2025'!$A$6:$A$65,$A136)</f>
        <v>161</v>
      </c>
      <c r="E136" s="9" t="n">
        <f aca="false">VLOOKUP($A136,'91_Puente_Identidad'!$A$3:$M$51,9,FALSE())</f>
        <v>2180.61</v>
      </c>
      <c r="F136" s="10" t="n">
        <f aca="false">SUMIFS('04_Rentab_Dotacion_Dic2025'!$G$6:$G$65,'04_Rentab_Dotacion_Dic2025'!$A$6:$A$65,$A136)</f>
        <v>6428.52352941177</v>
      </c>
      <c r="G136" s="10" t="n">
        <f aca="false">SUMIFS('04_Rentab_Dotacion_Dic2025'!$H$6:$H$65,'04_Rentab_Dotacion_Dic2025'!$A$6:$A$65,$A136)</f>
        <v>4247.91352941177</v>
      </c>
      <c r="H136" s="35" t="n">
        <f aca="false">VLOOKUP($A136,'91_Puente_Identidad'!$A$3:$M$51,12,FALSE())</f>
        <v>192</v>
      </c>
    </row>
    <row r="137" customFormat="false" ht="15" hidden="false" customHeight="false" outlineLevel="0" collapsed="false">
      <c r="A137" s="8" t="s">
        <v>286</v>
      </c>
      <c r="B137" s="17" t="str">
        <f aca="false">VLOOKUP($A137,'91_Puente_Identidad'!$A$3:$M$51,6,FALSE())</f>
        <v>Ingeniero Junior de Proyectos</v>
      </c>
      <c r="C137" s="17" t="str">
        <f aca="false">VLOOKUP($A137,'91_Puente_Identidad'!$A$3:$M$51,8,FALSE())</f>
        <v>Perú</v>
      </c>
      <c r="D137" s="37" t="n">
        <f aca="false">SUMIFS('04_Rentab_Dotacion_Dic2025'!$E$6:$E$65,'04_Rentab_Dotacion_Dic2025'!$A$6:$A$65,$A137)</f>
        <v>42</v>
      </c>
      <c r="E137" s="9" t="n">
        <f aca="false">VLOOKUP($A137,'91_Puente_Identidad'!$A$3:$M$51,9,FALSE())</f>
        <v>1126.12</v>
      </c>
      <c r="F137" s="10" t="n">
        <f aca="false">SUMIFS('04_Rentab_Dotacion_Dic2025'!$G$6:$G$65,'04_Rentab_Dotacion_Dic2025'!$A$6:$A$65,$A137)</f>
        <v>0</v>
      </c>
      <c r="G137" s="10" t="n">
        <f aca="false">SUMIFS('04_Rentab_Dotacion_Dic2025'!$H$6:$H$65,'04_Rentab_Dotacion_Dic2025'!$A$6:$A$65,$A137)</f>
        <v>-1126.12</v>
      </c>
      <c r="H137" s="35" t="n">
        <f aca="false">VLOOKUP($A137,'91_Puente_Identidad'!$A$3:$M$51,12,FALSE())</f>
        <v>6</v>
      </c>
    </row>
    <row r="138" customFormat="false" ht="15" hidden="false" customHeight="false" outlineLevel="0" collapsed="false">
      <c r="A138" s="8" t="s">
        <v>287</v>
      </c>
      <c r="B138" s="17" t="str">
        <f aca="false">VLOOKUP($A138,'91_Puente_Identidad'!$A$3:$M$51,6,FALSE())</f>
        <v>Ingeniero Junior de Proyectos</v>
      </c>
      <c r="C138" s="17" t="str">
        <f aca="false">VLOOKUP($A138,'91_Puente_Identidad'!$A$3:$M$51,8,FALSE())</f>
        <v>Perú</v>
      </c>
      <c r="D138" s="37" t="n">
        <f aca="false">SUMIFS('04_Rentab_Dotacion_Dic2025'!$E$6:$E$65,'04_Rentab_Dotacion_Dic2025'!$A$6:$A$65,$A138)</f>
        <v>159</v>
      </c>
      <c r="E138" s="9" t="n">
        <f aca="false">VLOOKUP($A138,'91_Puente_Identidad'!$A$3:$M$51,9,FALSE())</f>
        <v>1040</v>
      </c>
      <c r="F138" s="10" t="n">
        <f aca="false">SUMIFS('04_Rentab_Dotacion_Dic2025'!$G$6:$G$65,'04_Rentab_Dotacion_Dic2025'!$A$6:$A$65,$A138)</f>
        <v>11454.4663228155</v>
      </c>
      <c r="G138" s="10" t="n">
        <f aca="false">SUMIFS('04_Rentab_Dotacion_Dic2025'!$H$6:$H$65,'04_Rentab_Dotacion_Dic2025'!$A$6:$A$65,$A138)</f>
        <v>10414.4663228155</v>
      </c>
      <c r="H138" s="35" t="n">
        <f aca="false">VLOOKUP($A138,'91_Puente_Identidad'!$A$3:$M$51,12,FALSE())</f>
        <v>192</v>
      </c>
    </row>
    <row r="139" customFormat="false" ht="15" hidden="false" customHeight="false" outlineLevel="0" collapsed="false">
      <c r="A139" s="8" t="s">
        <v>288</v>
      </c>
      <c r="B139" s="17" t="str">
        <f aca="false">VLOOKUP($A139,'91_Puente_Identidad'!$A$3:$M$51,6,FALSE())</f>
        <v>Ingeniero de Proyectos</v>
      </c>
      <c r="C139" s="17" t="str">
        <f aca="false">VLOOKUP($A139,'91_Puente_Identidad'!$A$3:$M$51,8,FALSE())</f>
        <v>Chile</v>
      </c>
      <c r="D139" s="37" t="n">
        <f aca="false">SUMIFS('04_Rentab_Dotacion_Dic2025'!$E$6:$E$65,'04_Rentab_Dotacion_Dic2025'!$A$6:$A$65,$A139)</f>
        <v>151</v>
      </c>
      <c r="E139" s="9" t="n">
        <f aca="false">VLOOKUP($A139,'91_Puente_Identidad'!$A$3:$M$51,9,FALSE())</f>
        <v>3261</v>
      </c>
      <c r="F139" s="10" t="n">
        <f aca="false">SUMIFS('04_Rentab_Dotacion_Dic2025'!$G$6:$G$65,'04_Rentab_Dotacion_Dic2025'!$A$6:$A$65,$A139)</f>
        <v>961.542054054054</v>
      </c>
      <c r="G139" s="10" t="n">
        <f aca="false">SUMIFS('04_Rentab_Dotacion_Dic2025'!$H$6:$H$65,'04_Rentab_Dotacion_Dic2025'!$A$6:$A$65,$A139)</f>
        <v>-2299.45794594595</v>
      </c>
      <c r="H139" s="35" t="n">
        <f aca="false">VLOOKUP($A139,'91_Puente_Identidad'!$A$3:$M$51,12,FALSE())</f>
        <v>24</v>
      </c>
    </row>
    <row r="140" customFormat="false" ht="15" hidden="false" customHeight="false" outlineLevel="0" collapsed="false">
      <c r="A140" s="8" t="s">
        <v>289</v>
      </c>
      <c r="B140" s="17" t="n">
        <f aca="false">VLOOKUP($A140,'91_Puente_Identidad'!$A$3:$M$51,6,FALSE())</f>
        <v>0</v>
      </c>
      <c r="C140" s="17" t="n">
        <f aca="false">VLOOKUP($A140,'91_Puente_Identidad'!$A$3:$M$51,8,FALSE())</f>
        <v>0</v>
      </c>
      <c r="D140" s="37" t="n">
        <f aca="false">SUMIFS('04_Rentab_Dotacion_Dic2025'!$E$6:$E$65,'04_Rentab_Dotacion_Dic2025'!$A$6:$A$65,$A140)</f>
        <v>72</v>
      </c>
      <c r="E140" s="9" t="n">
        <f aca="false">VLOOKUP($A140,'91_Puente_Identidad'!$A$3:$M$51,9,FALSE())</f>
        <v>1315.59</v>
      </c>
      <c r="F140" s="10" t="n">
        <f aca="false">SUMIFS('04_Rentab_Dotacion_Dic2025'!$G$6:$G$65,'04_Rentab_Dotacion_Dic2025'!$A$6:$A$65,$A140)</f>
        <v>4307.83891891892</v>
      </c>
      <c r="G140" s="10" t="n">
        <f aca="false">SUMIFS('04_Rentab_Dotacion_Dic2025'!$H$6:$H$65,'04_Rentab_Dotacion_Dic2025'!$A$6:$A$65,$A140)</f>
        <v>2992.24891891892</v>
      </c>
      <c r="H140" s="35" t="n">
        <f aca="false">VLOOKUP($A140,'91_Puente_Identidad'!$A$3:$M$51,12,FALSE())</f>
        <v>0</v>
      </c>
    </row>
    <row r="141" customFormat="false" ht="15" hidden="false" customHeight="false" outlineLevel="0" collapsed="false">
      <c r="A141" s="8" t="s">
        <v>290</v>
      </c>
      <c r="B141" s="17" t="str">
        <f aca="false">VLOOKUP($A141,'91_Puente_Identidad'!$A$3:$M$51,6,FALSE())</f>
        <v>Ingeniero Principal Senior</v>
      </c>
      <c r="C141" s="17" t="str">
        <f aca="false">VLOOKUP($A141,'91_Puente_Identidad'!$A$3:$M$51,8,FALSE())</f>
        <v>Chile</v>
      </c>
      <c r="D141" s="37" t="n">
        <f aca="false">SUMIFS('04_Rentab_Dotacion_Dic2025'!$E$6:$E$65,'04_Rentab_Dotacion_Dic2025'!$A$6:$A$65,$A141)</f>
        <v>154</v>
      </c>
      <c r="E141" s="9" t="n">
        <f aca="false">VLOOKUP($A141,'91_Puente_Identidad'!$A$3:$M$51,9,FALSE())</f>
        <v>4392.68</v>
      </c>
      <c r="F141" s="10" t="n">
        <f aca="false">SUMIFS('04_Rentab_Dotacion_Dic2025'!$G$6:$G$65,'04_Rentab_Dotacion_Dic2025'!$A$6:$A$65,$A141)</f>
        <v>54192.6761904762</v>
      </c>
      <c r="G141" s="10" t="n">
        <f aca="false">SUMIFS('04_Rentab_Dotacion_Dic2025'!$H$6:$H$65,'04_Rentab_Dotacion_Dic2025'!$A$6:$A$65,$A141)</f>
        <v>49799.9961904762</v>
      </c>
      <c r="H141" s="35" t="n">
        <f aca="false">VLOOKUP($A141,'91_Puente_Identidad'!$A$3:$M$51,12,FALSE())</f>
        <v>157</v>
      </c>
    </row>
    <row r="142" customFormat="false" ht="15" hidden="false" customHeight="false" outlineLevel="0" collapsed="false">
      <c r="A142" s="8" t="s">
        <v>291</v>
      </c>
      <c r="B142" s="17" t="str">
        <f aca="false">VLOOKUP($A142,'91_Puente_Identidad'!$A$3:$M$51,6,FALSE())</f>
        <v>Ingeniero de Proyectos</v>
      </c>
      <c r="C142" s="17" t="str">
        <f aca="false">VLOOKUP($A142,'91_Puente_Identidad'!$A$3:$M$51,8,FALSE())</f>
        <v>Chile</v>
      </c>
      <c r="D142" s="37" t="n">
        <f aca="false">SUMIFS('04_Rentab_Dotacion_Dic2025'!$E$6:$E$65,'04_Rentab_Dotacion_Dic2025'!$A$6:$A$65,$A142)</f>
        <v>160</v>
      </c>
      <c r="E142" s="9" t="n">
        <f aca="false">VLOOKUP($A142,'91_Puente_Identidad'!$A$3:$M$51,9,FALSE())</f>
        <v>3319.36</v>
      </c>
      <c r="F142" s="10" t="n">
        <f aca="false">SUMIFS('04_Rentab_Dotacion_Dic2025'!$G$6:$G$65,'04_Rentab_Dotacion_Dic2025'!$A$6:$A$65,$A142)</f>
        <v>5367.36160714286</v>
      </c>
      <c r="G142" s="10" t="n">
        <f aca="false">SUMIFS('04_Rentab_Dotacion_Dic2025'!$H$6:$H$65,'04_Rentab_Dotacion_Dic2025'!$A$6:$A$65,$A142)</f>
        <v>2048.00160714286</v>
      </c>
      <c r="H142" s="35" t="n">
        <f aca="false">VLOOKUP($A142,'91_Puente_Identidad'!$A$3:$M$51,12,FALSE())</f>
        <v>192</v>
      </c>
    </row>
    <row r="143" customFormat="false" ht="15" hidden="false" customHeight="false" outlineLevel="0" collapsed="false">
      <c r="A143" s="8" t="s">
        <v>293</v>
      </c>
      <c r="B143" s="17" t="str">
        <f aca="false">VLOOKUP($A143,'91_Puente_Identidad'!$A$3:$M$51,6,FALSE())</f>
        <v>Ingeniero Principal Senior</v>
      </c>
      <c r="C143" s="17" t="str">
        <f aca="false">VLOOKUP($A143,'91_Puente_Identidad'!$A$3:$M$51,8,FALSE())</f>
        <v>Chile</v>
      </c>
      <c r="D143" s="37" t="n">
        <f aca="false">SUMIFS('04_Rentab_Dotacion_Dic2025'!$E$6:$E$65,'04_Rentab_Dotacion_Dic2025'!$A$6:$A$65,$A143)</f>
        <v>165</v>
      </c>
      <c r="E143" s="9" t="n">
        <f aca="false">VLOOKUP($A143,'91_Puente_Identidad'!$A$3:$M$51,9,FALSE())</f>
        <v>7012.18</v>
      </c>
      <c r="F143" s="10" t="n">
        <f aca="false">SUMIFS('04_Rentab_Dotacion_Dic2025'!$G$6:$G$65,'04_Rentab_Dotacion_Dic2025'!$A$6:$A$65,$A143)</f>
        <v>9898.75636036036</v>
      </c>
      <c r="G143" s="10" t="n">
        <f aca="false">SUMIFS('04_Rentab_Dotacion_Dic2025'!$H$6:$H$65,'04_Rentab_Dotacion_Dic2025'!$A$6:$A$65,$A143)</f>
        <v>2886.57636036036</v>
      </c>
      <c r="H143" s="35" t="n">
        <f aca="false">VLOOKUP($A143,'91_Puente_Identidad'!$A$3:$M$51,12,FALSE())</f>
        <v>85</v>
      </c>
    </row>
    <row r="144" customFormat="false" ht="15" hidden="false" customHeight="false" outlineLevel="0" collapsed="false">
      <c r="A144" s="8" t="s">
        <v>294</v>
      </c>
      <c r="B144" s="17" t="str">
        <f aca="false">VLOOKUP($A144,'91_Puente_Identidad'!$A$3:$M$51,6,FALSE())</f>
        <v>Ingeniero de Proyectos</v>
      </c>
      <c r="C144" s="17" t="str">
        <f aca="false">VLOOKUP($A144,'91_Puente_Identidad'!$A$3:$M$51,8,FALSE())</f>
        <v>Chile</v>
      </c>
      <c r="D144" s="37" t="n">
        <f aca="false">SUMIFS('04_Rentab_Dotacion_Dic2025'!$E$6:$E$65,'04_Rentab_Dotacion_Dic2025'!$A$6:$A$65,$A144)</f>
        <v>177</v>
      </c>
      <c r="E144" s="9" t="n">
        <f aca="false">VLOOKUP($A144,'91_Puente_Identidad'!$A$3:$M$51,9,FALSE())</f>
        <v>3758.41</v>
      </c>
      <c r="F144" s="10" t="n">
        <f aca="false">SUMIFS('04_Rentab_Dotacion_Dic2025'!$G$6:$G$65,'04_Rentab_Dotacion_Dic2025'!$A$6:$A$65,$A144)</f>
        <v>0</v>
      </c>
      <c r="G144" s="10" t="n">
        <f aca="false">SUMIFS('04_Rentab_Dotacion_Dic2025'!$H$6:$H$65,'04_Rentab_Dotacion_Dic2025'!$A$6:$A$65,$A144)</f>
        <v>-3758.41</v>
      </c>
      <c r="H144" s="35" t="n">
        <f aca="false">VLOOKUP($A144,'91_Puente_Identidad'!$A$3:$M$51,12,FALSE())</f>
        <v>192</v>
      </c>
    </row>
    <row r="145" customFormat="false" ht="15" hidden="false" customHeight="false" outlineLevel="0" collapsed="false">
      <c r="A145" s="8" t="s">
        <v>295</v>
      </c>
      <c r="B145" s="17" t="str">
        <f aca="false">VLOOKUP($A145,'91_Puente_Identidad'!$A$3:$M$51,6,FALSE())</f>
        <v>Geólogo Junior</v>
      </c>
      <c r="C145" s="17" t="str">
        <f aca="false">VLOOKUP($A145,'91_Puente_Identidad'!$A$3:$M$51,8,FALSE())</f>
        <v>Chile</v>
      </c>
      <c r="D145" s="37" t="n">
        <f aca="false">SUMIFS('04_Rentab_Dotacion_Dic2025'!$E$6:$E$65,'04_Rentab_Dotacion_Dic2025'!$A$6:$A$65,$A145)</f>
        <v>167</v>
      </c>
      <c r="E145" s="9" t="n">
        <f aca="false">VLOOKUP($A145,'91_Puente_Identidad'!$A$3:$M$51,9,FALSE())</f>
        <v>2070.38</v>
      </c>
      <c r="F145" s="10" t="n">
        <f aca="false">SUMIFS('04_Rentab_Dotacion_Dic2025'!$G$6:$G$65,'04_Rentab_Dotacion_Dic2025'!$A$6:$A$65,$A145)</f>
        <v>78716.1979591837</v>
      </c>
      <c r="G145" s="10" t="n">
        <f aca="false">SUMIFS('04_Rentab_Dotacion_Dic2025'!$H$6:$H$65,'04_Rentab_Dotacion_Dic2025'!$A$6:$A$65,$A145)</f>
        <v>76645.8179591837</v>
      </c>
      <c r="H145" s="35" t="n">
        <f aca="false">VLOOKUP($A145,'91_Puente_Identidad'!$A$3:$M$51,12,FALSE())</f>
        <v>168</v>
      </c>
    </row>
    <row r="146" customFormat="false" ht="15" hidden="false" customHeight="false" outlineLevel="0" collapsed="false">
      <c r="A146" s="8" t="s">
        <v>297</v>
      </c>
      <c r="B146" s="17" t="str">
        <f aca="false">VLOOKUP($A146,'91_Puente_Identidad'!$A$3:$M$51,6,FALSE())</f>
        <v>Ingeniero de Proyectos</v>
      </c>
      <c r="C146" s="17" t="str">
        <f aca="false">VLOOKUP($A146,'91_Puente_Identidad'!$A$3:$M$51,8,FALSE())</f>
        <v>Chile</v>
      </c>
      <c r="D146" s="37" t="n">
        <f aca="false">SUMIFS('04_Rentab_Dotacion_Dic2025'!$E$6:$E$65,'04_Rentab_Dotacion_Dic2025'!$A$6:$A$65,$A146)</f>
        <v>174</v>
      </c>
      <c r="E146" s="9" t="n">
        <f aca="false">VLOOKUP($A146,'91_Puente_Identidad'!$A$3:$M$51,9,FALSE())</f>
        <v>2668.49</v>
      </c>
      <c r="F146" s="10" t="n">
        <f aca="false">SUMIFS('04_Rentab_Dotacion_Dic2025'!$G$6:$G$65,'04_Rentab_Dotacion_Dic2025'!$A$6:$A$65,$A146)</f>
        <v>10255.4776418919</v>
      </c>
      <c r="G146" s="10" t="n">
        <f aca="false">SUMIFS('04_Rentab_Dotacion_Dic2025'!$H$6:$H$65,'04_Rentab_Dotacion_Dic2025'!$A$6:$A$65,$A146)</f>
        <v>7586.98764189189</v>
      </c>
      <c r="H146" s="35" t="n">
        <f aca="false">VLOOKUP($A146,'91_Puente_Identidad'!$A$3:$M$51,12,FALSE())</f>
        <v>27</v>
      </c>
    </row>
    <row r="148" customFormat="false" ht="128.35" hidden="false" customHeight="false" outlineLevel="0" collapsed="false">
      <c r="A148" s="3" t="s">
        <v>321</v>
      </c>
    </row>
    <row r="149" customFormat="false" ht="23.85" hidden="false" customHeight="false" outlineLevel="0" collapsed="false">
      <c r="A149" s="7" t="s">
        <v>322</v>
      </c>
      <c r="B149" s="7" t="s">
        <v>323</v>
      </c>
      <c r="C149" s="7" t="s">
        <v>317</v>
      </c>
      <c r="D149" s="7" t="s">
        <v>243</v>
      </c>
      <c r="E149" s="7" t="s">
        <v>324</v>
      </c>
    </row>
    <row r="150" customFormat="false" ht="15" hidden="false" customHeight="false" outlineLevel="0" collapsed="false">
      <c r="A150" s="8" t="s">
        <v>325</v>
      </c>
      <c r="B150" s="17" t="str">
        <f aca="false">VLOOKUP($A150,'91_Puente_Identidad'!$A$3:$M$51,3,FALSE())</f>
        <v>Sin match en roster</v>
      </c>
      <c r="C150" s="35" t="n">
        <f aca="false">SUMIFS('90_Origen_HH_Real_Dic25'!$C$3:$C$96,'90_Origen_HH_Real_Dic25'!$A$3:$A$96,$A150)</f>
        <v>163</v>
      </c>
      <c r="D150" s="38" t="s">
        <v>326</v>
      </c>
      <c r="E150" s="38" t="s">
        <v>327</v>
      </c>
    </row>
    <row r="151" customFormat="false" ht="15" hidden="false" customHeight="false" outlineLevel="0" collapsed="false">
      <c r="A151" s="8" t="s">
        <v>328</v>
      </c>
      <c r="B151" s="17" t="str">
        <f aca="false">VLOOKUP($A151,'91_Puente_Identidad'!$A$3:$M$51,3,FALSE())</f>
        <v>Sin match en roster</v>
      </c>
      <c r="C151" s="35" t="n">
        <f aca="false">SUMIFS('90_Origen_HH_Real_Dic25'!$C$3:$C$96,'90_Origen_HH_Real_Dic25'!$A$3:$A$96,$A151)</f>
        <v>129</v>
      </c>
      <c r="D151" s="38" t="s">
        <v>326</v>
      </c>
      <c r="E151" s="38" t="s">
        <v>327</v>
      </c>
    </row>
    <row r="152" customFormat="false" ht="15" hidden="false" customHeight="false" outlineLevel="0" collapsed="false">
      <c r="A152" s="8" t="s">
        <v>329</v>
      </c>
      <c r="B152" s="17" t="str">
        <f aca="false">VLOOKUP($A152,'91_Puente_Identidad'!$A$3:$M$51,3,FALSE())</f>
        <v>Sin match en roster</v>
      </c>
      <c r="C152" s="35" t="n">
        <f aca="false">SUMIFS('90_Origen_HH_Real_Dic25'!$C$3:$C$96,'90_Origen_HH_Real_Dic25'!$A$3:$A$96,$A152)</f>
        <v>148</v>
      </c>
      <c r="D152" s="38" t="s">
        <v>326</v>
      </c>
      <c r="E152" s="38" t="s">
        <v>327</v>
      </c>
    </row>
    <row r="153" customFormat="false" ht="15" hidden="false" customHeight="false" outlineLevel="0" collapsed="false">
      <c r="A153" s="8" t="s">
        <v>330</v>
      </c>
      <c r="B153" s="17" t="str">
        <f aca="false">VLOOKUP($A153,'91_Puente_Identidad'!$A$3:$M$51,3,FALSE())</f>
        <v>Sin match en roster</v>
      </c>
      <c r="C153" s="35" t="n">
        <f aca="false">SUMIFS('90_Origen_HH_Real_Dic25'!$C$3:$C$96,'90_Origen_HH_Real_Dic25'!$A$3:$A$96,$A153)</f>
        <v>193</v>
      </c>
      <c r="D153" s="38" t="s">
        <v>326</v>
      </c>
      <c r="E153" s="38" t="s">
        <v>327</v>
      </c>
    </row>
    <row r="154" customFormat="false" ht="15" hidden="false" customHeight="false" outlineLevel="0" collapsed="false">
      <c r="A154" s="8" t="s">
        <v>331</v>
      </c>
      <c r="B154" s="17" t="str">
        <f aca="false">VLOOKUP($A154,'91_Puente_Identidad'!$A$3:$M$51,3,FALSE())</f>
        <v>Sin match en roster</v>
      </c>
      <c r="C154" s="35" t="n">
        <f aca="false">SUMIFS('90_Origen_HH_Real_Dic25'!$C$3:$C$96,'90_Origen_HH_Real_Dic25'!$A$3:$A$96,$A154)</f>
        <v>186</v>
      </c>
      <c r="D154" s="38" t="s">
        <v>326</v>
      </c>
      <c r="E154" s="38" t="s">
        <v>327</v>
      </c>
    </row>
    <row r="155" customFormat="false" ht="15" hidden="false" customHeight="false" outlineLevel="0" collapsed="false">
      <c r="A155" s="8" t="s">
        <v>332</v>
      </c>
      <c r="B155" s="17" t="str">
        <f aca="false">VLOOKUP($A155,'91_Puente_Identidad'!$A$3:$M$51,3,FALSE())</f>
        <v>Sin match en roster</v>
      </c>
      <c r="C155" s="35" t="n">
        <f aca="false">SUMIFS('90_Origen_HH_Real_Dic25'!$C$3:$C$96,'90_Origen_HH_Real_Dic25'!$A$3:$A$96,$A155)</f>
        <v>174</v>
      </c>
      <c r="D155" s="38" t="s">
        <v>326</v>
      </c>
      <c r="E155" s="38" t="s">
        <v>327</v>
      </c>
    </row>
    <row r="156" customFormat="false" ht="15" hidden="false" customHeight="false" outlineLevel="0" collapsed="false">
      <c r="A156" s="8" t="s">
        <v>333</v>
      </c>
      <c r="B156" s="17" t="str">
        <f aca="false">VLOOKUP($A156,'91_Puente_Identidad'!$A$3:$M$51,3,FALSE())</f>
        <v>Sin match en roster</v>
      </c>
      <c r="C156" s="35" t="n">
        <f aca="false">SUMIFS('90_Origen_HH_Real_Dic25'!$C$3:$C$96,'90_Origen_HH_Real_Dic25'!$A$3:$A$96,$A156)</f>
        <v>174</v>
      </c>
      <c r="D156" s="38" t="s">
        <v>326</v>
      </c>
      <c r="E156" s="38" t="s">
        <v>327</v>
      </c>
    </row>
    <row r="157" customFormat="false" ht="15" hidden="false" customHeight="false" outlineLevel="0" collapsed="false">
      <c r="A157" s="8" t="s">
        <v>334</v>
      </c>
      <c r="B157" s="17" t="str">
        <f aca="false">VLOOKUP($A157,'91_Puente_Identidad'!$A$3:$M$51,3,FALSE())</f>
        <v>Sin match en roster</v>
      </c>
      <c r="C157" s="35" t="n">
        <f aca="false">SUMIFS('90_Origen_HH_Real_Dic25'!$C$3:$C$96,'90_Origen_HH_Real_Dic25'!$A$3:$A$96,$A157)</f>
        <v>172</v>
      </c>
      <c r="D157" s="38" t="s">
        <v>326</v>
      </c>
      <c r="E157" s="38" t="s">
        <v>327</v>
      </c>
    </row>
    <row r="158" customFormat="false" ht="15" hidden="false" customHeight="false" outlineLevel="0" collapsed="false">
      <c r="A158" s="8" t="s">
        <v>335</v>
      </c>
      <c r="B158" s="17" t="str">
        <f aca="false">VLOOKUP($A158,'91_Puente_Identidad'!$A$3:$M$51,3,FALSE())</f>
        <v>Sin match en roster</v>
      </c>
      <c r="C158" s="35" t="n">
        <f aca="false">SUMIFS('90_Origen_HH_Real_Dic25'!$C$3:$C$96,'90_Origen_HH_Real_Dic25'!$A$3:$A$96,$A158)</f>
        <v>186</v>
      </c>
      <c r="D158" s="38" t="s">
        <v>326</v>
      </c>
      <c r="E158" s="38" t="s">
        <v>327</v>
      </c>
    </row>
    <row r="159" customFormat="false" ht="15" hidden="false" customHeight="false" outlineLevel="0" collapsed="false">
      <c r="A159" s="8" t="s">
        <v>336</v>
      </c>
      <c r="B159" s="17" t="str">
        <f aca="false">VLOOKUP($A159,'91_Puente_Identidad'!$A$3:$M$51,3,FALSE())</f>
        <v>Sin match en roster</v>
      </c>
      <c r="C159" s="35" t="n">
        <f aca="false">SUMIFS('90_Origen_HH_Real_Dic25'!$C$3:$C$96,'90_Origen_HH_Real_Dic25'!$A$3:$A$96,$A159)</f>
        <v>175</v>
      </c>
      <c r="D159" s="38" t="s">
        <v>326</v>
      </c>
      <c r="E159" s="38" t="s">
        <v>327</v>
      </c>
    </row>
    <row r="160" customFormat="false" ht="15" hidden="false" customHeight="false" outlineLevel="0" collapsed="false">
      <c r="A160" s="8" t="s">
        <v>337</v>
      </c>
      <c r="B160" s="17" t="str">
        <f aca="false">VLOOKUP($A160,'91_Puente_Identidad'!$A$3:$M$51,3,FALSE())</f>
        <v>Exacto (Nombre TEAMS)</v>
      </c>
      <c r="C160" s="35" t="n">
        <f aca="false">SUMIFS('90_Origen_HH_Real_Dic25'!$C$3:$C$96,'90_Origen_HH_Real_Dic25'!$A$3:$A$96,$A160)</f>
        <v>197</v>
      </c>
      <c r="D160" s="38" t="s">
        <v>326</v>
      </c>
      <c r="E160" s="38" t="s">
        <v>327</v>
      </c>
    </row>
    <row r="161" customFormat="false" ht="15" hidden="false" customHeight="false" outlineLevel="0" collapsed="false">
      <c r="A161" s="8" t="s">
        <v>338</v>
      </c>
      <c r="B161" s="17" t="str">
        <f aca="false">VLOOKUP($A161,'91_Puente_Identidad'!$A$3:$M$51,3,FALSE())</f>
        <v>Sin match en roster</v>
      </c>
      <c r="C161" s="35" t="n">
        <f aca="false">SUMIFS('90_Origen_HH_Real_Dic25'!$C$3:$C$96,'90_Origen_HH_Real_Dic25'!$A$3:$A$96,$A161)</f>
        <v>115</v>
      </c>
      <c r="D161" s="38" t="s">
        <v>326</v>
      </c>
      <c r="E161" s="38" t="s">
        <v>327</v>
      </c>
    </row>
    <row r="162" customFormat="false" ht="15" hidden="false" customHeight="false" outlineLevel="0" collapsed="false">
      <c r="A162" s="8" t="s">
        <v>339</v>
      </c>
      <c r="B162" s="17" t="str">
        <f aca="false">VLOOKUP($A162,'91_Puente_Identidad'!$A$3:$M$51,3,FALSE())</f>
        <v>Sin match en roster</v>
      </c>
      <c r="C162" s="35" t="n">
        <f aca="false">SUMIFS('90_Origen_HH_Real_Dic25'!$C$3:$C$96,'90_Origen_HH_Real_Dic25'!$A$3:$A$96,$A162)</f>
        <v>63</v>
      </c>
      <c r="D162" s="38" t="s">
        <v>326</v>
      </c>
      <c r="E162" s="38" t="s">
        <v>327</v>
      </c>
    </row>
    <row r="163" customFormat="false" ht="15" hidden="false" customHeight="false" outlineLevel="0" collapsed="false">
      <c r="A163" s="8" t="s">
        <v>340</v>
      </c>
      <c r="B163" s="17" t="str">
        <f aca="false">VLOOKUP($A163,'91_Puente_Identidad'!$A$3:$M$51,3,FALSE())</f>
        <v>Sin match en roster</v>
      </c>
      <c r="C163" s="35" t="n">
        <f aca="false">SUMIFS('90_Origen_HH_Real_Dic25'!$C$3:$C$96,'90_Origen_HH_Real_Dic25'!$A$3:$A$96,$A163)</f>
        <v>36</v>
      </c>
      <c r="D163" s="38" t="s">
        <v>326</v>
      </c>
      <c r="E163" s="38" t="s">
        <v>327</v>
      </c>
    </row>
    <row r="164" customFormat="false" ht="15" hidden="false" customHeight="false" outlineLevel="0" collapsed="false">
      <c r="A164" s="8" t="s">
        <v>341</v>
      </c>
      <c r="B164" s="17" t="str">
        <f aca="false">VLOOKUP($A164,'91_Puente_Identidad'!$A$3:$M$51,3,FALSE())</f>
        <v>Exacto (Nombre TEAMS)</v>
      </c>
      <c r="C164" s="35" t="n">
        <f aca="false">SUMIFS('90_Origen_HH_Real_Dic25'!$C$3:$C$96,'90_Origen_HH_Real_Dic25'!$A$3:$A$96,$A164)</f>
        <v>158</v>
      </c>
      <c r="D164" s="38" t="s">
        <v>326</v>
      </c>
      <c r="E164" s="38" t="s">
        <v>327</v>
      </c>
    </row>
    <row r="165" customFormat="false" ht="15" hidden="false" customHeight="false" outlineLevel="0" collapsed="false">
      <c r="A165" s="8" t="s">
        <v>342</v>
      </c>
      <c r="B165" s="17" t="str">
        <f aca="false">VLOOKUP($A165,'91_Puente_Identidad'!$A$3:$M$51,3,FALSE())</f>
        <v>Sin match en roster</v>
      </c>
      <c r="C165" s="35" t="n">
        <f aca="false">SUMIFS('90_Origen_HH_Real_Dic25'!$C$3:$C$96,'90_Origen_HH_Real_Dic25'!$A$3:$A$96,$A165)</f>
        <v>42</v>
      </c>
      <c r="D165" s="38" t="s">
        <v>326</v>
      </c>
      <c r="E165" s="38" t="s">
        <v>327</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20"/>
    <col collapsed="false" customWidth="true" hidden="false" outlineLevel="0" max="4" min="4" style="0" width="18"/>
    <col collapsed="false" customWidth="true" hidden="false" outlineLevel="0" max="5" min="5" style="0" width="16"/>
    <col collapsed="false" customWidth="true" hidden="false" outlineLevel="0" max="6" min="6" style="0" width="12"/>
  </cols>
  <sheetData>
    <row r="1" customFormat="false" ht="25.5" hidden="false" customHeight="true" outlineLevel="0" collapsed="false">
      <c r="A1" s="5" t="s">
        <v>343</v>
      </c>
    </row>
    <row r="2" customFormat="false" ht="91" hidden="false" customHeight="false" outlineLevel="0" collapsed="false">
      <c r="A2" s="6" t="s">
        <v>344</v>
      </c>
    </row>
    <row r="4" customFormat="false" ht="64.9" hidden="false" customHeight="false" outlineLevel="0" collapsed="false">
      <c r="A4" s="3" t="s">
        <v>345</v>
      </c>
    </row>
    <row r="5" customFormat="false" ht="23.85" hidden="false" customHeight="false" outlineLevel="0" collapsed="false">
      <c r="A5" s="7" t="s">
        <v>191</v>
      </c>
      <c r="B5" s="7" t="s">
        <v>346</v>
      </c>
      <c r="C5" s="7" t="s">
        <v>347</v>
      </c>
      <c r="D5" s="7" t="s">
        <v>46</v>
      </c>
      <c r="E5" s="7" t="s">
        <v>348</v>
      </c>
    </row>
    <row r="6" customFormat="false" ht="15" hidden="false" customHeight="false" outlineLevel="0" collapsed="false">
      <c r="A6" s="8" t="s">
        <v>126</v>
      </c>
      <c r="B6" s="9" t="n">
        <f aca="false">SUMIFS('90_Origen_PL2024'!$E$3:$E$38,'90_Origen_PL2024'!$D$3:$D$38,"Ingresos")</f>
        <v>8274848.17</v>
      </c>
      <c r="C6" s="9" t="n">
        <f aca="false">SUMIFS('90_Origen_PL2024'!$E$3:$E$38,'90_Origen_PL2024'!$D$3:$D$38,"Gastos")</f>
        <v>5967843.04</v>
      </c>
      <c r="D6" s="10" t="n">
        <f aca="false">B6-C6</f>
        <v>2307005.13</v>
      </c>
      <c r="E6" s="11" t="n">
        <f aca="false">IF(C6=0,"-",D6/C6)</f>
        <v>0.386572688748195</v>
      </c>
    </row>
    <row r="7" customFormat="false" ht="15" hidden="false" customHeight="false" outlineLevel="0" collapsed="false">
      <c r="A7" s="8" t="s">
        <v>127</v>
      </c>
      <c r="B7" s="9" t="n">
        <f aca="false">SUMIFS('90_Origen_Rentab_2025'!$F$3:$F$122,'90_Origen_Rentab_2025'!$E$3:$E$122,"INGRESOS OP")</f>
        <v>9150616.34</v>
      </c>
      <c r="C7" s="9" t="n">
        <f aca="false">SUMIFS('90_Origen_Rentab_2025'!$F$3:$F$122,'90_Origen_Rentab_2025'!$E$3:$E$122,"COSTOS OP")</f>
        <v>7718837.52</v>
      </c>
      <c r="D7" s="10" t="n">
        <f aca="false">B7-C7</f>
        <v>1431778.82</v>
      </c>
      <c r="E7" s="11" t="n">
        <f aca="false">IF(C7=0,"-",D7/C7)</f>
        <v>0.185491509089312</v>
      </c>
    </row>
    <row r="8" customFormat="false" ht="15" hidden="false" customHeight="false" outlineLevel="0" collapsed="false">
      <c r="A8" s="39" t="s">
        <v>349</v>
      </c>
      <c r="B8" s="40" t="s">
        <v>350</v>
      </c>
      <c r="C8" s="40"/>
      <c r="D8" s="40"/>
      <c r="E8" s="40"/>
    </row>
    <row r="11" customFormat="false" ht="64.9" hidden="false" customHeight="false" outlineLevel="0" collapsed="false">
      <c r="A11" s="3" t="s">
        <v>351</v>
      </c>
    </row>
    <row r="12" customFormat="false" ht="23.85" hidden="false" customHeight="false" outlineLevel="0" collapsed="false">
      <c r="A12" s="7" t="s">
        <v>90</v>
      </c>
      <c r="B12" s="7" t="s">
        <v>109</v>
      </c>
      <c r="C12" s="7" t="s">
        <v>110</v>
      </c>
      <c r="D12" s="7" t="s">
        <v>352</v>
      </c>
      <c r="E12" s="7" t="s">
        <v>353</v>
      </c>
    </row>
    <row r="13" customFormat="false" ht="15" hidden="false" customHeight="false" outlineLevel="0" collapsed="false">
      <c r="A13" s="8" t="s">
        <v>103</v>
      </c>
      <c r="B13" s="9" t="n">
        <f aca="false">SUMIFS('90_Origen_MargenNivel'!$E$3:$E$44,'90_Origen_MargenNivel'!$D$3:$D$44,$A13)</f>
        <v>624015.5</v>
      </c>
      <c r="C13" s="9" t="n">
        <f aca="false">SUMIFS('90_Origen_MargenNivel'!$F$3:$F$44,'90_Origen_MargenNivel'!$D$3:$D$44,$A13)</f>
        <v>135626.84</v>
      </c>
      <c r="D13" s="10" t="n">
        <f aca="false">B13-C13</f>
        <v>488388.66</v>
      </c>
      <c r="E13" s="11" t="n">
        <f aca="false">IF(C13=0,"-",D13/C13)</f>
        <v>3.60097352411956</v>
      </c>
    </row>
    <row r="14" customFormat="false" ht="15" hidden="false" customHeight="false" outlineLevel="0" collapsed="false">
      <c r="A14" s="8" t="s">
        <v>95</v>
      </c>
      <c r="B14" s="9" t="n">
        <f aca="false">SUMIFS('90_Origen_MargenNivel'!$E$3:$E$44,'90_Origen_MargenNivel'!$D$3:$D$44,$A14)</f>
        <v>843510.49</v>
      </c>
      <c r="C14" s="9" t="n">
        <f aca="false">SUMIFS('90_Origen_MargenNivel'!$F$3:$F$44,'90_Origen_MargenNivel'!$D$3:$D$44,$A14)</f>
        <v>275994.16</v>
      </c>
      <c r="D14" s="10" t="n">
        <f aca="false">B14-C14</f>
        <v>567516.33</v>
      </c>
      <c r="E14" s="11" t="n">
        <f aca="false">IF(C14=0,"-",D14/C14)</f>
        <v>2.05626209627044</v>
      </c>
    </row>
    <row r="15" customFormat="false" ht="15" hidden="false" customHeight="false" outlineLevel="0" collapsed="false">
      <c r="A15" s="8" t="s">
        <v>97</v>
      </c>
      <c r="B15" s="9" t="n">
        <f aca="false">SUMIFS('90_Origen_MargenNivel'!$E$3:$E$44,'90_Origen_MargenNivel'!$D$3:$D$44,$A15)</f>
        <v>420000</v>
      </c>
      <c r="C15" s="9" t="n">
        <f aca="false">SUMIFS('90_Origen_MargenNivel'!$F$3:$F$44,'90_Origen_MargenNivel'!$D$3:$D$44,$A15)</f>
        <v>160654.51</v>
      </c>
      <c r="D15" s="10" t="n">
        <f aca="false">B15-C15</f>
        <v>259345.49</v>
      </c>
      <c r="E15" s="11" t="n">
        <f aca="false">IF(C15=0,"-",D15/C15)</f>
        <v>1.61430569238299</v>
      </c>
    </row>
    <row r="16" customFormat="false" ht="15" hidden="false" customHeight="false" outlineLevel="0" collapsed="false">
      <c r="A16" s="8" t="s">
        <v>99</v>
      </c>
      <c r="B16" s="9" t="n">
        <f aca="false">SUMIFS('90_Origen_MargenNivel'!$E$3:$E$44,'90_Origen_MargenNivel'!$D$3:$D$44,$A16)</f>
        <v>65406.33</v>
      </c>
      <c r="C16" s="9" t="n">
        <f aca="false">SUMIFS('90_Origen_MargenNivel'!$F$3:$F$44,'90_Origen_MargenNivel'!$D$3:$D$44,$A16)</f>
        <v>35999.24</v>
      </c>
      <c r="D16" s="10" t="n">
        <f aca="false">B16-C16</f>
        <v>29407.09</v>
      </c>
      <c r="E16" s="11" t="n">
        <f aca="false">IF(C16=0,"-",D16/C16)</f>
        <v>0.816880856373634</v>
      </c>
    </row>
    <row r="17" customFormat="false" ht="15" hidden="false" customHeight="false" outlineLevel="0" collapsed="false">
      <c r="A17" s="8" t="s">
        <v>102</v>
      </c>
      <c r="B17" s="9" t="n">
        <f aca="false">SUMIFS('90_Origen_MargenNivel'!$E$3:$E$44,'90_Origen_MargenNivel'!$D$3:$D$44,$A17)</f>
        <v>1601315.62</v>
      </c>
      <c r="C17" s="9" t="n">
        <f aca="false">SUMIFS('90_Origen_MargenNivel'!$F$3:$F$44,'90_Origen_MargenNivel'!$D$3:$D$44,$A17)</f>
        <v>1113638.42</v>
      </c>
      <c r="D17" s="10" t="n">
        <f aca="false">B17-C17</f>
        <v>487677.2</v>
      </c>
      <c r="E17" s="11" t="n">
        <f aca="false">IF(C17=0,"-",D17/C17)</f>
        <v>0.437913411787643</v>
      </c>
    </row>
    <row r="18" customFormat="false" ht="15" hidden="false" customHeight="false" outlineLevel="0" collapsed="false">
      <c r="A18" s="8" t="s">
        <v>100</v>
      </c>
      <c r="B18" s="9" t="n">
        <f aca="false">SUMIFS('90_Origen_MargenNivel'!$E$3:$E$44,'90_Origen_MargenNivel'!$D$3:$D$44,$A18)</f>
        <v>612986.57</v>
      </c>
      <c r="C18" s="9" t="n">
        <f aca="false">SUMIFS('90_Origen_MargenNivel'!$F$3:$F$44,'90_Origen_MargenNivel'!$D$3:$D$44,$A18)</f>
        <v>467114.32</v>
      </c>
      <c r="D18" s="10" t="n">
        <f aca="false">B18-C18</f>
        <v>145872.25</v>
      </c>
      <c r="E18" s="11" t="n">
        <f aca="false">IF(C18=0,"-",D18/C18)</f>
        <v>0.312283832360352</v>
      </c>
    </row>
    <row r="19" customFormat="false" ht="15" hidden="false" customHeight="false" outlineLevel="0" collapsed="false">
      <c r="A19" s="8" t="s">
        <v>96</v>
      </c>
      <c r="B19" s="9" t="n">
        <f aca="false">SUMIFS('90_Origen_MargenNivel'!$E$3:$E$44,'90_Origen_MargenNivel'!$D$3:$D$44,$A19)</f>
        <v>869797.79</v>
      </c>
      <c r="C19" s="9" t="n">
        <f aca="false">SUMIFS('90_Origen_MargenNivel'!$F$3:$F$44,'90_Origen_MargenNivel'!$D$3:$D$44,$A19)</f>
        <v>826223.19</v>
      </c>
      <c r="D19" s="10" t="n">
        <f aca="false">B19-C19</f>
        <v>43574.6000000001</v>
      </c>
      <c r="E19" s="11" t="n">
        <f aca="false">IF(C19=0,"-",D19/C19)</f>
        <v>0.0527395025065807</v>
      </c>
    </row>
    <row r="20" customFormat="false" ht="15" hidden="false" customHeight="false" outlineLevel="0" collapsed="false">
      <c r="A20" s="8" t="s">
        <v>98</v>
      </c>
      <c r="B20" s="9" t="n">
        <f aca="false">SUMIFS('90_Origen_MargenNivel'!$E$3:$E$44,'90_Origen_MargenNivel'!$D$3:$D$44,$A20)</f>
        <v>437440.77</v>
      </c>
      <c r="C20" s="9" t="n">
        <f aca="false">SUMIFS('90_Origen_MargenNivel'!$F$3:$F$44,'90_Origen_MargenNivel'!$D$3:$D$44,$A20)</f>
        <v>427805.79</v>
      </c>
      <c r="D20" s="10" t="n">
        <f aca="false">B20-C20</f>
        <v>9634.98000000004</v>
      </c>
      <c r="E20" s="11" t="n">
        <f aca="false">IF(C20=0,"-",D20/C20)</f>
        <v>0.0225218550688621</v>
      </c>
    </row>
    <row r="23" customFormat="false" ht="90.25" hidden="false" customHeight="false" outlineLevel="0" collapsed="false">
      <c r="A23" s="3" t="s">
        <v>354</v>
      </c>
    </row>
    <row r="24" customFormat="false" ht="15" hidden="false" customHeight="false" outlineLevel="0" collapsed="false">
      <c r="A24" s="7" t="s">
        <v>355</v>
      </c>
      <c r="B24" s="7" t="s">
        <v>109</v>
      </c>
      <c r="C24" s="7" t="s">
        <v>110</v>
      </c>
      <c r="D24" s="7" t="s">
        <v>352</v>
      </c>
      <c r="E24" s="7" t="s">
        <v>356</v>
      </c>
      <c r="F24" s="7" t="s">
        <v>47</v>
      </c>
    </row>
    <row r="25" customFormat="false" ht="15" hidden="false" customHeight="false" outlineLevel="0" collapsed="false">
      <c r="A25" s="8" t="s">
        <v>62</v>
      </c>
      <c r="B25" s="9" t="n">
        <f aca="false">SUMIFS('90_Origen_MargenNivel'!$E$3:$E$44,'90_Origen_MargenNivel'!$B$3:$B$44,$A25)</f>
        <v>1348473.97</v>
      </c>
      <c r="C25" s="9" t="n">
        <f aca="false">SUMIFS('90_Origen_MargenNivel'!$F$3:$F$44,'90_Origen_MargenNivel'!$B$3:$B$44,$A25)</f>
        <v>1133866.19</v>
      </c>
      <c r="D25" s="10" t="n">
        <f aca="false">B25-C25</f>
        <v>214607.78</v>
      </c>
      <c r="E25" s="11" t="n">
        <f aca="false">IF(C25=0,"-",D25/C25)</f>
        <v>0.189270816867729</v>
      </c>
      <c r="F25" s="11" t="n">
        <f aca="false">IF(B25=0,"-",D25/B25)</f>
        <v>0.159148626354278</v>
      </c>
    </row>
    <row r="26" customFormat="false" ht="15" hidden="false" customHeight="false" outlineLevel="0" collapsed="false">
      <c r="A26" s="8" t="s">
        <v>48</v>
      </c>
      <c r="B26" s="9" t="n">
        <f aca="false">SUMIFS('90_Origen_MargenNivel'!$E$3:$E$44,'90_Origen_MargenNivel'!$B$3:$B$44,$A26)</f>
        <v>1795848.77</v>
      </c>
      <c r="C26" s="9" t="n">
        <f aca="false">SUMIFS('90_Origen_MargenNivel'!$F$3:$F$44,'90_Origen_MargenNivel'!$B$3:$B$44,$A26)</f>
        <v>1127397.44</v>
      </c>
      <c r="D26" s="10" t="n">
        <f aca="false">B26-C26</f>
        <v>668451.33</v>
      </c>
      <c r="E26" s="11" t="n">
        <f aca="false">IF(C26=0,"-",D26/C26)</f>
        <v>0.592915422976302</v>
      </c>
      <c r="F26" s="11" t="n">
        <f aca="false">IF(B26=0,"-",D26/B26)</f>
        <v>0.372220278882392</v>
      </c>
    </row>
    <row r="27" customFormat="false" ht="15" hidden="false" customHeight="false" outlineLevel="0" collapsed="false">
      <c r="A27" s="8" t="s">
        <v>61</v>
      </c>
      <c r="B27" s="9" t="n">
        <f aca="false">SUMIFS('90_Origen_MargenNivel'!$E$3:$E$44,'90_Origen_MargenNivel'!$B$3:$B$44,$A27)</f>
        <v>1878464.93</v>
      </c>
      <c r="C27" s="9" t="n">
        <f aca="false">SUMIFS('90_Origen_MargenNivel'!$F$3:$F$44,'90_Origen_MargenNivel'!$B$3:$B$44,$A27)</f>
        <v>951511.39</v>
      </c>
      <c r="D27" s="10" t="n">
        <f aca="false">B27-C27</f>
        <v>926953.54</v>
      </c>
      <c r="E27" s="11" t="n">
        <f aca="false">IF(C27=0,"-",D27/C27)</f>
        <v>0.974190692557028</v>
      </c>
      <c r="F27" s="11" t="n">
        <f aca="false">IF(B27=0,"-",D27/B27)</f>
        <v>0.493463319541451</v>
      </c>
    </row>
    <row r="28" customFormat="false" ht="15" hidden="false" customHeight="false" outlineLevel="0" collapsed="false">
      <c r="A28" s="8" t="s">
        <v>63</v>
      </c>
      <c r="B28" s="9" t="n">
        <f aca="false">SUMIFS('90_Origen_MargenNivel'!$E$3:$E$44,'90_Origen_MargenNivel'!$B$3:$B$44,$A28)</f>
        <v>451685.4</v>
      </c>
      <c r="C28" s="9" t="n">
        <f aca="false">SUMIFS('90_Origen_MargenNivel'!$F$3:$F$44,'90_Origen_MargenNivel'!$B$3:$B$44,$A28)</f>
        <v>230281.45</v>
      </c>
      <c r="D28" s="10" t="n">
        <f aca="false">B28-C28</f>
        <v>221403.95</v>
      </c>
      <c r="E28" s="11" t="n">
        <f aca="false">IF(C28=0,"-",D28/C28)</f>
        <v>0.961449348178067</v>
      </c>
      <c r="F28" s="11" t="n">
        <f aca="false">IF(B28=0,"-",D28/B28)</f>
        <v>0.49017291681334</v>
      </c>
    </row>
    <row r="30" customFormat="false" ht="90.25" hidden="false" customHeight="false" outlineLevel="0" collapsed="false">
      <c r="A30" s="3" t="s">
        <v>357</v>
      </c>
    </row>
    <row r="31" customFormat="false" ht="15" hidden="false" customHeight="false" outlineLevel="0" collapsed="false">
      <c r="A31" s="7" t="s">
        <v>358</v>
      </c>
      <c r="B31" s="7" t="s">
        <v>359</v>
      </c>
      <c r="C31" s="7" t="s">
        <v>360</v>
      </c>
      <c r="D31" s="7" t="s">
        <v>361</v>
      </c>
    </row>
    <row r="32" customFormat="false" ht="15" hidden="false" customHeight="false" outlineLevel="0" collapsed="false">
      <c r="A32" s="8" t="s">
        <v>48</v>
      </c>
      <c r="B32" s="9" t="n">
        <f aca="false">SUMIFS('90_Origen_Rentab_2025'!$F$3:$F$122,'90_Origen_Rentab_2025'!$A$3:$A$122,$A32,'90_Origen_Rentab_2025'!$E$3:$E$122,"INGRESOS OP")-SUMIFS('90_Origen_Rentab_2025'!$F$3:$F$122,'90_Origen_Rentab_2025'!$A$3:$A$122,$A32,'90_Origen_Rentab_2025'!$E$3:$E$122,"COSTOS OP")</f>
        <v>-1407140.61</v>
      </c>
      <c r="C32" s="9" t="n">
        <f aca="false">SUMIFS('90_Origen_Rentab_2025'!$F$3:$F$122,'90_Origen_Rentab_2025'!$A$3:$A$122,$A32,'90_Origen_Rentab_2025'!$E$3:$E$122,"COSTOS OP")</f>
        <v>4999267.53</v>
      </c>
      <c r="D32" s="11" t="n">
        <f aca="false">IF(C32=0,"-",B32/C32)</f>
        <v>-0.281469355571775</v>
      </c>
    </row>
    <row r="33" customFormat="false" ht="15" hidden="false" customHeight="false" outlineLevel="0" collapsed="false">
      <c r="A33" s="8" t="s">
        <v>61</v>
      </c>
      <c r="B33" s="9" t="n">
        <f aca="false">SUMIFS('90_Origen_Rentab_2025'!$F$3:$F$122,'90_Origen_Rentab_2025'!$A$3:$A$122,$A33,'90_Origen_Rentab_2025'!$E$3:$E$122,"INGRESOS OP")-SUMIFS('90_Origen_Rentab_2025'!$F$3:$F$122,'90_Origen_Rentab_2025'!$A$3:$A$122,$A33,'90_Origen_Rentab_2025'!$E$3:$E$122,"COSTOS OP")</f>
        <v>685490.21</v>
      </c>
      <c r="C33" s="9" t="n">
        <f aca="false">SUMIFS('90_Origen_Rentab_2025'!$F$3:$F$122,'90_Origen_Rentab_2025'!$A$3:$A$122,$A33,'90_Origen_Rentab_2025'!$E$3:$E$122,"COSTOS OP")</f>
        <v>1731862.79</v>
      </c>
      <c r="D33" s="11" t="n">
        <f aca="false">IF(C33=0,"-",B33/C33)</f>
        <v>0.39581092333533</v>
      </c>
    </row>
    <row r="34" customFormat="false" ht="15" hidden="false" customHeight="false" outlineLevel="0" collapsed="false">
      <c r="A34" s="8" t="s">
        <v>62</v>
      </c>
      <c r="B34" s="9" t="n">
        <f aca="false">SUMIFS('90_Origen_Rentab_2025'!$F$3:$F$122,'90_Origen_Rentab_2025'!$A$3:$A$122,$A34,'90_Origen_Rentab_2025'!$E$3:$E$122,"INGRESOS OP")-SUMIFS('90_Origen_Rentab_2025'!$F$3:$F$122,'90_Origen_Rentab_2025'!$A$3:$A$122,$A34,'90_Origen_Rentab_2025'!$E$3:$E$122,"COSTOS OP")</f>
        <v>1145374.81</v>
      </c>
      <c r="C34" s="9" t="n">
        <f aca="false">SUMIFS('90_Origen_Rentab_2025'!$F$3:$F$122,'90_Origen_Rentab_2025'!$A$3:$A$122,$A34,'90_Origen_Rentab_2025'!$E$3:$E$122,"COSTOS OP")</f>
        <v>451717.4</v>
      </c>
      <c r="D34" s="11" t="n">
        <f aca="false">IF(C34=0,"-",B34/C34)</f>
        <v>2.5356003775812</v>
      </c>
    </row>
    <row r="35" customFormat="false" ht="15" hidden="false" customHeight="false" outlineLevel="0" collapsed="false">
      <c r="A35" s="8" t="s">
        <v>63</v>
      </c>
      <c r="B35" s="9" t="n">
        <f aca="false">SUMIFS('90_Origen_Rentab_2025'!$F$3:$F$122,'90_Origen_Rentab_2025'!$A$3:$A$122,$A35,'90_Origen_Rentab_2025'!$E$3:$E$122,"INGRESOS OP")-SUMIFS('90_Origen_Rentab_2025'!$F$3:$F$122,'90_Origen_Rentab_2025'!$A$3:$A$122,$A35,'90_Origen_Rentab_2025'!$E$3:$E$122,"COSTOS OP")</f>
        <v>762952.21</v>
      </c>
      <c r="C35" s="9" t="n">
        <f aca="false">SUMIFS('90_Origen_Rentab_2025'!$F$3:$F$122,'90_Origen_Rentab_2025'!$A$3:$A$122,$A35,'90_Origen_Rentab_2025'!$E$3:$E$122,"COSTOS OP")</f>
        <v>442363</v>
      </c>
      <c r="D35" s="11" t="n">
        <f aca="false">IF(C35=0,"-",B35/C35)</f>
        <v>1.72471976634574</v>
      </c>
    </row>
    <row r="36" customFormat="false" ht="15" hidden="false" customHeight="false" outlineLevel="0" collapsed="false">
      <c r="A36" s="8" t="s">
        <v>64</v>
      </c>
      <c r="B36" s="9" t="n">
        <f aca="false">SUMIFS('90_Origen_Rentab_2025'!$F$3:$F$122,'90_Origen_Rentab_2025'!$A$3:$A$122,$A36,'90_Origen_Rentab_2025'!$E$3:$E$122,"INGRESOS OP")-SUMIFS('90_Origen_Rentab_2025'!$F$3:$F$122,'90_Origen_Rentab_2025'!$A$3:$A$122,$A36,'90_Origen_Rentab_2025'!$E$3:$E$122,"COSTOS OP")</f>
        <v>245102.2</v>
      </c>
      <c r="C36" s="9" t="n">
        <f aca="false">SUMIFS('90_Origen_Rentab_2025'!$F$3:$F$122,'90_Origen_Rentab_2025'!$A$3:$A$122,$A36,'90_Origen_Rentab_2025'!$E$3:$E$122,"COSTOS OP")</f>
        <v>93626.8</v>
      </c>
      <c r="D36" s="11" t="n">
        <f aca="false">IF(C36=0,"-",B36/C36)</f>
        <v>2.61786368860198</v>
      </c>
    </row>
    <row r="39" customFormat="false" ht="15" hidden="false" customHeight="false" outlineLevel="0" collapsed="false">
      <c r="A39" s="3" t="s">
        <v>362</v>
      </c>
    </row>
    <row r="40" customFormat="false" ht="27.75" hidden="false" customHeight="true" outlineLevel="0" collapsed="false">
      <c r="A40" s="23" t="s">
        <v>363</v>
      </c>
      <c r="B40" s="23"/>
      <c r="C40" s="23"/>
      <c r="D40" s="23"/>
      <c r="E40" s="23"/>
      <c r="F40" s="23"/>
    </row>
    <row r="41" customFormat="false" ht="27.75" hidden="false" customHeight="true" outlineLevel="0" collapsed="false">
      <c r="A41" s="23" t="s">
        <v>364</v>
      </c>
      <c r="B41" s="23"/>
      <c r="C41" s="23"/>
      <c r="D41" s="23"/>
      <c r="E41" s="23"/>
      <c r="F41" s="23"/>
    </row>
    <row r="42" customFormat="false" ht="55.5" hidden="false" customHeight="true" outlineLevel="0" collapsed="false">
      <c r="A42" s="23" t="s">
        <v>365</v>
      </c>
      <c r="B42" s="23"/>
      <c r="C42" s="23"/>
      <c r="D42" s="23"/>
      <c r="E42" s="23"/>
      <c r="F42" s="23"/>
    </row>
    <row r="43" customFormat="false" ht="27.75" hidden="false" customHeight="true" outlineLevel="0" collapsed="false">
      <c r="A43" s="23" t="s">
        <v>366</v>
      </c>
      <c r="B43" s="23"/>
      <c r="C43" s="23"/>
      <c r="D43" s="23"/>
      <c r="E43" s="23"/>
      <c r="F43" s="23"/>
    </row>
  </sheetData>
  <mergeCells count="5">
    <mergeCell ref="B8:E8"/>
    <mergeCell ref="A40:F40"/>
    <mergeCell ref="A41:F41"/>
    <mergeCell ref="A42:F42"/>
    <mergeCell ref="A43:F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3" min="1" style="0" width="23"/>
    <col collapsed="false" customWidth="true" hidden="false" outlineLevel="0" max="4" min="4" style="0" width="14"/>
    <col collapsed="false" customWidth="true" hidden="false" outlineLevel="0" max="5" min="5" style="0" width="35"/>
    <col collapsed="false" customWidth="true" hidden="false" outlineLevel="0" max="6" min="6" style="0" width="40"/>
    <col collapsed="false" customWidth="true" hidden="false" outlineLevel="0" max="7" min="7" style="0" width="20"/>
    <col collapsed="false" customWidth="true" hidden="false" outlineLevel="0" max="8" min="8" style="0" width="13"/>
    <col collapsed="false" customWidth="true" hidden="false" outlineLevel="0" max="9" min="9" style="0" width="15"/>
    <col collapsed="false" customWidth="true" hidden="false" outlineLevel="0" max="10" min="10" style="0" width="12"/>
    <col collapsed="false" customWidth="true" hidden="false" outlineLevel="0" max="11" min="11" style="0" width="22"/>
    <col collapsed="false" customWidth="true" hidden="false" outlineLevel="0" max="12" min="12" style="0" width="19"/>
    <col collapsed="false" customWidth="true" hidden="false" outlineLevel="0" max="13" min="13" style="0" width="17"/>
  </cols>
  <sheetData>
    <row r="1" customFormat="false" ht="15" hidden="false" customHeight="false" outlineLevel="0" collapsed="false">
      <c r="A1" s="41" t="s">
        <v>367</v>
      </c>
    </row>
    <row r="2" customFormat="false" ht="15" hidden="false" customHeight="false" outlineLevel="0" collapsed="false">
      <c r="A2" s="42" t="s">
        <v>368</v>
      </c>
      <c r="B2" s="42" t="s">
        <v>369</v>
      </c>
      <c r="C2" s="42" t="s">
        <v>370</v>
      </c>
      <c r="D2" s="42" t="s">
        <v>371</v>
      </c>
      <c r="E2" s="42" t="s">
        <v>372</v>
      </c>
      <c r="F2" s="42" t="s">
        <v>238</v>
      </c>
      <c r="G2" s="42" t="s">
        <v>373</v>
      </c>
      <c r="H2" s="42" t="s">
        <v>374</v>
      </c>
      <c r="I2" s="42" t="s">
        <v>375</v>
      </c>
      <c r="J2" s="42" t="s">
        <v>376</v>
      </c>
      <c r="K2" s="42" t="s">
        <v>377</v>
      </c>
      <c r="L2" s="42" t="s">
        <v>378</v>
      </c>
      <c r="M2" s="42" t="s">
        <v>379</v>
      </c>
    </row>
    <row r="3" customFormat="false" ht="15" hidden="false" customHeight="false" outlineLevel="0" collapsed="false">
      <c r="A3" s="43" t="s">
        <v>245</v>
      </c>
      <c r="B3" s="43" t="s">
        <v>380</v>
      </c>
      <c r="C3" s="43" t="s">
        <v>381</v>
      </c>
      <c r="D3" s="43" t="s">
        <v>382</v>
      </c>
      <c r="E3" s="43" t="s">
        <v>383</v>
      </c>
      <c r="F3" s="43" t="s">
        <v>305</v>
      </c>
      <c r="G3" s="43" t="s">
        <v>304</v>
      </c>
      <c r="H3" s="43" t="s">
        <v>48</v>
      </c>
      <c r="I3" s="44" t="n">
        <v>1487.94</v>
      </c>
      <c r="J3" s="43" t="s">
        <v>384</v>
      </c>
      <c r="K3" s="43" t="s">
        <v>385</v>
      </c>
      <c r="L3" s="43"/>
      <c r="M3" s="43"/>
    </row>
    <row r="4" customFormat="false" ht="15" hidden="false" customHeight="false" outlineLevel="0" collapsed="false">
      <c r="A4" s="43" t="s">
        <v>325</v>
      </c>
      <c r="B4" s="43" t="s">
        <v>386</v>
      </c>
      <c r="C4" s="43" t="s">
        <v>387</v>
      </c>
      <c r="D4" s="43"/>
      <c r="E4" s="43" t="s">
        <v>325</v>
      </c>
      <c r="F4" s="43"/>
      <c r="G4" s="43"/>
      <c r="H4" s="43"/>
      <c r="I4" s="43"/>
      <c r="J4" s="43"/>
      <c r="K4" s="43" t="s">
        <v>388</v>
      </c>
      <c r="L4" s="45" t="n">
        <v>192</v>
      </c>
      <c r="M4" s="45" t="n">
        <v>0</v>
      </c>
    </row>
    <row r="5" customFormat="false" ht="15" hidden="false" customHeight="false" outlineLevel="0" collapsed="false">
      <c r="A5" s="43" t="s">
        <v>247</v>
      </c>
      <c r="B5" s="43" t="s">
        <v>389</v>
      </c>
      <c r="C5" s="43" t="s">
        <v>381</v>
      </c>
      <c r="D5" s="43" t="s">
        <v>390</v>
      </c>
      <c r="E5" s="43" t="s">
        <v>391</v>
      </c>
      <c r="F5" s="43" t="s">
        <v>308</v>
      </c>
      <c r="G5" s="43" t="s">
        <v>392</v>
      </c>
      <c r="H5" s="43" t="s">
        <v>61</v>
      </c>
      <c r="I5" s="44" t="n">
        <v>1949.99</v>
      </c>
      <c r="J5" s="43" t="s">
        <v>384</v>
      </c>
      <c r="K5" s="43" t="s">
        <v>385</v>
      </c>
      <c r="L5" s="45" t="n">
        <v>4</v>
      </c>
      <c r="M5" s="45" t="n">
        <v>188</v>
      </c>
    </row>
    <row r="6" customFormat="false" ht="15" hidden="false" customHeight="false" outlineLevel="0" collapsed="false">
      <c r="A6" s="43" t="s">
        <v>249</v>
      </c>
      <c r="B6" s="43" t="s">
        <v>393</v>
      </c>
      <c r="C6" s="43" t="s">
        <v>381</v>
      </c>
      <c r="D6" s="43" t="s">
        <v>394</v>
      </c>
      <c r="E6" s="43" t="s">
        <v>395</v>
      </c>
      <c r="F6" s="43" t="s">
        <v>308</v>
      </c>
      <c r="G6" s="43" t="s">
        <v>304</v>
      </c>
      <c r="H6" s="43" t="s">
        <v>48</v>
      </c>
      <c r="I6" s="44" t="n">
        <v>2031.79</v>
      </c>
      <c r="J6" s="43" t="s">
        <v>384</v>
      </c>
      <c r="K6" s="43" t="s">
        <v>385</v>
      </c>
      <c r="L6" s="45" t="n">
        <v>6</v>
      </c>
      <c r="M6" s="45" t="n">
        <v>186</v>
      </c>
    </row>
    <row r="7" customFormat="false" ht="15" hidden="false" customHeight="false" outlineLevel="0" collapsed="false">
      <c r="A7" s="43" t="s">
        <v>328</v>
      </c>
      <c r="B7" s="43" t="s">
        <v>396</v>
      </c>
      <c r="C7" s="43" t="s">
        <v>387</v>
      </c>
      <c r="D7" s="43"/>
      <c r="E7" s="43" t="s">
        <v>328</v>
      </c>
      <c r="F7" s="43"/>
      <c r="G7" s="43"/>
      <c r="H7" s="43"/>
      <c r="I7" s="43"/>
      <c r="J7" s="43"/>
      <c r="K7" s="43" t="s">
        <v>388</v>
      </c>
      <c r="L7" s="43"/>
      <c r="M7" s="43"/>
    </row>
    <row r="8" customFormat="false" ht="15" hidden="false" customHeight="false" outlineLevel="0" collapsed="false">
      <c r="A8" s="43" t="s">
        <v>252</v>
      </c>
      <c r="B8" s="43" t="s">
        <v>397</v>
      </c>
      <c r="C8" s="43" t="s">
        <v>381</v>
      </c>
      <c r="D8" s="43" t="s">
        <v>398</v>
      </c>
      <c r="E8" s="43" t="s">
        <v>399</v>
      </c>
      <c r="F8" s="43" t="s">
        <v>308</v>
      </c>
      <c r="G8" s="43" t="s">
        <v>304</v>
      </c>
      <c r="H8" s="43" t="s">
        <v>48</v>
      </c>
      <c r="I8" s="44" t="n">
        <v>3444.59</v>
      </c>
      <c r="J8" s="43" t="s">
        <v>384</v>
      </c>
      <c r="K8" s="43" t="s">
        <v>385</v>
      </c>
      <c r="L8" s="45" t="n">
        <v>192</v>
      </c>
      <c r="M8" s="45" t="n">
        <v>0</v>
      </c>
    </row>
    <row r="9" customFormat="false" ht="15" hidden="false" customHeight="false" outlineLevel="0" collapsed="false">
      <c r="A9" s="43" t="s">
        <v>329</v>
      </c>
      <c r="B9" s="43" t="s">
        <v>400</v>
      </c>
      <c r="C9" s="43" t="s">
        <v>387</v>
      </c>
      <c r="D9" s="43"/>
      <c r="E9" s="43" t="s">
        <v>329</v>
      </c>
      <c r="F9" s="43"/>
      <c r="G9" s="43"/>
      <c r="H9" s="43"/>
      <c r="I9" s="43"/>
      <c r="J9" s="43"/>
      <c r="K9" s="43" t="s">
        <v>388</v>
      </c>
      <c r="L9" s="45" t="n">
        <v>192</v>
      </c>
      <c r="M9" s="45" t="n">
        <v>0</v>
      </c>
    </row>
    <row r="10" customFormat="false" ht="15" hidden="false" customHeight="false" outlineLevel="0" collapsed="false">
      <c r="A10" s="43" t="s">
        <v>254</v>
      </c>
      <c r="B10" s="43" t="s">
        <v>401</v>
      </c>
      <c r="C10" s="43" t="s">
        <v>381</v>
      </c>
      <c r="D10" s="43" t="s">
        <v>402</v>
      </c>
      <c r="E10" s="43" t="s">
        <v>403</v>
      </c>
      <c r="F10" s="43" t="s">
        <v>304</v>
      </c>
      <c r="G10" s="43" t="s">
        <v>304</v>
      </c>
      <c r="H10" s="43" t="s">
        <v>48</v>
      </c>
      <c r="I10" s="44" t="n">
        <v>1717.85</v>
      </c>
      <c r="J10" s="43" t="s">
        <v>384</v>
      </c>
      <c r="K10" s="43" t="s">
        <v>385</v>
      </c>
      <c r="L10" s="45" t="n">
        <v>192</v>
      </c>
      <c r="M10" s="45" t="n">
        <v>0</v>
      </c>
    </row>
    <row r="11" customFormat="false" ht="15" hidden="false" customHeight="false" outlineLevel="0" collapsed="false">
      <c r="A11" s="43" t="s">
        <v>255</v>
      </c>
      <c r="B11" s="43" t="s">
        <v>404</v>
      </c>
      <c r="C11" s="43" t="s">
        <v>381</v>
      </c>
      <c r="D11" s="43" t="s">
        <v>405</v>
      </c>
      <c r="E11" s="43" t="s">
        <v>406</v>
      </c>
      <c r="F11" s="43" t="s">
        <v>308</v>
      </c>
      <c r="G11" s="43" t="s">
        <v>304</v>
      </c>
      <c r="H11" s="43" t="s">
        <v>48</v>
      </c>
      <c r="I11" s="44" t="n">
        <v>3930.17</v>
      </c>
      <c r="J11" s="43" t="s">
        <v>384</v>
      </c>
      <c r="K11" s="43" t="s">
        <v>385</v>
      </c>
      <c r="L11" s="45" t="n">
        <v>24</v>
      </c>
      <c r="M11" s="45" t="n">
        <v>168</v>
      </c>
    </row>
    <row r="12" customFormat="false" ht="15" hidden="false" customHeight="false" outlineLevel="0" collapsed="false">
      <c r="A12" s="43" t="s">
        <v>257</v>
      </c>
      <c r="B12" s="43" t="s">
        <v>407</v>
      </c>
      <c r="C12" s="43" t="s">
        <v>381</v>
      </c>
      <c r="D12" s="43" t="s">
        <v>408</v>
      </c>
      <c r="E12" s="43" t="s">
        <v>409</v>
      </c>
      <c r="F12" s="43" t="s">
        <v>304</v>
      </c>
      <c r="G12" s="43" t="s">
        <v>304</v>
      </c>
      <c r="H12" s="43" t="s">
        <v>48</v>
      </c>
      <c r="I12" s="44" t="n">
        <v>3984.55</v>
      </c>
      <c r="J12" s="43" t="s">
        <v>384</v>
      </c>
      <c r="K12" s="43" t="s">
        <v>385</v>
      </c>
      <c r="L12" s="45" t="n">
        <v>192</v>
      </c>
      <c r="M12" s="45" t="n">
        <v>0</v>
      </c>
    </row>
    <row r="13" customFormat="false" ht="15" hidden="false" customHeight="false" outlineLevel="0" collapsed="false">
      <c r="A13" s="43" t="s">
        <v>259</v>
      </c>
      <c r="B13" s="43" t="s">
        <v>410</v>
      </c>
      <c r="C13" s="43" t="s">
        <v>381</v>
      </c>
      <c r="D13" s="43" t="s">
        <v>411</v>
      </c>
      <c r="E13" s="43" t="s">
        <v>412</v>
      </c>
      <c r="F13" s="43" t="s">
        <v>308</v>
      </c>
      <c r="G13" s="43" t="s">
        <v>413</v>
      </c>
      <c r="H13" s="43" t="s">
        <v>48</v>
      </c>
      <c r="I13" s="44" t="n">
        <v>3596.44</v>
      </c>
      <c r="J13" s="43" t="s">
        <v>384</v>
      </c>
      <c r="K13" s="43" t="s">
        <v>385</v>
      </c>
      <c r="L13" s="45" t="n">
        <v>6</v>
      </c>
      <c r="M13" s="45" t="n">
        <v>186</v>
      </c>
    </row>
    <row r="14" customFormat="false" ht="15" hidden="false" customHeight="false" outlineLevel="0" collapsed="false">
      <c r="A14" s="43" t="s">
        <v>261</v>
      </c>
      <c r="B14" s="43" t="s">
        <v>414</v>
      </c>
      <c r="C14" s="43" t="s">
        <v>381</v>
      </c>
      <c r="D14" s="43" t="s">
        <v>415</v>
      </c>
      <c r="E14" s="43" t="s">
        <v>416</v>
      </c>
      <c r="F14" s="43" t="s">
        <v>304</v>
      </c>
      <c r="G14" s="43" t="s">
        <v>304</v>
      </c>
      <c r="H14" s="43" t="s">
        <v>48</v>
      </c>
      <c r="I14" s="44" t="n">
        <v>8643.29</v>
      </c>
      <c r="J14" s="43" t="s">
        <v>384</v>
      </c>
      <c r="K14" s="43" t="s">
        <v>385</v>
      </c>
      <c r="L14" s="45" t="n">
        <v>98</v>
      </c>
      <c r="M14" s="45" t="n">
        <v>94</v>
      </c>
    </row>
    <row r="15" customFormat="false" ht="15" hidden="false" customHeight="false" outlineLevel="0" collapsed="false">
      <c r="A15" s="43" t="s">
        <v>263</v>
      </c>
      <c r="B15" s="43" t="s">
        <v>417</v>
      </c>
      <c r="C15" s="43" t="s">
        <v>381</v>
      </c>
      <c r="D15" s="43" t="s">
        <v>418</v>
      </c>
      <c r="E15" s="43" t="s">
        <v>419</v>
      </c>
      <c r="F15" s="43" t="s">
        <v>308</v>
      </c>
      <c r="G15" s="43" t="s">
        <v>392</v>
      </c>
      <c r="H15" s="43" t="s">
        <v>61</v>
      </c>
      <c r="I15" s="44" t="n">
        <v>2112.49</v>
      </c>
      <c r="J15" s="43" t="s">
        <v>384</v>
      </c>
      <c r="K15" s="43" t="s">
        <v>385</v>
      </c>
      <c r="L15" s="45" t="n">
        <v>39</v>
      </c>
      <c r="M15" s="45" t="n">
        <v>153</v>
      </c>
    </row>
    <row r="16" customFormat="false" ht="15" hidden="false" customHeight="false" outlineLevel="0" collapsed="false">
      <c r="A16" s="43" t="s">
        <v>330</v>
      </c>
      <c r="B16" s="43" t="s">
        <v>420</v>
      </c>
      <c r="C16" s="43" t="s">
        <v>387</v>
      </c>
      <c r="D16" s="43"/>
      <c r="E16" s="43" t="s">
        <v>330</v>
      </c>
      <c r="F16" s="43"/>
      <c r="G16" s="43"/>
      <c r="H16" s="43"/>
      <c r="I16" s="43"/>
      <c r="J16" s="43"/>
      <c r="K16" s="43" t="s">
        <v>388</v>
      </c>
      <c r="L16" s="45" t="n">
        <v>192</v>
      </c>
      <c r="M16" s="45" t="n">
        <v>0</v>
      </c>
    </row>
    <row r="17" customFormat="false" ht="15" hidden="false" customHeight="false" outlineLevel="0" collapsed="false">
      <c r="A17" s="43" t="s">
        <v>265</v>
      </c>
      <c r="B17" s="43" t="s">
        <v>421</v>
      </c>
      <c r="C17" s="43" t="s">
        <v>381</v>
      </c>
      <c r="D17" s="43" t="s">
        <v>422</v>
      </c>
      <c r="E17" s="43" t="s">
        <v>423</v>
      </c>
      <c r="F17" s="43" t="s">
        <v>308</v>
      </c>
      <c r="G17" s="43" t="s">
        <v>304</v>
      </c>
      <c r="H17" s="43" t="s">
        <v>48</v>
      </c>
      <c r="I17" s="44" t="n">
        <v>3511.53</v>
      </c>
      <c r="J17" s="43" t="s">
        <v>384</v>
      </c>
      <c r="K17" s="43" t="s">
        <v>385</v>
      </c>
      <c r="L17" s="43"/>
      <c r="M17" s="43"/>
    </row>
    <row r="18" customFormat="false" ht="15" hidden="false" customHeight="false" outlineLevel="0" collapsed="false">
      <c r="A18" s="43" t="s">
        <v>267</v>
      </c>
      <c r="B18" s="43" t="s">
        <v>424</v>
      </c>
      <c r="C18" s="43" t="s">
        <v>381</v>
      </c>
      <c r="D18" s="43" t="s">
        <v>425</v>
      </c>
      <c r="E18" s="43" t="s">
        <v>426</v>
      </c>
      <c r="F18" s="43" t="s">
        <v>308</v>
      </c>
      <c r="G18" s="43" t="s">
        <v>304</v>
      </c>
      <c r="H18" s="43" t="s">
        <v>48</v>
      </c>
      <c r="I18" s="44" t="n">
        <v>4150.51</v>
      </c>
      <c r="J18" s="43" t="s">
        <v>384</v>
      </c>
      <c r="K18" s="43" t="s">
        <v>385</v>
      </c>
      <c r="L18" s="45" t="n">
        <v>6</v>
      </c>
      <c r="M18" s="45" t="n">
        <v>186</v>
      </c>
    </row>
    <row r="19" customFormat="false" ht="15" hidden="false" customHeight="false" outlineLevel="0" collapsed="false">
      <c r="A19" s="43" t="s">
        <v>331</v>
      </c>
      <c r="B19" s="43" t="s">
        <v>427</v>
      </c>
      <c r="C19" s="43" t="s">
        <v>387</v>
      </c>
      <c r="D19" s="43"/>
      <c r="E19" s="43" t="s">
        <v>331</v>
      </c>
      <c r="F19" s="43"/>
      <c r="G19" s="43"/>
      <c r="H19" s="43"/>
      <c r="I19" s="43"/>
      <c r="J19" s="43"/>
      <c r="K19" s="43" t="s">
        <v>388</v>
      </c>
      <c r="L19" s="45" t="n">
        <v>192</v>
      </c>
      <c r="M19" s="45" t="n">
        <v>0</v>
      </c>
    </row>
    <row r="20" customFormat="false" ht="15" hidden="false" customHeight="false" outlineLevel="0" collapsed="false">
      <c r="A20" s="43" t="s">
        <v>332</v>
      </c>
      <c r="B20" s="43" t="s">
        <v>428</v>
      </c>
      <c r="C20" s="43" t="s">
        <v>387</v>
      </c>
      <c r="D20" s="43"/>
      <c r="E20" s="43" t="s">
        <v>332</v>
      </c>
      <c r="F20" s="43"/>
      <c r="G20" s="43"/>
      <c r="H20" s="43"/>
      <c r="I20" s="43"/>
      <c r="J20" s="43"/>
      <c r="K20" s="43" t="s">
        <v>388</v>
      </c>
      <c r="L20" s="45" t="n">
        <v>192</v>
      </c>
      <c r="M20" s="45" t="n">
        <v>0</v>
      </c>
    </row>
    <row r="21" customFormat="false" ht="15" hidden="false" customHeight="false" outlineLevel="0" collapsed="false">
      <c r="A21" s="43" t="s">
        <v>333</v>
      </c>
      <c r="B21" s="43" t="s">
        <v>429</v>
      </c>
      <c r="C21" s="43" t="s">
        <v>387</v>
      </c>
      <c r="D21" s="43"/>
      <c r="E21" s="43" t="s">
        <v>333</v>
      </c>
      <c r="F21" s="43"/>
      <c r="G21" s="43"/>
      <c r="H21" s="43"/>
      <c r="I21" s="43"/>
      <c r="J21" s="43"/>
      <c r="K21" s="43" t="s">
        <v>388</v>
      </c>
      <c r="L21" s="45" t="n">
        <v>192</v>
      </c>
      <c r="M21" s="45" t="n">
        <v>0</v>
      </c>
    </row>
    <row r="22" customFormat="false" ht="15" hidden="false" customHeight="false" outlineLevel="0" collapsed="false">
      <c r="A22" s="43" t="s">
        <v>334</v>
      </c>
      <c r="B22" s="43" t="s">
        <v>430</v>
      </c>
      <c r="C22" s="43" t="s">
        <v>387</v>
      </c>
      <c r="D22" s="43"/>
      <c r="E22" s="43" t="s">
        <v>334</v>
      </c>
      <c r="F22" s="43"/>
      <c r="G22" s="43"/>
      <c r="H22" s="43"/>
      <c r="I22" s="43"/>
      <c r="J22" s="43"/>
      <c r="K22" s="43" t="s">
        <v>388</v>
      </c>
      <c r="L22" s="45" t="n">
        <v>192</v>
      </c>
      <c r="M22" s="45" t="n">
        <v>0</v>
      </c>
    </row>
    <row r="23" customFormat="false" ht="15" hidden="false" customHeight="false" outlineLevel="0" collapsed="false">
      <c r="A23" s="43" t="s">
        <v>335</v>
      </c>
      <c r="B23" s="43" t="s">
        <v>431</v>
      </c>
      <c r="C23" s="43" t="s">
        <v>387</v>
      </c>
      <c r="D23" s="43"/>
      <c r="E23" s="43" t="s">
        <v>335</v>
      </c>
      <c r="F23" s="43"/>
      <c r="G23" s="43"/>
      <c r="H23" s="43"/>
      <c r="I23" s="43"/>
      <c r="J23" s="43"/>
      <c r="K23" s="43" t="s">
        <v>388</v>
      </c>
      <c r="L23" s="45" t="n">
        <v>192</v>
      </c>
      <c r="M23" s="45" t="n">
        <v>0</v>
      </c>
    </row>
    <row r="24" customFormat="false" ht="15" hidden="false" customHeight="false" outlineLevel="0" collapsed="false">
      <c r="A24" s="43" t="s">
        <v>268</v>
      </c>
      <c r="B24" s="43" t="s">
        <v>432</v>
      </c>
      <c r="C24" s="43" t="s">
        <v>381</v>
      </c>
      <c r="D24" s="43" t="s">
        <v>433</v>
      </c>
      <c r="E24" s="43" t="s">
        <v>434</v>
      </c>
      <c r="F24" s="43" t="s">
        <v>310</v>
      </c>
      <c r="G24" s="43" t="s">
        <v>304</v>
      </c>
      <c r="H24" s="43" t="s">
        <v>48</v>
      </c>
      <c r="I24" s="44" t="n">
        <v>3522.12</v>
      </c>
      <c r="J24" s="43" t="s">
        <v>384</v>
      </c>
      <c r="K24" s="43" t="s">
        <v>385</v>
      </c>
      <c r="L24" s="43"/>
      <c r="M24" s="43"/>
    </row>
    <row r="25" customFormat="false" ht="15" hidden="false" customHeight="false" outlineLevel="0" collapsed="false">
      <c r="A25" s="43" t="s">
        <v>269</v>
      </c>
      <c r="B25" s="43" t="s">
        <v>435</v>
      </c>
      <c r="C25" s="43" t="s">
        <v>381</v>
      </c>
      <c r="D25" s="43" t="s">
        <v>436</v>
      </c>
      <c r="E25" s="43" t="s">
        <v>437</v>
      </c>
      <c r="F25" s="43" t="s">
        <v>308</v>
      </c>
      <c r="G25" s="43" t="s">
        <v>392</v>
      </c>
      <c r="H25" s="43" t="s">
        <v>61</v>
      </c>
      <c r="I25" s="44" t="n">
        <v>2762.49</v>
      </c>
      <c r="J25" s="43" t="s">
        <v>384</v>
      </c>
      <c r="K25" s="43" t="s">
        <v>385</v>
      </c>
      <c r="L25" s="45" t="n">
        <v>-30</v>
      </c>
      <c r="M25" s="45" t="n">
        <v>222</v>
      </c>
    </row>
    <row r="26" customFormat="false" ht="15" hidden="false" customHeight="false" outlineLevel="0" collapsed="false">
      <c r="A26" s="43" t="s">
        <v>270</v>
      </c>
      <c r="B26" s="43" t="s">
        <v>438</v>
      </c>
      <c r="C26" s="43" t="s">
        <v>381</v>
      </c>
      <c r="D26" s="43" t="s">
        <v>439</v>
      </c>
      <c r="E26" s="43" t="s">
        <v>440</v>
      </c>
      <c r="F26" s="43" t="s">
        <v>309</v>
      </c>
      <c r="G26" s="43" t="s">
        <v>304</v>
      </c>
      <c r="H26" s="43" t="s">
        <v>48</v>
      </c>
      <c r="I26" s="44" t="n">
        <v>2154.68</v>
      </c>
      <c r="J26" s="43" t="s">
        <v>384</v>
      </c>
      <c r="K26" s="43" t="s">
        <v>385</v>
      </c>
      <c r="L26" s="43"/>
      <c r="M26" s="43"/>
    </row>
    <row r="27" customFormat="false" ht="15" hidden="false" customHeight="false" outlineLevel="0" collapsed="false">
      <c r="A27" s="43" t="s">
        <v>271</v>
      </c>
      <c r="B27" s="43" t="s">
        <v>441</v>
      </c>
      <c r="C27" s="43" t="s">
        <v>381</v>
      </c>
      <c r="D27" s="43" t="s">
        <v>442</v>
      </c>
      <c r="E27" s="43" t="s">
        <v>443</v>
      </c>
      <c r="F27" s="43" t="s">
        <v>307</v>
      </c>
      <c r="G27" s="43" t="s">
        <v>304</v>
      </c>
      <c r="H27" s="43" t="s">
        <v>48</v>
      </c>
      <c r="I27" s="44" t="n">
        <v>4213.26</v>
      </c>
      <c r="J27" s="43" t="s">
        <v>384</v>
      </c>
      <c r="K27" s="43" t="s">
        <v>385</v>
      </c>
      <c r="L27" s="43"/>
      <c r="M27" s="43"/>
    </row>
    <row r="28" customFormat="false" ht="15" hidden="false" customHeight="false" outlineLevel="0" collapsed="false">
      <c r="A28" s="43" t="s">
        <v>274</v>
      </c>
      <c r="B28" s="43" t="s">
        <v>444</v>
      </c>
      <c r="C28" s="43" t="s">
        <v>381</v>
      </c>
      <c r="D28" s="43" t="s">
        <v>445</v>
      </c>
      <c r="E28" s="43" t="s">
        <v>446</v>
      </c>
      <c r="F28" s="43" t="s">
        <v>308</v>
      </c>
      <c r="G28" s="43" t="s">
        <v>304</v>
      </c>
      <c r="H28" s="43" t="s">
        <v>48</v>
      </c>
      <c r="I28" s="44" t="n">
        <v>2363.64</v>
      </c>
      <c r="J28" s="43" t="s">
        <v>384</v>
      </c>
      <c r="K28" s="43" t="s">
        <v>385</v>
      </c>
      <c r="L28" s="45" t="n">
        <v>192</v>
      </c>
      <c r="M28" s="45" t="n">
        <v>0</v>
      </c>
    </row>
    <row r="29" customFormat="false" ht="15" hidden="false" customHeight="false" outlineLevel="0" collapsed="false">
      <c r="A29" s="43" t="s">
        <v>277</v>
      </c>
      <c r="B29" s="43" t="s">
        <v>447</v>
      </c>
      <c r="C29" s="43" t="s">
        <v>381</v>
      </c>
      <c r="D29" s="43" t="s">
        <v>448</v>
      </c>
      <c r="E29" s="43" t="s">
        <v>449</v>
      </c>
      <c r="F29" s="43" t="s">
        <v>308</v>
      </c>
      <c r="G29" s="43" t="s">
        <v>413</v>
      </c>
      <c r="H29" s="43" t="s">
        <v>48</v>
      </c>
      <c r="I29" s="44" t="n">
        <v>2048.23</v>
      </c>
      <c r="J29" s="43" t="s">
        <v>384</v>
      </c>
      <c r="K29" s="43" t="s">
        <v>385</v>
      </c>
      <c r="L29" s="45" t="n">
        <v>30</v>
      </c>
      <c r="M29" s="45" t="n">
        <v>162</v>
      </c>
    </row>
    <row r="30" customFormat="false" ht="15" hidden="false" customHeight="false" outlineLevel="0" collapsed="false">
      <c r="A30" s="43" t="s">
        <v>278</v>
      </c>
      <c r="B30" s="43" t="s">
        <v>450</v>
      </c>
      <c r="C30" s="43" t="s">
        <v>381</v>
      </c>
      <c r="D30" s="43" t="s">
        <v>451</v>
      </c>
      <c r="E30" s="43" t="s">
        <v>452</v>
      </c>
      <c r="F30" s="43" t="s">
        <v>306</v>
      </c>
      <c r="G30" s="43" t="s">
        <v>392</v>
      </c>
      <c r="H30" s="43" t="s">
        <v>61</v>
      </c>
      <c r="I30" s="44" t="n">
        <v>1787.49</v>
      </c>
      <c r="J30" s="43" t="s">
        <v>384</v>
      </c>
      <c r="K30" s="43" t="s">
        <v>385</v>
      </c>
      <c r="L30" s="45" t="n">
        <v>6</v>
      </c>
      <c r="M30" s="45" t="n">
        <v>186</v>
      </c>
    </row>
    <row r="31" customFormat="false" ht="15" hidden="false" customHeight="false" outlineLevel="0" collapsed="false">
      <c r="A31" s="43" t="s">
        <v>280</v>
      </c>
      <c r="B31" s="43" t="s">
        <v>453</v>
      </c>
      <c r="C31" s="43" t="s">
        <v>381</v>
      </c>
      <c r="D31" s="43" t="s">
        <v>454</v>
      </c>
      <c r="E31" s="43" t="s">
        <v>455</v>
      </c>
      <c r="F31" s="43" t="s">
        <v>308</v>
      </c>
      <c r="G31" s="43" t="s">
        <v>392</v>
      </c>
      <c r="H31" s="43" t="s">
        <v>61</v>
      </c>
      <c r="I31" s="44" t="n">
        <v>2274.99</v>
      </c>
      <c r="J31" s="43" t="s">
        <v>384</v>
      </c>
      <c r="K31" s="43" t="s">
        <v>385</v>
      </c>
      <c r="L31" s="45" t="n">
        <v>57</v>
      </c>
      <c r="M31" s="45" t="n">
        <v>135</v>
      </c>
    </row>
    <row r="32" customFormat="false" ht="15" hidden="false" customHeight="false" outlineLevel="0" collapsed="false">
      <c r="A32" s="43" t="s">
        <v>336</v>
      </c>
      <c r="B32" s="43" t="s">
        <v>456</v>
      </c>
      <c r="C32" s="43" t="s">
        <v>387</v>
      </c>
      <c r="D32" s="43"/>
      <c r="E32" s="43" t="s">
        <v>336</v>
      </c>
      <c r="F32" s="43"/>
      <c r="G32" s="43"/>
      <c r="H32" s="43"/>
      <c r="I32" s="43"/>
      <c r="J32" s="43"/>
      <c r="K32" s="43" t="s">
        <v>388</v>
      </c>
      <c r="L32" s="45" t="n">
        <v>192</v>
      </c>
      <c r="M32" s="45" t="n">
        <v>0</v>
      </c>
    </row>
    <row r="33" customFormat="false" ht="15" hidden="false" customHeight="false" outlineLevel="0" collapsed="false">
      <c r="A33" s="43" t="s">
        <v>282</v>
      </c>
      <c r="B33" s="43" t="s">
        <v>457</v>
      </c>
      <c r="C33" s="43" t="s">
        <v>381</v>
      </c>
      <c r="D33" s="43" t="s">
        <v>458</v>
      </c>
      <c r="E33" s="43" t="s">
        <v>459</v>
      </c>
      <c r="F33" s="43" t="s">
        <v>309</v>
      </c>
      <c r="G33" s="43" t="s">
        <v>304</v>
      </c>
      <c r="H33" s="43" t="s">
        <v>48</v>
      </c>
      <c r="I33" s="44" t="n">
        <v>4489.98</v>
      </c>
      <c r="J33" s="43" t="s">
        <v>384</v>
      </c>
      <c r="K33" s="43" t="s">
        <v>385</v>
      </c>
      <c r="L33" s="43"/>
      <c r="M33" s="43"/>
    </row>
    <row r="34" customFormat="false" ht="15" hidden="false" customHeight="false" outlineLevel="0" collapsed="false">
      <c r="A34" s="43" t="s">
        <v>283</v>
      </c>
      <c r="B34" s="43" t="s">
        <v>460</v>
      </c>
      <c r="C34" s="43" t="s">
        <v>381</v>
      </c>
      <c r="D34" s="43" t="s">
        <v>461</v>
      </c>
      <c r="E34" s="43" t="s">
        <v>462</v>
      </c>
      <c r="F34" s="43" t="s">
        <v>308</v>
      </c>
      <c r="G34" s="43" t="s">
        <v>392</v>
      </c>
      <c r="H34" s="43" t="s">
        <v>61</v>
      </c>
      <c r="I34" s="44" t="n">
        <v>4083.24</v>
      </c>
      <c r="J34" s="43" t="s">
        <v>384</v>
      </c>
      <c r="K34" s="43" t="s">
        <v>385</v>
      </c>
      <c r="L34" s="45" t="n">
        <v>192</v>
      </c>
      <c r="M34" s="45" t="n">
        <v>0</v>
      </c>
    </row>
    <row r="35" customFormat="false" ht="15" hidden="false" customHeight="false" outlineLevel="0" collapsed="false">
      <c r="A35" s="43" t="s">
        <v>337</v>
      </c>
      <c r="B35" s="43" t="s">
        <v>463</v>
      </c>
      <c r="C35" s="43" t="s">
        <v>381</v>
      </c>
      <c r="D35" s="43" t="s">
        <v>464</v>
      </c>
      <c r="E35" s="43" t="s">
        <v>465</v>
      </c>
      <c r="F35" s="43" t="s">
        <v>308</v>
      </c>
      <c r="G35" s="43" t="s">
        <v>413</v>
      </c>
      <c r="H35" s="43" t="s">
        <v>61</v>
      </c>
      <c r="I35" s="43"/>
      <c r="J35" s="43"/>
      <c r="K35" s="43" t="s">
        <v>388</v>
      </c>
      <c r="L35" s="43"/>
      <c r="M35" s="43"/>
    </row>
    <row r="36" customFormat="false" ht="15" hidden="false" customHeight="false" outlineLevel="0" collapsed="false">
      <c r="A36" s="43" t="s">
        <v>338</v>
      </c>
      <c r="B36" s="43" t="s">
        <v>466</v>
      </c>
      <c r="C36" s="43" t="s">
        <v>387</v>
      </c>
      <c r="D36" s="43"/>
      <c r="E36" s="43" t="s">
        <v>338</v>
      </c>
      <c r="F36" s="43"/>
      <c r="G36" s="43"/>
      <c r="H36" s="43"/>
      <c r="I36" s="43"/>
      <c r="J36" s="43"/>
      <c r="K36" s="43" t="s">
        <v>388</v>
      </c>
      <c r="L36" s="45" t="n">
        <v>192</v>
      </c>
      <c r="M36" s="45" t="n">
        <v>0</v>
      </c>
    </row>
    <row r="37" customFormat="false" ht="15" hidden="false" customHeight="false" outlineLevel="0" collapsed="false">
      <c r="A37" s="43" t="s">
        <v>339</v>
      </c>
      <c r="B37" s="43" t="s">
        <v>467</v>
      </c>
      <c r="C37" s="43" t="s">
        <v>387</v>
      </c>
      <c r="D37" s="43"/>
      <c r="E37" s="43" t="s">
        <v>339</v>
      </c>
      <c r="F37" s="43"/>
      <c r="G37" s="43"/>
      <c r="H37" s="43"/>
      <c r="I37" s="43"/>
      <c r="J37" s="43"/>
      <c r="K37" s="43" t="s">
        <v>388</v>
      </c>
      <c r="L37" s="45" t="n">
        <v>192</v>
      </c>
      <c r="M37" s="45" t="n">
        <v>0</v>
      </c>
    </row>
    <row r="38" customFormat="false" ht="15" hidden="false" customHeight="false" outlineLevel="0" collapsed="false">
      <c r="A38" s="43" t="s">
        <v>340</v>
      </c>
      <c r="B38" s="43" t="s">
        <v>468</v>
      </c>
      <c r="C38" s="43" t="s">
        <v>387</v>
      </c>
      <c r="D38" s="43"/>
      <c r="E38" s="43" t="s">
        <v>340</v>
      </c>
      <c r="F38" s="43"/>
      <c r="G38" s="43"/>
      <c r="H38" s="43"/>
      <c r="I38" s="43"/>
      <c r="J38" s="43"/>
      <c r="K38" s="43" t="s">
        <v>388</v>
      </c>
      <c r="L38" s="43"/>
      <c r="M38" s="43"/>
    </row>
    <row r="39" customFormat="false" ht="15" hidden="false" customHeight="false" outlineLevel="0" collapsed="false">
      <c r="A39" s="43" t="s">
        <v>284</v>
      </c>
      <c r="B39" s="43" t="s">
        <v>469</v>
      </c>
      <c r="C39" s="43" t="s">
        <v>381</v>
      </c>
      <c r="D39" s="43" t="s">
        <v>470</v>
      </c>
      <c r="E39" s="43" t="s">
        <v>471</v>
      </c>
      <c r="F39" s="43" t="s">
        <v>308</v>
      </c>
      <c r="G39" s="43" t="s">
        <v>304</v>
      </c>
      <c r="H39" s="43" t="s">
        <v>48</v>
      </c>
      <c r="I39" s="44" t="n">
        <v>2180.61</v>
      </c>
      <c r="J39" s="43" t="s">
        <v>384</v>
      </c>
      <c r="K39" s="43" t="s">
        <v>385</v>
      </c>
      <c r="L39" s="45" t="n">
        <v>192</v>
      </c>
      <c r="M39" s="45" t="n">
        <v>0</v>
      </c>
    </row>
    <row r="40" customFormat="false" ht="15" hidden="false" customHeight="false" outlineLevel="0" collapsed="false">
      <c r="A40" s="43" t="s">
        <v>286</v>
      </c>
      <c r="B40" s="43" t="s">
        <v>472</v>
      </c>
      <c r="C40" s="43" t="s">
        <v>381</v>
      </c>
      <c r="D40" s="43" t="s">
        <v>473</v>
      </c>
      <c r="E40" s="43" t="s">
        <v>474</v>
      </c>
      <c r="F40" s="43" t="s">
        <v>306</v>
      </c>
      <c r="G40" s="43" t="s">
        <v>413</v>
      </c>
      <c r="H40" s="43" t="s">
        <v>61</v>
      </c>
      <c r="I40" s="44" t="n">
        <v>1126.12</v>
      </c>
      <c r="J40" s="43" t="s">
        <v>384</v>
      </c>
      <c r="K40" s="43" t="s">
        <v>385</v>
      </c>
      <c r="L40" s="45" t="n">
        <v>6</v>
      </c>
      <c r="M40" s="45" t="n">
        <v>186</v>
      </c>
    </row>
    <row r="41" customFormat="false" ht="15" hidden="false" customHeight="false" outlineLevel="0" collapsed="false">
      <c r="A41" s="43" t="s">
        <v>287</v>
      </c>
      <c r="B41" s="43" t="s">
        <v>475</v>
      </c>
      <c r="C41" s="43" t="s">
        <v>381</v>
      </c>
      <c r="D41" s="43" t="s">
        <v>476</v>
      </c>
      <c r="E41" s="43" t="s">
        <v>477</v>
      </c>
      <c r="F41" s="43" t="s">
        <v>306</v>
      </c>
      <c r="G41" s="43" t="s">
        <v>392</v>
      </c>
      <c r="H41" s="43" t="s">
        <v>61</v>
      </c>
      <c r="I41" s="44" t="n">
        <v>1040</v>
      </c>
      <c r="J41" s="43" t="s">
        <v>384</v>
      </c>
      <c r="K41" s="43" t="s">
        <v>385</v>
      </c>
      <c r="L41" s="45" t="n">
        <v>192</v>
      </c>
      <c r="M41" s="45" t="n">
        <v>0</v>
      </c>
    </row>
    <row r="42" customFormat="false" ht="15" hidden="false" customHeight="false" outlineLevel="0" collapsed="false">
      <c r="A42" s="43" t="s">
        <v>288</v>
      </c>
      <c r="B42" s="43" t="s">
        <v>478</v>
      </c>
      <c r="C42" s="43" t="s">
        <v>381</v>
      </c>
      <c r="D42" s="43" t="s">
        <v>479</v>
      </c>
      <c r="E42" s="43" t="s">
        <v>480</v>
      </c>
      <c r="F42" s="43" t="s">
        <v>308</v>
      </c>
      <c r="G42" s="43" t="s">
        <v>304</v>
      </c>
      <c r="H42" s="43" t="s">
        <v>48</v>
      </c>
      <c r="I42" s="44" t="n">
        <v>3261</v>
      </c>
      <c r="J42" s="43" t="s">
        <v>384</v>
      </c>
      <c r="K42" s="43" t="s">
        <v>385</v>
      </c>
      <c r="L42" s="45" t="n">
        <v>24</v>
      </c>
      <c r="M42" s="45" t="n">
        <v>168</v>
      </c>
    </row>
    <row r="43" customFormat="false" ht="15" hidden="false" customHeight="false" outlineLevel="0" collapsed="false">
      <c r="A43" s="43" t="s">
        <v>341</v>
      </c>
      <c r="B43" s="43" t="s">
        <v>481</v>
      </c>
      <c r="C43" s="43" t="s">
        <v>381</v>
      </c>
      <c r="D43" s="43" t="s">
        <v>482</v>
      </c>
      <c r="E43" s="43" t="s">
        <v>483</v>
      </c>
      <c r="F43" s="43" t="s">
        <v>484</v>
      </c>
      <c r="G43" s="43" t="s">
        <v>413</v>
      </c>
      <c r="H43" s="43" t="s">
        <v>61</v>
      </c>
      <c r="I43" s="43"/>
      <c r="J43" s="43"/>
      <c r="K43" s="43" t="s">
        <v>388</v>
      </c>
      <c r="L43" s="43"/>
      <c r="M43" s="43"/>
    </row>
    <row r="44" customFormat="false" ht="15" hidden="false" customHeight="false" outlineLevel="0" collapsed="false">
      <c r="A44" s="43" t="s">
        <v>289</v>
      </c>
      <c r="B44" s="43" t="s">
        <v>485</v>
      </c>
      <c r="C44" s="43" t="s">
        <v>387</v>
      </c>
      <c r="D44" s="43"/>
      <c r="E44" s="43" t="s">
        <v>289</v>
      </c>
      <c r="F44" s="43"/>
      <c r="G44" s="43"/>
      <c r="H44" s="43"/>
      <c r="I44" s="44" t="n">
        <v>1315.59</v>
      </c>
      <c r="J44" s="43" t="s">
        <v>384</v>
      </c>
      <c r="K44" s="43" t="s">
        <v>486</v>
      </c>
      <c r="L44" s="43"/>
      <c r="M44" s="43"/>
    </row>
    <row r="45" customFormat="false" ht="15" hidden="false" customHeight="false" outlineLevel="0" collapsed="false">
      <c r="A45" s="43" t="s">
        <v>290</v>
      </c>
      <c r="B45" s="43" t="s">
        <v>487</v>
      </c>
      <c r="C45" s="43" t="s">
        <v>381</v>
      </c>
      <c r="D45" s="43" t="s">
        <v>488</v>
      </c>
      <c r="E45" s="43" t="s">
        <v>489</v>
      </c>
      <c r="F45" s="43" t="s">
        <v>307</v>
      </c>
      <c r="G45" s="43" t="s">
        <v>304</v>
      </c>
      <c r="H45" s="43" t="s">
        <v>48</v>
      </c>
      <c r="I45" s="44" t="n">
        <v>4392.68</v>
      </c>
      <c r="J45" s="43" t="s">
        <v>384</v>
      </c>
      <c r="K45" s="43" t="s">
        <v>385</v>
      </c>
      <c r="L45" s="45" t="n">
        <v>157</v>
      </c>
      <c r="M45" s="45" t="n">
        <v>35</v>
      </c>
    </row>
    <row r="46" customFormat="false" ht="15" hidden="false" customHeight="false" outlineLevel="0" collapsed="false">
      <c r="A46" s="43" t="s">
        <v>291</v>
      </c>
      <c r="B46" s="43" t="s">
        <v>490</v>
      </c>
      <c r="C46" s="43" t="s">
        <v>381</v>
      </c>
      <c r="D46" s="43" t="s">
        <v>491</v>
      </c>
      <c r="E46" s="43" t="s">
        <v>492</v>
      </c>
      <c r="F46" s="43" t="s">
        <v>308</v>
      </c>
      <c r="G46" s="43" t="s">
        <v>304</v>
      </c>
      <c r="H46" s="43" t="s">
        <v>48</v>
      </c>
      <c r="I46" s="44" t="n">
        <v>3319.36</v>
      </c>
      <c r="J46" s="43" t="s">
        <v>384</v>
      </c>
      <c r="K46" s="43" t="s">
        <v>385</v>
      </c>
      <c r="L46" s="45" t="n">
        <v>192</v>
      </c>
      <c r="M46" s="45" t="n">
        <v>0</v>
      </c>
    </row>
    <row r="47" customFormat="false" ht="15" hidden="false" customHeight="false" outlineLevel="0" collapsed="false">
      <c r="A47" s="43" t="s">
        <v>293</v>
      </c>
      <c r="B47" s="43" t="s">
        <v>493</v>
      </c>
      <c r="C47" s="43" t="s">
        <v>381</v>
      </c>
      <c r="D47" s="43" t="s">
        <v>494</v>
      </c>
      <c r="E47" s="43" t="s">
        <v>495</v>
      </c>
      <c r="F47" s="43" t="s">
        <v>307</v>
      </c>
      <c r="G47" s="43" t="s">
        <v>304</v>
      </c>
      <c r="H47" s="43" t="s">
        <v>48</v>
      </c>
      <c r="I47" s="44" t="n">
        <v>7012.18</v>
      </c>
      <c r="J47" s="43" t="s">
        <v>384</v>
      </c>
      <c r="K47" s="43" t="s">
        <v>385</v>
      </c>
      <c r="L47" s="45" t="n">
        <v>85</v>
      </c>
      <c r="M47" s="45" t="n">
        <v>107</v>
      </c>
    </row>
    <row r="48" customFormat="false" ht="15" hidden="false" customHeight="false" outlineLevel="0" collapsed="false">
      <c r="A48" s="43" t="s">
        <v>294</v>
      </c>
      <c r="B48" s="43" t="s">
        <v>496</v>
      </c>
      <c r="C48" s="43" t="s">
        <v>381</v>
      </c>
      <c r="D48" s="43" t="s">
        <v>497</v>
      </c>
      <c r="E48" s="43" t="s">
        <v>498</v>
      </c>
      <c r="F48" s="43" t="s">
        <v>308</v>
      </c>
      <c r="G48" s="43" t="s">
        <v>304</v>
      </c>
      <c r="H48" s="43" t="s">
        <v>48</v>
      </c>
      <c r="I48" s="44" t="n">
        <v>3758.41</v>
      </c>
      <c r="J48" s="43" t="s">
        <v>384</v>
      </c>
      <c r="K48" s="43" t="s">
        <v>385</v>
      </c>
      <c r="L48" s="45" t="n">
        <v>192</v>
      </c>
      <c r="M48" s="45" t="n">
        <v>0</v>
      </c>
    </row>
    <row r="49" customFormat="false" ht="15" hidden="false" customHeight="false" outlineLevel="0" collapsed="false">
      <c r="A49" s="43" t="s">
        <v>342</v>
      </c>
      <c r="B49" s="43" t="s">
        <v>499</v>
      </c>
      <c r="C49" s="43" t="s">
        <v>387</v>
      </c>
      <c r="D49" s="43"/>
      <c r="E49" s="43" t="s">
        <v>342</v>
      </c>
      <c r="F49" s="43"/>
      <c r="G49" s="43"/>
      <c r="H49" s="43"/>
      <c r="I49" s="43"/>
      <c r="J49" s="43"/>
      <c r="K49" s="43" t="s">
        <v>388</v>
      </c>
      <c r="L49" s="45" t="n">
        <v>192</v>
      </c>
      <c r="M49" s="45" t="n">
        <v>0</v>
      </c>
    </row>
    <row r="50" customFormat="false" ht="15" hidden="false" customHeight="false" outlineLevel="0" collapsed="false">
      <c r="A50" s="43" t="s">
        <v>295</v>
      </c>
      <c r="B50" s="43" t="s">
        <v>500</v>
      </c>
      <c r="C50" s="43" t="s">
        <v>381</v>
      </c>
      <c r="D50" s="43" t="s">
        <v>501</v>
      </c>
      <c r="E50" s="43" t="s">
        <v>502</v>
      </c>
      <c r="F50" s="43" t="s">
        <v>303</v>
      </c>
      <c r="G50" s="43" t="s">
        <v>503</v>
      </c>
      <c r="H50" s="43" t="s">
        <v>48</v>
      </c>
      <c r="I50" s="44" t="n">
        <v>2070.38</v>
      </c>
      <c r="J50" s="43" t="s">
        <v>384</v>
      </c>
      <c r="K50" s="43" t="s">
        <v>385</v>
      </c>
      <c r="L50" s="45" t="n">
        <v>168</v>
      </c>
      <c r="M50" s="45" t="n">
        <v>24</v>
      </c>
    </row>
    <row r="51" customFormat="false" ht="15" hidden="false" customHeight="false" outlineLevel="0" collapsed="false">
      <c r="A51" s="43" t="s">
        <v>297</v>
      </c>
      <c r="B51" s="43" t="s">
        <v>504</v>
      </c>
      <c r="C51" s="43" t="s">
        <v>381</v>
      </c>
      <c r="D51" s="43" t="s">
        <v>505</v>
      </c>
      <c r="E51" s="43" t="s">
        <v>506</v>
      </c>
      <c r="F51" s="43" t="s">
        <v>308</v>
      </c>
      <c r="G51" s="43" t="s">
        <v>304</v>
      </c>
      <c r="H51" s="43" t="s">
        <v>48</v>
      </c>
      <c r="I51" s="44" t="n">
        <v>2668.49</v>
      </c>
      <c r="J51" s="43" t="s">
        <v>384</v>
      </c>
      <c r="K51" s="43" t="s">
        <v>385</v>
      </c>
      <c r="L51" s="45" t="n">
        <v>27</v>
      </c>
      <c r="M51" s="45" t="n">
        <v>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4" min="1" style="0" width="9"/>
    <col collapsed="false" customWidth="true" hidden="false" outlineLevel="0" max="5" min="5" style="0" width="13"/>
    <col collapsed="false" customWidth="true" hidden="false" outlineLevel="0" max="6" min="6" style="0" width="11"/>
    <col collapsed="false" customWidth="true" hidden="false" outlineLevel="0" max="7" min="7" style="0" width="40"/>
    <col collapsed="false" customWidth="true" hidden="false" outlineLevel="0" max="8" min="8" style="0" width="26"/>
  </cols>
  <sheetData>
    <row r="1" customFormat="false" ht="15" hidden="false" customHeight="false" outlineLevel="0" collapsed="false">
      <c r="A1" s="41" t="s">
        <v>507</v>
      </c>
    </row>
    <row r="2" customFormat="false" ht="15" hidden="false" customHeight="false" outlineLevel="0" collapsed="false">
      <c r="A2" s="42" t="s">
        <v>508</v>
      </c>
      <c r="B2" s="42" t="s">
        <v>509</v>
      </c>
      <c r="C2" s="42" t="s">
        <v>43</v>
      </c>
      <c r="D2" s="42" t="s">
        <v>510</v>
      </c>
      <c r="E2" s="42" t="s">
        <v>226</v>
      </c>
      <c r="F2" s="42" t="s">
        <v>511</v>
      </c>
      <c r="G2" s="42" t="s">
        <v>512</v>
      </c>
      <c r="H2" s="42" t="s">
        <v>513</v>
      </c>
    </row>
    <row r="3" customFormat="false" ht="15" hidden="false" customHeight="false" outlineLevel="0" collapsed="false">
      <c r="A3" s="43" t="s">
        <v>48</v>
      </c>
      <c r="B3" s="43" t="n">
        <v>2025</v>
      </c>
      <c r="C3" s="43" t="n">
        <v>1</v>
      </c>
      <c r="D3" s="43" t="s">
        <v>49</v>
      </c>
      <c r="E3" s="43" t="s">
        <v>514</v>
      </c>
      <c r="F3" s="44" t="n">
        <v>362362.73</v>
      </c>
      <c r="G3" s="43" t="s">
        <v>515</v>
      </c>
      <c r="H3" s="43" t="s">
        <v>516</v>
      </c>
    </row>
    <row r="4" customFormat="false" ht="15" hidden="false" customHeight="false" outlineLevel="0" collapsed="false">
      <c r="A4" s="43" t="s">
        <v>48</v>
      </c>
      <c r="B4" s="43" t="n">
        <v>2025</v>
      </c>
      <c r="C4" s="43" t="n">
        <v>2</v>
      </c>
      <c r="D4" s="43" t="s">
        <v>50</v>
      </c>
      <c r="E4" s="43" t="s">
        <v>514</v>
      </c>
      <c r="F4" s="44" t="n">
        <v>547310.62</v>
      </c>
      <c r="G4" s="43" t="s">
        <v>515</v>
      </c>
      <c r="H4" s="43" t="s">
        <v>516</v>
      </c>
    </row>
    <row r="5" customFormat="false" ht="15" hidden="false" customHeight="false" outlineLevel="0" collapsed="false">
      <c r="A5" s="43" t="s">
        <v>48</v>
      </c>
      <c r="B5" s="43" t="n">
        <v>2025</v>
      </c>
      <c r="C5" s="43" t="n">
        <v>3</v>
      </c>
      <c r="D5" s="43" t="s">
        <v>51</v>
      </c>
      <c r="E5" s="43" t="s">
        <v>514</v>
      </c>
      <c r="F5" s="44" t="n">
        <v>389727.46</v>
      </c>
      <c r="G5" s="43" t="s">
        <v>515</v>
      </c>
      <c r="H5" s="43" t="s">
        <v>516</v>
      </c>
    </row>
    <row r="6" customFormat="false" ht="15" hidden="false" customHeight="false" outlineLevel="0" collapsed="false">
      <c r="A6" s="43" t="s">
        <v>48</v>
      </c>
      <c r="B6" s="43" t="n">
        <v>2025</v>
      </c>
      <c r="C6" s="43" t="n">
        <v>4</v>
      </c>
      <c r="D6" s="43" t="s">
        <v>52</v>
      </c>
      <c r="E6" s="43" t="s">
        <v>514</v>
      </c>
      <c r="F6" s="44" t="n">
        <v>237434.48</v>
      </c>
      <c r="G6" s="43" t="s">
        <v>515</v>
      </c>
      <c r="H6" s="43" t="s">
        <v>516</v>
      </c>
    </row>
    <row r="7" customFormat="false" ht="15" hidden="false" customHeight="false" outlineLevel="0" collapsed="false">
      <c r="A7" s="43" t="s">
        <v>48</v>
      </c>
      <c r="B7" s="43" t="n">
        <v>2025</v>
      </c>
      <c r="C7" s="43" t="n">
        <v>5</v>
      </c>
      <c r="D7" s="43" t="s">
        <v>53</v>
      </c>
      <c r="E7" s="43" t="s">
        <v>514</v>
      </c>
      <c r="F7" s="44" t="n">
        <v>272631.08</v>
      </c>
      <c r="G7" s="43" t="s">
        <v>515</v>
      </c>
      <c r="H7" s="43" t="s">
        <v>516</v>
      </c>
    </row>
    <row r="8" customFormat="false" ht="15" hidden="false" customHeight="false" outlineLevel="0" collapsed="false">
      <c r="A8" s="43" t="s">
        <v>48</v>
      </c>
      <c r="B8" s="43" t="n">
        <v>2025</v>
      </c>
      <c r="C8" s="43" t="n">
        <v>6</v>
      </c>
      <c r="D8" s="43" t="s">
        <v>54</v>
      </c>
      <c r="E8" s="43" t="s">
        <v>514</v>
      </c>
      <c r="F8" s="44" t="n">
        <v>277419.07</v>
      </c>
      <c r="G8" s="43" t="s">
        <v>515</v>
      </c>
      <c r="H8" s="43" t="s">
        <v>516</v>
      </c>
    </row>
    <row r="9" customFormat="false" ht="15" hidden="false" customHeight="false" outlineLevel="0" collapsed="false">
      <c r="A9" s="43" t="s">
        <v>48</v>
      </c>
      <c r="B9" s="43" t="n">
        <v>2025</v>
      </c>
      <c r="C9" s="43" t="n">
        <v>7</v>
      </c>
      <c r="D9" s="43" t="s">
        <v>55</v>
      </c>
      <c r="E9" s="43" t="s">
        <v>514</v>
      </c>
      <c r="F9" s="44" t="n">
        <v>475570.75</v>
      </c>
      <c r="G9" s="43" t="s">
        <v>515</v>
      </c>
      <c r="H9" s="43" t="s">
        <v>516</v>
      </c>
    </row>
    <row r="10" customFormat="false" ht="15" hidden="false" customHeight="false" outlineLevel="0" collapsed="false">
      <c r="A10" s="43" t="s">
        <v>48</v>
      </c>
      <c r="B10" s="43" t="n">
        <v>2025</v>
      </c>
      <c r="C10" s="43" t="n">
        <v>8</v>
      </c>
      <c r="D10" s="43" t="s">
        <v>56</v>
      </c>
      <c r="E10" s="43" t="s">
        <v>514</v>
      </c>
      <c r="F10" s="44" t="n">
        <v>151482.74</v>
      </c>
      <c r="G10" s="43" t="s">
        <v>515</v>
      </c>
      <c r="H10" s="43" t="s">
        <v>516</v>
      </c>
    </row>
    <row r="11" customFormat="false" ht="15" hidden="false" customHeight="false" outlineLevel="0" collapsed="false">
      <c r="A11" s="43" t="s">
        <v>48</v>
      </c>
      <c r="B11" s="43" t="n">
        <v>2025</v>
      </c>
      <c r="C11" s="43" t="n">
        <v>9</v>
      </c>
      <c r="D11" s="43" t="s">
        <v>57</v>
      </c>
      <c r="E11" s="43" t="s">
        <v>514</v>
      </c>
      <c r="F11" s="44" t="n">
        <v>297925.05</v>
      </c>
      <c r="G11" s="43" t="s">
        <v>515</v>
      </c>
      <c r="H11" s="43" t="s">
        <v>516</v>
      </c>
    </row>
    <row r="12" customFormat="false" ht="15" hidden="false" customHeight="false" outlineLevel="0" collapsed="false">
      <c r="A12" s="43" t="s">
        <v>48</v>
      </c>
      <c r="B12" s="43" t="n">
        <v>2025</v>
      </c>
      <c r="C12" s="43" t="n">
        <v>10</v>
      </c>
      <c r="D12" s="43" t="s">
        <v>58</v>
      </c>
      <c r="E12" s="43" t="s">
        <v>514</v>
      </c>
      <c r="F12" s="44" t="n">
        <v>158266.46</v>
      </c>
      <c r="G12" s="43" t="s">
        <v>515</v>
      </c>
      <c r="H12" s="43" t="s">
        <v>516</v>
      </c>
    </row>
    <row r="13" customFormat="false" ht="15" hidden="false" customHeight="false" outlineLevel="0" collapsed="false">
      <c r="A13" s="43" t="s">
        <v>48</v>
      </c>
      <c r="B13" s="43" t="n">
        <v>2025</v>
      </c>
      <c r="C13" s="43" t="n">
        <v>11</v>
      </c>
      <c r="D13" s="43" t="s">
        <v>59</v>
      </c>
      <c r="E13" s="43" t="s">
        <v>514</v>
      </c>
      <c r="F13" s="44" t="n">
        <v>248788.93</v>
      </c>
      <c r="G13" s="43" t="s">
        <v>515</v>
      </c>
      <c r="H13" s="43" t="s">
        <v>516</v>
      </c>
    </row>
    <row r="14" customFormat="false" ht="15" hidden="false" customHeight="false" outlineLevel="0" collapsed="false">
      <c r="A14" s="43" t="s">
        <v>48</v>
      </c>
      <c r="B14" s="43" t="n">
        <v>2025</v>
      </c>
      <c r="C14" s="43" t="n">
        <v>12</v>
      </c>
      <c r="D14" s="43" t="s">
        <v>60</v>
      </c>
      <c r="E14" s="43" t="s">
        <v>514</v>
      </c>
      <c r="F14" s="44" t="n">
        <v>173207.55</v>
      </c>
      <c r="G14" s="43" t="s">
        <v>515</v>
      </c>
      <c r="H14" s="43" t="s">
        <v>516</v>
      </c>
    </row>
    <row r="15" customFormat="false" ht="15" hidden="false" customHeight="false" outlineLevel="0" collapsed="false">
      <c r="A15" s="43" t="s">
        <v>61</v>
      </c>
      <c r="B15" s="43" t="n">
        <v>2025</v>
      </c>
      <c r="C15" s="43" t="n">
        <v>1</v>
      </c>
      <c r="D15" s="43" t="s">
        <v>49</v>
      </c>
      <c r="E15" s="43" t="s">
        <v>514</v>
      </c>
      <c r="F15" s="44" t="n">
        <v>123848</v>
      </c>
      <c r="G15" s="43" t="s">
        <v>515</v>
      </c>
      <c r="H15" s="43" t="s">
        <v>516</v>
      </c>
    </row>
    <row r="16" customFormat="false" ht="15" hidden="false" customHeight="false" outlineLevel="0" collapsed="false">
      <c r="A16" s="43" t="s">
        <v>61</v>
      </c>
      <c r="B16" s="43" t="n">
        <v>2025</v>
      </c>
      <c r="C16" s="43" t="n">
        <v>2</v>
      </c>
      <c r="D16" s="43" t="s">
        <v>50</v>
      </c>
      <c r="E16" s="43" t="s">
        <v>514</v>
      </c>
      <c r="F16" s="44" t="n">
        <v>62454</v>
      </c>
      <c r="G16" s="43" t="s">
        <v>515</v>
      </c>
      <c r="H16" s="43" t="s">
        <v>516</v>
      </c>
    </row>
    <row r="17" customFormat="false" ht="15" hidden="false" customHeight="false" outlineLevel="0" collapsed="false">
      <c r="A17" s="43" t="s">
        <v>61</v>
      </c>
      <c r="B17" s="43" t="n">
        <v>2025</v>
      </c>
      <c r="C17" s="43" t="n">
        <v>3</v>
      </c>
      <c r="D17" s="43" t="s">
        <v>51</v>
      </c>
      <c r="E17" s="43" t="s">
        <v>514</v>
      </c>
      <c r="F17" s="44" t="n">
        <v>105377</v>
      </c>
      <c r="G17" s="43" t="s">
        <v>515</v>
      </c>
      <c r="H17" s="43" t="s">
        <v>516</v>
      </c>
    </row>
    <row r="18" customFormat="false" ht="15" hidden="false" customHeight="false" outlineLevel="0" collapsed="false">
      <c r="A18" s="43" t="s">
        <v>61</v>
      </c>
      <c r="B18" s="43" t="n">
        <v>2025</v>
      </c>
      <c r="C18" s="43" t="n">
        <v>4</v>
      </c>
      <c r="D18" s="43" t="s">
        <v>52</v>
      </c>
      <c r="E18" s="43" t="s">
        <v>514</v>
      </c>
      <c r="F18" s="44" t="n">
        <v>110077</v>
      </c>
      <c r="G18" s="43" t="s">
        <v>515</v>
      </c>
      <c r="H18" s="43" t="s">
        <v>516</v>
      </c>
    </row>
    <row r="19" customFormat="false" ht="15" hidden="false" customHeight="false" outlineLevel="0" collapsed="false">
      <c r="A19" s="43" t="s">
        <v>61</v>
      </c>
      <c r="B19" s="43" t="n">
        <v>2025</v>
      </c>
      <c r="C19" s="43" t="n">
        <v>5</v>
      </c>
      <c r="D19" s="43" t="s">
        <v>53</v>
      </c>
      <c r="E19" s="43" t="s">
        <v>514</v>
      </c>
      <c r="F19" s="44" t="n">
        <v>142610</v>
      </c>
      <c r="G19" s="43" t="s">
        <v>515</v>
      </c>
      <c r="H19" s="43" t="s">
        <v>516</v>
      </c>
    </row>
    <row r="20" customFormat="false" ht="15" hidden="false" customHeight="false" outlineLevel="0" collapsed="false">
      <c r="A20" s="43" t="s">
        <v>61</v>
      </c>
      <c r="B20" s="43" t="n">
        <v>2025</v>
      </c>
      <c r="C20" s="43" t="n">
        <v>6</v>
      </c>
      <c r="D20" s="43" t="s">
        <v>54</v>
      </c>
      <c r="E20" s="43" t="s">
        <v>514</v>
      </c>
      <c r="F20" s="44" t="n">
        <v>229588</v>
      </c>
      <c r="G20" s="43" t="s">
        <v>515</v>
      </c>
      <c r="H20" s="43" t="s">
        <v>516</v>
      </c>
    </row>
    <row r="21" customFormat="false" ht="15" hidden="false" customHeight="false" outlineLevel="0" collapsed="false">
      <c r="A21" s="43" t="s">
        <v>61</v>
      </c>
      <c r="B21" s="43" t="n">
        <v>2025</v>
      </c>
      <c r="C21" s="43" t="n">
        <v>7</v>
      </c>
      <c r="D21" s="43" t="s">
        <v>55</v>
      </c>
      <c r="E21" s="43" t="s">
        <v>514</v>
      </c>
      <c r="F21" s="44" t="n">
        <v>251702</v>
      </c>
      <c r="G21" s="43" t="s">
        <v>515</v>
      </c>
      <c r="H21" s="43" t="s">
        <v>516</v>
      </c>
    </row>
    <row r="22" customFormat="false" ht="15" hidden="false" customHeight="false" outlineLevel="0" collapsed="false">
      <c r="A22" s="43" t="s">
        <v>61</v>
      </c>
      <c r="B22" s="43" t="n">
        <v>2025</v>
      </c>
      <c r="C22" s="43" t="n">
        <v>8</v>
      </c>
      <c r="D22" s="43" t="s">
        <v>56</v>
      </c>
      <c r="E22" s="43" t="s">
        <v>514</v>
      </c>
      <c r="F22" s="44" t="n">
        <v>641573</v>
      </c>
      <c r="G22" s="43" t="s">
        <v>515</v>
      </c>
      <c r="H22" s="43" t="s">
        <v>516</v>
      </c>
    </row>
    <row r="23" customFormat="false" ht="15" hidden="false" customHeight="false" outlineLevel="0" collapsed="false">
      <c r="A23" s="43" t="s">
        <v>61</v>
      </c>
      <c r="B23" s="43" t="n">
        <v>2025</v>
      </c>
      <c r="C23" s="43" t="n">
        <v>9</v>
      </c>
      <c r="D23" s="43" t="s">
        <v>57</v>
      </c>
      <c r="E23" s="43" t="s">
        <v>514</v>
      </c>
      <c r="F23" s="44" t="n">
        <v>119133</v>
      </c>
      <c r="G23" s="43" t="s">
        <v>515</v>
      </c>
      <c r="H23" s="43" t="s">
        <v>516</v>
      </c>
    </row>
    <row r="24" customFormat="false" ht="15" hidden="false" customHeight="false" outlineLevel="0" collapsed="false">
      <c r="A24" s="43" t="s">
        <v>61</v>
      </c>
      <c r="B24" s="43" t="n">
        <v>2025</v>
      </c>
      <c r="C24" s="43" t="n">
        <v>10</v>
      </c>
      <c r="D24" s="43" t="s">
        <v>58</v>
      </c>
      <c r="E24" s="43" t="s">
        <v>514</v>
      </c>
      <c r="F24" s="44" t="n">
        <v>265449</v>
      </c>
      <c r="G24" s="43" t="s">
        <v>515</v>
      </c>
      <c r="H24" s="43" t="s">
        <v>516</v>
      </c>
    </row>
    <row r="25" customFormat="false" ht="15" hidden="false" customHeight="false" outlineLevel="0" collapsed="false">
      <c r="A25" s="43" t="s">
        <v>61</v>
      </c>
      <c r="B25" s="43" t="n">
        <v>2025</v>
      </c>
      <c r="C25" s="43" t="n">
        <v>11</v>
      </c>
      <c r="D25" s="43" t="s">
        <v>59</v>
      </c>
      <c r="E25" s="43" t="s">
        <v>514</v>
      </c>
      <c r="F25" s="44" t="n">
        <v>96110</v>
      </c>
      <c r="G25" s="43" t="s">
        <v>515</v>
      </c>
      <c r="H25" s="43" t="s">
        <v>516</v>
      </c>
    </row>
    <row r="26" customFormat="false" ht="15" hidden="false" customHeight="false" outlineLevel="0" collapsed="false">
      <c r="A26" s="43" t="s">
        <v>61</v>
      </c>
      <c r="B26" s="43" t="n">
        <v>2025</v>
      </c>
      <c r="C26" s="43" t="n">
        <v>12</v>
      </c>
      <c r="D26" s="43" t="s">
        <v>60</v>
      </c>
      <c r="E26" s="43" t="s">
        <v>514</v>
      </c>
      <c r="F26" s="44" t="n">
        <v>269432</v>
      </c>
      <c r="G26" s="43" t="s">
        <v>515</v>
      </c>
      <c r="H26" s="43" t="s">
        <v>516</v>
      </c>
    </row>
    <row r="27" customFormat="false" ht="15" hidden="false" customHeight="false" outlineLevel="0" collapsed="false">
      <c r="A27" s="43" t="s">
        <v>62</v>
      </c>
      <c r="B27" s="43" t="n">
        <v>2025</v>
      </c>
      <c r="C27" s="43" t="n">
        <v>1</v>
      </c>
      <c r="D27" s="43" t="s">
        <v>49</v>
      </c>
      <c r="E27" s="43" t="s">
        <v>514</v>
      </c>
      <c r="F27" s="44" t="n">
        <v>80502</v>
      </c>
      <c r="G27" s="43" t="s">
        <v>515</v>
      </c>
      <c r="H27" s="43" t="s">
        <v>516</v>
      </c>
    </row>
    <row r="28" customFormat="false" ht="15" hidden="false" customHeight="false" outlineLevel="0" collapsed="false">
      <c r="A28" s="43" t="s">
        <v>62</v>
      </c>
      <c r="B28" s="43" t="n">
        <v>2025</v>
      </c>
      <c r="C28" s="43" t="n">
        <v>2</v>
      </c>
      <c r="D28" s="43" t="s">
        <v>50</v>
      </c>
      <c r="E28" s="43" t="s">
        <v>514</v>
      </c>
      <c r="F28" s="44" t="n">
        <v>59683</v>
      </c>
      <c r="G28" s="43" t="s">
        <v>515</v>
      </c>
      <c r="H28" s="43" t="s">
        <v>516</v>
      </c>
    </row>
    <row r="29" customFormat="false" ht="15" hidden="false" customHeight="false" outlineLevel="0" collapsed="false">
      <c r="A29" s="43" t="s">
        <v>62</v>
      </c>
      <c r="B29" s="43" t="n">
        <v>2025</v>
      </c>
      <c r="C29" s="43" t="n">
        <v>3</v>
      </c>
      <c r="D29" s="43" t="s">
        <v>51</v>
      </c>
      <c r="E29" s="43" t="s">
        <v>514</v>
      </c>
      <c r="F29" s="44" t="n">
        <v>96322</v>
      </c>
      <c r="G29" s="43" t="s">
        <v>515</v>
      </c>
      <c r="H29" s="43" t="s">
        <v>516</v>
      </c>
    </row>
    <row r="30" customFormat="false" ht="15" hidden="false" customHeight="false" outlineLevel="0" collapsed="false">
      <c r="A30" s="43" t="s">
        <v>62</v>
      </c>
      <c r="B30" s="43" t="n">
        <v>2025</v>
      </c>
      <c r="C30" s="43" t="n">
        <v>4</v>
      </c>
      <c r="D30" s="43" t="s">
        <v>52</v>
      </c>
      <c r="E30" s="43" t="s">
        <v>514</v>
      </c>
      <c r="F30" s="44" t="n">
        <v>97209.7</v>
      </c>
      <c r="G30" s="43" t="s">
        <v>515</v>
      </c>
      <c r="H30" s="43" t="s">
        <v>516</v>
      </c>
    </row>
    <row r="31" customFormat="false" ht="15" hidden="false" customHeight="false" outlineLevel="0" collapsed="false">
      <c r="A31" s="43" t="s">
        <v>62</v>
      </c>
      <c r="B31" s="43" t="n">
        <v>2025</v>
      </c>
      <c r="C31" s="43" t="n">
        <v>5</v>
      </c>
      <c r="D31" s="43" t="s">
        <v>53</v>
      </c>
      <c r="E31" s="43" t="s">
        <v>514</v>
      </c>
      <c r="F31" s="44" t="n">
        <v>37074</v>
      </c>
      <c r="G31" s="43" t="s">
        <v>515</v>
      </c>
      <c r="H31" s="43" t="s">
        <v>516</v>
      </c>
    </row>
    <row r="32" customFormat="false" ht="15" hidden="false" customHeight="false" outlineLevel="0" collapsed="false">
      <c r="A32" s="43" t="s">
        <v>62</v>
      </c>
      <c r="B32" s="43" t="n">
        <v>2025</v>
      </c>
      <c r="C32" s="43" t="n">
        <v>6</v>
      </c>
      <c r="D32" s="43" t="s">
        <v>54</v>
      </c>
      <c r="E32" s="43" t="s">
        <v>514</v>
      </c>
      <c r="F32" s="44" t="n">
        <v>66563</v>
      </c>
      <c r="G32" s="43" t="s">
        <v>515</v>
      </c>
      <c r="H32" s="43" t="s">
        <v>516</v>
      </c>
    </row>
    <row r="33" customFormat="false" ht="15" hidden="false" customHeight="false" outlineLevel="0" collapsed="false">
      <c r="A33" s="43" t="s">
        <v>62</v>
      </c>
      <c r="B33" s="43" t="n">
        <v>2025</v>
      </c>
      <c r="C33" s="43" t="n">
        <v>7</v>
      </c>
      <c r="D33" s="43" t="s">
        <v>55</v>
      </c>
      <c r="E33" s="43" t="s">
        <v>514</v>
      </c>
      <c r="F33" s="44" t="n">
        <v>47717</v>
      </c>
      <c r="G33" s="43" t="s">
        <v>515</v>
      </c>
      <c r="H33" s="43" t="s">
        <v>516</v>
      </c>
    </row>
    <row r="34" customFormat="false" ht="15" hidden="false" customHeight="false" outlineLevel="0" collapsed="false">
      <c r="A34" s="43" t="s">
        <v>62</v>
      </c>
      <c r="B34" s="43" t="n">
        <v>2025</v>
      </c>
      <c r="C34" s="43" t="n">
        <v>8</v>
      </c>
      <c r="D34" s="43" t="s">
        <v>56</v>
      </c>
      <c r="E34" s="43" t="s">
        <v>514</v>
      </c>
      <c r="F34" s="44" t="n">
        <v>119652</v>
      </c>
      <c r="G34" s="43" t="s">
        <v>515</v>
      </c>
      <c r="H34" s="43" t="s">
        <v>516</v>
      </c>
    </row>
    <row r="35" customFormat="false" ht="15" hidden="false" customHeight="false" outlineLevel="0" collapsed="false">
      <c r="A35" s="43" t="s">
        <v>62</v>
      </c>
      <c r="B35" s="43" t="n">
        <v>2025</v>
      </c>
      <c r="C35" s="43" t="n">
        <v>9</v>
      </c>
      <c r="D35" s="43" t="s">
        <v>57</v>
      </c>
      <c r="E35" s="43" t="s">
        <v>514</v>
      </c>
      <c r="F35" s="44" t="n">
        <v>203588</v>
      </c>
      <c r="G35" s="43" t="s">
        <v>515</v>
      </c>
      <c r="H35" s="43" t="s">
        <v>516</v>
      </c>
    </row>
    <row r="36" customFormat="false" ht="15" hidden="false" customHeight="false" outlineLevel="0" collapsed="false">
      <c r="A36" s="43" t="s">
        <v>62</v>
      </c>
      <c r="B36" s="43" t="n">
        <v>2025</v>
      </c>
      <c r="C36" s="43" t="n">
        <v>10</v>
      </c>
      <c r="D36" s="43" t="s">
        <v>58</v>
      </c>
      <c r="E36" s="43" t="s">
        <v>514</v>
      </c>
      <c r="F36" s="44" t="n">
        <v>325062</v>
      </c>
      <c r="G36" s="43" t="s">
        <v>515</v>
      </c>
      <c r="H36" s="43" t="s">
        <v>516</v>
      </c>
    </row>
    <row r="37" customFormat="false" ht="15" hidden="false" customHeight="false" outlineLevel="0" collapsed="false">
      <c r="A37" s="43" t="s">
        <v>62</v>
      </c>
      <c r="B37" s="43" t="n">
        <v>2025</v>
      </c>
      <c r="C37" s="43" t="n">
        <v>11</v>
      </c>
      <c r="D37" s="43" t="s">
        <v>59</v>
      </c>
      <c r="E37" s="43" t="s">
        <v>514</v>
      </c>
      <c r="F37" s="44" t="n">
        <v>239603</v>
      </c>
      <c r="G37" s="43" t="s">
        <v>515</v>
      </c>
      <c r="H37" s="43" t="s">
        <v>516</v>
      </c>
    </row>
    <row r="38" customFormat="false" ht="15" hidden="false" customHeight="false" outlineLevel="0" collapsed="false">
      <c r="A38" s="43" t="s">
        <v>62</v>
      </c>
      <c r="B38" s="43" t="n">
        <v>2025</v>
      </c>
      <c r="C38" s="43" t="n">
        <v>12</v>
      </c>
      <c r="D38" s="43" t="s">
        <v>60</v>
      </c>
      <c r="E38" s="43" t="s">
        <v>514</v>
      </c>
      <c r="F38" s="44" t="n">
        <v>224116.51</v>
      </c>
      <c r="G38" s="43" t="s">
        <v>515</v>
      </c>
      <c r="H38" s="43" t="s">
        <v>516</v>
      </c>
    </row>
    <row r="39" customFormat="false" ht="15" hidden="false" customHeight="false" outlineLevel="0" collapsed="false">
      <c r="A39" s="43" t="s">
        <v>63</v>
      </c>
      <c r="B39" s="43" t="n">
        <v>2025</v>
      </c>
      <c r="C39" s="43" t="n">
        <v>1</v>
      </c>
      <c r="D39" s="43" t="s">
        <v>49</v>
      </c>
      <c r="E39" s="43" t="s">
        <v>514</v>
      </c>
      <c r="F39" s="44" t="n">
        <v>150453</v>
      </c>
      <c r="G39" s="43" t="s">
        <v>515</v>
      </c>
      <c r="H39" s="43" t="s">
        <v>516</v>
      </c>
    </row>
    <row r="40" customFormat="false" ht="15" hidden="false" customHeight="false" outlineLevel="0" collapsed="false">
      <c r="A40" s="43" t="s">
        <v>63</v>
      </c>
      <c r="B40" s="43" t="n">
        <v>2025</v>
      </c>
      <c r="C40" s="43" t="n">
        <v>2</v>
      </c>
      <c r="D40" s="43" t="s">
        <v>50</v>
      </c>
      <c r="E40" s="43" t="s">
        <v>514</v>
      </c>
      <c r="F40" s="44" t="n">
        <v>243465.21</v>
      </c>
      <c r="G40" s="43" t="s">
        <v>515</v>
      </c>
      <c r="H40" s="43" t="s">
        <v>516</v>
      </c>
    </row>
    <row r="41" customFormat="false" ht="15" hidden="false" customHeight="false" outlineLevel="0" collapsed="false">
      <c r="A41" s="43" t="s">
        <v>63</v>
      </c>
      <c r="B41" s="43" t="n">
        <v>2025</v>
      </c>
      <c r="C41" s="43" t="n">
        <v>3</v>
      </c>
      <c r="D41" s="43" t="s">
        <v>51</v>
      </c>
      <c r="E41" s="43" t="s">
        <v>514</v>
      </c>
      <c r="F41" s="44" t="n">
        <v>141526</v>
      </c>
      <c r="G41" s="43" t="s">
        <v>515</v>
      </c>
      <c r="H41" s="43" t="s">
        <v>516</v>
      </c>
    </row>
    <row r="42" customFormat="false" ht="15" hidden="false" customHeight="false" outlineLevel="0" collapsed="false">
      <c r="A42" s="43" t="s">
        <v>63</v>
      </c>
      <c r="B42" s="43" t="n">
        <v>2025</v>
      </c>
      <c r="C42" s="43" t="n">
        <v>4</v>
      </c>
      <c r="D42" s="43" t="s">
        <v>52</v>
      </c>
      <c r="E42" s="43" t="s">
        <v>514</v>
      </c>
      <c r="F42" s="44" t="n">
        <v>169200</v>
      </c>
      <c r="G42" s="43" t="s">
        <v>515</v>
      </c>
      <c r="H42" s="43" t="s">
        <v>516</v>
      </c>
    </row>
    <row r="43" customFormat="false" ht="15" hidden="false" customHeight="false" outlineLevel="0" collapsed="false">
      <c r="A43" s="43" t="s">
        <v>63</v>
      </c>
      <c r="B43" s="43" t="n">
        <v>2025</v>
      </c>
      <c r="C43" s="43" t="n">
        <v>5</v>
      </c>
      <c r="D43" s="43" t="s">
        <v>53</v>
      </c>
      <c r="E43" s="43" t="s">
        <v>514</v>
      </c>
      <c r="F43" s="44" t="n">
        <v>195090</v>
      </c>
      <c r="G43" s="43" t="s">
        <v>515</v>
      </c>
      <c r="H43" s="43" t="s">
        <v>516</v>
      </c>
    </row>
    <row r="44" customFormat="false" ht="15" hidden="false" customHeight="false" outlineLevel="0" collapsed="false">
      <c r="A44" s="43" t="s">
        <v>63</v>
      </c>
      <c r="B44" s="43" t="n">
        <v>2025</v>
      </c>
      <c r="C44" s="43" t="n">
        <v>6</v>
      </c>
      <c r="D44" s="43" t="s">
        <v>54</v>
      </c>
      <c r="E44" s="43" t="s">
        <v>514</v>
      </c>
      <c r="F44" s="44" t="n">
        <v>61796</v>
      </c>
      <c r="G44" s="43" t="s">
        <v>515</v>
      </c>
      <c r="H44" s="43" t="s">
        <v>516</v>
      </c>
    </row>
    <row r="45" customFormat="false" ht="15" hidden="false" customHeight="false" outlineLevel="0" collapsed="false">
      <c r="A45" s="43" t="s">
        <v>63</v>
      </c>
      <c r="B45" s="43" t="n">
        <v>2025</v>
      </c>
      <c r="C45" s="43" t="n">
        <v>7</v>
      </c>
      <c r="D45" s="43" t="s">
        <v>55</v>
      </c>
      <c r="E45" s="43" t="s">
        <v>514</v>
      </c>
      <c r="F45" s="44" t="n">
        <v>0</v>
      </c>
      <c r="G45" s="43" t="s">
        <v>515</v>
      </c>
      <c r="H45" s="43" t="s">
        <v>516</v>
      </c>
    </row>
    <row r="46" customFormat="false" ht="15" hidden="false" customHeight="false" outlineLevel="0" collapsed="false">
      <c r="A46" s="43" t="s">
        <v>63</v>
      </c>
      <c r="B46" s="43" t="n">
        <v>2025</v>
      </c>
      <c r="C46" s="43" t="n">
        <v>8</v>
      </c>
      <c r="D46" s="43" t="s">
        <v>56</v>
      </c>
      <c r="E46" s="43" t="s">
        <v>514</v>
      </c>
      <c r="F46" s="44" t="n">
        <v>20000</v>
      </c>
      <c r="G46" s="43" t="s">
        <v>515</v>
      </c>
      <c r="H46" s="43" t="s">
        <v>516</v>
      </c>
    </row>
    <row r="47" customFormat="false" ht="15" hidden="false" customHeight="false" outlineLevel="0" collapsed="false">
      <c r="A47" s="43" t="s">
        <v>63</v>
      </c>
      <c r="B47" s="43" t="n">
        <v>2025</v>
      </c>
      <c r="C47" s="43" t="n">
        <v>9</v>
      </c>
      <c r="D47" s="43" t="s">
        <v>57</v>
      </c>
      <c r="E47" s="43" t="s">
        <v>514</v>
      </c>
      <c r="F47" s="44" t="n">
        <v>0</v>
      </c>
      <c r="G47" s="43" t="s">
        <v>515</v>
      </c>
      <c r="H47" s="43" t="s">
        <v>516</v>
      </c>
    </row>
    <row r="48" customFormat="false" ht="15" hidden="false" customHeight="false" outlineLevel="0" collapsed="false">
      <c r="A48" s="43" t="s">
        <v>63</v>
      </c>
      <c r="B48" s="43" t="n">
        <v>2025</v>
      </c>
      <c r="C48" s="43" t="n">
        <v>10</v>
      </c>
      <c r="D48" s="43" t="s">
        <v>58</v>
      </c>
      <c r="E48" s="43" t="s">
        <v>514</v>
      </c>
      <c r="F48" s="44" t="n">
        <v>45000</v>
      </c>
      <c r="G48" s="43" t="s">
        <v>515</v>
      </c>
      <c r="H48" s="43" t="s">
        <v>516</v>
      </c>
    </row>
    <row r="49" customFormat="false" ht="15" hidden="false" customHeight="false" outlineLevel="0" collapsed="false">
      <c r="A49" s="43" t="s">
        <v>63</v>
      </c>
      <c r="B49" s="43" t="n">
        <v>2025</v>
      </c>
      <c r="C49" s="43" t="n">
        <v>11</v>
      </c>
      <c r="D49" s="43" t="s">
        <v>59</v>
      </c>
      <c r="E49" s="43" t="s">
        <v>514</v>
      </c>
      <c r="F49" s="44" t="n">
        <v>0</v>
      </c>
      <c r="G49" s="43" t="s">
        <v>515</v>
      </c>
      <c r="H49" s="43" t="s">
        <v>516</v>
      </c>
    </row>
    <row r="50" customFormat="false" ht="15" hidden="false" customHeight="false" outlineLevel="0" collapsed="false">
      <c r="A50" s="43" t="s">
        <v>63</v>
      </c>
      <c r="B50" s="43" t="n">
        <v>2025</v>
      </c>
      <c r="C50" s="43" t="n">
        <v>12</v>
      </c>
      <c r="D50" s="43" t="s">
        <v>60</v>
      </c>
      <c r="E50" s="43" t="s">
        <v>514</v>
      </c>
      <c r="F50" s="44" t="n">
        <v>178785</v>
      </c>
      <c r="G50" s="43" t="s">
        <v>515</v>
      </c>
      <c r="H50" s="43" t="s">
        <v>516</v>
      </c>
    </row>
    <row r="51" customFormat="false" ht="15" hidden="false" customHeight="false" outlineLevel="0" collapsed="false">
      <c r="A51" s="43" t="s">
        <v>64</v>
      </c>
      <c r="B51" s="43" t="n">
        <v>2025</v>
      </c>
      <c r="C51" s="43" t="n">
        <v>1</v>
      </c>
      <c r="D51" s="43" t="s">
        <v>49</v>
      </c>
      <c r="E51" s="43" t="s">
        <v>514</v>
      </c>
      <c r="F51" s="44" t="n">
        <v>0</v>
      </c>
      <c r="G51" s="43" t="s">
        <v>515</v>
      </c>
      <c r="H51" s="43" t="s">
        <v>516</v>
      </c>
    </row>
    <row r="52" customFormat="false" ht="15" hidden="false" customHeight="false" outlineLevel="0" collapsed="false">
      <c r="A52" s="43" t="s">
        <v>64</v>
      </c>
      <c r="B52" s="43" t="n">
        <v>2025</v>
      </c>
      <c r="C52" s="43" t="n">
        <v>2</v>
      </c>
      <c r="D52" s="43" t="s">
        <v>50</v>
      </c>
      <c r="E52" s="43" t="s">
        <v>514</v>
      </c>
      <c r="F52" s="44" t="n">
        <v>21682</v>
      </c>
      <c r="G52" s="43" t="s">
        <v>515</v>
      </c>
      <c r="H52" s="43" t="s">
        <v>516</v>
      </c>
    </row>
    <row r="53" customFormat="false" ht="15" hidden="false" customHeight="false" outlineLevel="0" collapsed="false">
      <c r="A53" s="43" t="s">
        <v>64</v>
      </c>
      <c r="B53" s="43" t="n">
        <v>2025</v>
      </c>
      <c r="C53" s="43" t="n">
        <v>3</v>
      </c>
      <c r="D53" s="43" t="s">
        <v>51</v>
      </c>
      <c r="E53" s="43" t="s">
        <v>514</v>
      </c>
      <c r="F53" s="44" t="n">
        <v>45478</v>
      </c>
      <c r="G53" s="43" t="s">
        <v>515</v>
      </c>
      <c r="H53" s="43" t="s">
        <v>516</v>
      </c>
    </row>
    <row r="54" customFormat="false" ht="15" hidden="false" customHeight="false" outlineLevel="0" collapsed="false">
      <c r="A54" s="43" t="s">
        <v>64</v>
      </c>
      <c r="B54" s="43" t="n">
        <v>2025</v>
      </c>
      <c r="C54" s="43" t="n">
        <v>4</v>
      </c>
      <c r="D54" s="43" t="s">
        <v>52</v>
      </c>
      <c r="E54" s="43" t="s">
        <v>514</v>
      </c>
      <c r="F54" s="44" t="n">
        <v>0</v>
      </c>
      <c r="G54" s="43" t="s">
        <v>515</v>
      </c>
      <c r="H54" s="43" t="s">
        <v>516</v>
      </c>
    </row>
    <row r="55" customFormat="false" ht="15" hidden="false" customHeight="false" outlineLevel="0" collapsed="false">
      <c r="A55" s="43" t="s">
        <v>64</v>
      </c>
      <c r="B55" s="43" t="n">
        <v>2025</v>
      </c>
      <c r="C55" s="43" t="n">
        <v>5</v>
      </c>
      <c r="D55" s="43" t="s">
        <v>53</v>
      </c>
      <c r="E55" s="43" t="s">
        <v>514</v>
      </c>
      <c r="F55" s="44" t="n">
        <v>0</v>
      </c>
      <c r="G55" s="43" t="s">
        <v>515</v>
      </c>
      <c r="H55" s="43" t="s">
        <v>516</v>
      </c>
    </row>
    <row r="56" customFormat="false" ht="15" hidden="false" customHeight="false" outlineLevel="0" collapsed="false">
      <c r="A56" s="43" t="s">
        <v>64</v>
      </c>
      <c r="B56" s="43" t="n">
        <v>2025</v>
      </c>
      <c r="C56" s="43" t="n">
        <v>6</v>
      </c>
      <c r="D56" s="43" t="s">
        <v>54</v>
      </c>
      <c r="E56" s="43" t="s">
        <v>514</v>
      </c>
      <c r="F56" s="44" t="n">
        <v>172045</v>
      </c>
      <c r="G56" s="43" t="s">
        <v>515</v>
      </c>
      <c r="H56" s="43" t="s">
        <v>516</v>
      </c>
    </row>
    <row r="57" customFormat="false" ht="15" hidden="false" customHeight="false" outlineLevel="0" collapsed="false">
      <c r="A57" s="43" t="s">
        <v>64</v>
      </c>
      <c r="B57" s="43" t="n">
        <v>2025</v>
      </c>
      <c r="C57" s="43" t="n">
        <v>7</v>
      </c>
      <c r="D57" s="43" t="s">
        <v>55</v>
      </c>
      <c r="E57" s="43" t="s">
        <v>514</v>
      </c>
      <c r="F57" s="44" t="n">
        <v>0</v>
      </c>
      <c r="G57" s="43" t="s">
        <v>515</v>
      </c>
      <c r="H57" s="43" t="s">
        <v>516</v>
      </c>
    </row>
    <row r="58" customFormat="false" ht="15" hidden="false" customHeight="false" outlineLevel="0" collapsed="false">
      <c r="A58" s="43" t="s">
        <v>64</v>
      </c>
      <c r="B58" s="43" t="n">
        <v>2025</v>
      </c>
      <c r="C58" s="43" t="n">
        <v>8</v>
      </c>
      <c r="D58" s="43" t="s">
        <v>56</v>
      </c>
      <c r="E58" s="43" t="s">
        <v>514</v>
      </c>
      <c r="F58" s="44" t="n">
        <v>99524</v>
      </c>
      <c r="G58" s="43" t="s">
        <v>515</v>
      </c>
      <c r="H58" s="43" t="s">
        <v>516</v>
      </c>
    </row>
    <row r="59" customFormat="false" ht="15" hidden="false" customHeight="false" outlineLevel="0" collapsed="false">
      <c r="A59" s="43" t="s">
        <v>64</v>
      </c>
      <c r="B59" s="43" t="n">
        <v>2025</v>
      </c>
      <c r="C59" s="43" t="n">
        <v>9</v>
      </c>
      <c r="D59" s="43" t="s">
        <v>57</v>
      </c>
      <c r="E59" s="43" t="s">
        <v>514</v>
      </c>
      <c r="F59" s="44" t="n">
        <v>0</v>
      </c>
      <c r="G59" s="43" t="s">
        <v>515</v>
      </c>
      <c r="H59" s="43" t="s">
        <v>516</v>
      </c>
    </row>
    <row r="60" customFormat="false" ht="15" hidden="false" customHeight="false" outlineLevel="0" collapsed="false">
      <c r="A60" s="43" t="s">
        <v>64</v>
      </c>
      <c r="B60" s="43" t="n">
        <v>2025</v>
      </c>
      <c r="C60" s="43" t="n">
        <v>10</v>
      </c>
      <c r="D60" s="43" t="s">
        <v>58</v>
      </c>
      <c r="E60" s="43" t="s">
        <v>514</v>
      </c>
      <c r="F60" s="44" t="n">
        <v>0</v>
      </c>
      <c r="G60" s="43" t="s">
        <v>515</v>
      </c>
      <c r="H60" s="43" t="s">
        <v>516</v>
      </c>
    </row>
    <row r="61" customFormat="false" ht="15" hidden="false" customHeight="false" outlineLevel="0" collapsed="false">
      <c r="A61" s="43" t="s">
        <v>64</v>
      </c>
      <c r="B61" s="43" t="n">
        <v>2025</v>
      </c>
      <c r="C61" s="43" t="n">
        <v>11</v>
      </c>
      <c r="D61" s="43" t="s">
        <v>59</v>
      </c>
      <c r="E61" s="43" t="s">
        <v>514</v>
      </c>
      <c r="F61" s="44" t="n">
        <v>0</v>
      </c>
      <c r="G61" s="43" t="s">
        <v>515</v>
      </c>
      <c r="H61" s="43" t="s">
        <v>516</v>
      </c>
    </row>
    <row r="62" customFormat="false" ht="15" hidden="false" customHeight="false" outlineLevel="0" collapsed="false">
      <c r="A62" s="43" t="s">
        <v>64</v>
      </c>
      <c r="B62" s="43" t="n">
        <v>2025</v>
      </c>
      <c r="C62" s="43" t="n">
        <v>12</v>
      </c>
      <c r="D62" s="43" t="s">
        <v>60</v>
      </c>
      <c r="E62" s="43" t="s">
        <v>514</v>
      </c>
      <c r="F62" s="44" t="n">
        <v>0</v>
      </c>
      <c r="G62" s="43" t="s">
        <v>515</v>
      </c>
      <c r="H62" s="43" t="s">
        <v>516</v>
      </c>
    </row>
    <row r="63" customFormat="false" ht="15" hidden="false" customHeight="false" outlineLevel="0" collapsed="false">
      <c r="A63" s="43" t="s">
        <v>48</v>
      </c>
      <c r="B63" s="43" t="n">
        <v>2025</v>
      </c>
      <c r="C63" s="43" t="n">
        <v>1</v>
      </c>
      <c r="D63" s="43" t="s">
        <v>49</v>
      </c>
      <c r="E63" s="43" t="s">
        <v>517</v>
      </c>
      <c r="F63" s="44" t="n">
        <v>397276.65</v>
      </c>
      <c r="G63" s="43" t="s">
        <v>515</v>
      </c>
      <c r="H63" s="43" t="s">
        <v>516</v>
      </c>
    </row>
    <row r="64" customFormat="false" ht="15" hidden="false" customHeight="false" outlineLevel="0" collapsed="false">
      <c r="A64" s="43" t="s">
        <v>48</v>
      </c>
      <c r="B64" s="43" t="n">
        <v>2025</v>
      </c>
      <c r="C64" s="43" t="n">
        <v>2</v>
      </c>
      <c r="D64" s="43" t="s">
        <v>50</v>
      </c>
      <c r="E64" s="43" t="s">
        <v>517</v>
      </c>
      <c r="F64" s="44" t="n">
        <v>422126.64</v>
      </c>
      <c r="G64" s="43" t="s">
        <v>515</v>
      </c>
      <c r="H64" s="43" t="s">
        <v>516</v>
      </c>
    </row>
    <row r="65" customFormat="false" ht="15" hidden="false" customHeight="false" outlineLevel="0" collapsed="false">
      <c r="A65" s="43" t="s">
        <v>48</v>
      </c>
      <c r="B65" s="43" t="n">
        <v>2025</v>
      </c>
      <c r="C65" s="43" t="n">
        <v>3</v>
      </c>
      <c r="D65" s="43" t="s">
        <v>51</v>
      </c>
      <c r="E65" s="43" t="s">
        <v>517</v>
      </c>
      <c r="F65" s="44" t="n">
        <v>439899.18</v>
      </c>
      <c r="G65" s="43" t="s">
        <v>515</v>
      </c>
      <c r="H65" s="43" t="s">
        <v>516</v>
      </c>
    </row>
    <row r="66" customFormat="false" ht="15" hidden="false" customHeight="false" outlineLevel="0" collapsed="false">
      <c r="A66" s="43" t="s">
        <v>48</v>
      </c>
      <c r="B66" s="43" t="n">
        <v>2025</v>
      </c>
      <c r="C66" s="43" t="n">
        <v>4</v>
      </c>
      <c r="D66" s="43" t="s">
        <v>52</v>
      </c>
      <c r="E66" s="43" t="s">
        <v>517</v>
      </c>
      <c r="F66" s="44" t="n">
        <v>341507.35</v>
      </c>
      <c r="G66" s="43" t="s">
        <v>515</v>
      </c>
      <c r="H66" s="43" t="s">
        <v>516</v>
      </c>
    </row>
    <row r="67" customFormat="false" ht="15" hidden="false" customHeight="false" outlineLevel="0" collapsed="false">
      <c r="A67" s="43" t="s">
        <v>48</v>
      </c>
      <c r="B67" s="43" t="n">
        <v>2025</v>
      </c>
      <c r="C67" s="43" t="n">
        <v>5</v>
      </c>
      <c r="D67" s="43" t="s">
        <v>53</v>
      </c>
      <c r="E67" s="43" t="s">
        <v>517</v>
      </c>
      <c r="F67" s="44" t="n">
        <v>340134.8</v>
      </c>
      <c r="G67" s="43" t="s">
        <v>515</v>
      </c>
      <c r="H67" s="43" t="s">
        <v>516</v>
      </c>
    </row>
    <row r="68" customFormat="false" ht="15" hidden="false" customHeight="false" outlineLevel="0" collapsed="false">
      <c r="A68" s="43" t="s">
        <v>48</v>
      </c>
      <c r="B68" s="43" t="n">
        <v>2025</v>
      </c>
      <c r="C68" s="43" t="n">
        <v>6</v>
      </c>
      <c r="D68" s="43" t="s">
        <v>54</v>
      </c>
      <c r="E68" s="43" t="s">
        <v>517</v>
      </c>
      <c r="F68" s="44" t="n">
        <v>380566.17</v>
      </c>
      <c r="G68" s="43" t="s">
        <v>515</v>
      </c>
      <c r="H68" s="43" t="s">
        <v>516</v>
      </c>
    </row>
    <row r="69" customFormat="false" ht="15" hidden="false" customHeight="false" outlineLevel="0" collapsed="false">
      <c r="A69" s="43" t="s">
        <v>48</v>
      </c>
      <c r="B69" s="43" t="n">
        <v>2025</v>
      </c>
      <c r="C69" s="43" t="n">
        <v>7</v>
      </c>
      <c r="D69" s="43" t="s">
        <v>55</v>
      </c>
      <c r="E69" s="43" t="s">
        <v>517</v>
      </c>
      <c r="F69" s="44" t="n">
        <v>395727.19</v>
      </c>
      <c r="G69" s="43" t="s">
        <v>515</v>
      </c>
      <c r="H69" s="43" t="s">
        <v>516</v>
      </c>
    </row>
    <row r="70" customFormat="false" ht="15" hidden="false" customHeight="false" outlineLevel="0" collapsed="false">
      <c r="A70" s="43" t="s">
        <v>48</v>
      </c>
      <c r="B70" s="43" t="n">
        <v>2025</v>
      </c>
      <c r="C70" s="43" t="n">
        <v>8</v>
      </c>
      <c r="D70" s="43" t="s">
        <v>56</v>
      </c>
      <c r="E70" s="43" t="s">
        <v>517</v>
      </c>
      <c r="F70" s="44" t="n">
        <v>425248.91</v>
      </c>
      <c r="G70" s="43" t="s">
        <v>515</v>
      </c>
      <c r="H70" s="43" t="s">
        <v>516</v>
      </c>
    </row>
    <row r="71" customFormat="false" ht="15" hidden="false" customHeight="false" outlineLevel="0" collapsed="false">
      <c r="A71" s="43" t="s">
        <v>48</v>
      </c>
      <c r="B71" s="43" t="n">
        <v>2025</v>
      </c>
      <c r="C71" s="43" t="n">
        <v>9</v>
      </c>
      <c r="D71" s="43" t="s">
        <v>57</v>
      </c>
      <c r="E71" s="43" t="s">
        <v>517</v>
      </c>
      <c r="F71" s="44" t="n">
        <v>455871.33</v>
      </c>
      <c r="G71" s="43" t="s">
        <v>515</v>
      </c>
      <c r="H71" s="43" t="s">
        <v>516</v>
      </c>
    </row>
    <row r="72" customFormat="false" ht="15" hidden="false" customHeight="false" outlineLevel="0" collapsed="false">
      <c r="A72" s="43" t="s">
        <v>48</v>
      </c>
      <c r="B72" s="43" t="n">
        <v>2025</v>
      </c>
      <c r="C72" s="43" t="n">
        <v>10</v>
      </c>
      <c r="D72" s="43" t="s">
        <v>58</v>
      </c>
      <c r="E72" s="43" t="s">
        <v>517</v>
      </c>
      <c r="F72" s="44" t="n">
        <v>513185.66</v>
      </c>
      <c r="G72" s="43" t="s">
        <v>515</v>
      </c>
      <c r="H72" s="43" t="s">
        <v>516</v>
      </c>
    </row>
    <row r="73" customFormat="false" ht="15" hidden="false" customHeight="false" outlineLevel="0" collapsed="false">
      <c r="A73" s="43" t="s">
        <v>48</v>
      </c>
      <c r="B73" s="43" t="n">
        <v>2025</v>
      </c>
      <c r="C73" s="43" t="n">
        <v>11</v>
      </c>
      <c r="D73" s="43" t="s">
        <v>59</v>
      </c>
      <c r="E73" s="43" t="s">
        <v>517</v>
      </c>
      <c r="F73" s="44" t="n">
        <v>392218.11</v>
      </c>
      <c r="G73" s="43" t="s">
        <v>515</v>
      </c>
      <c r="H73" s="43" t="s">
        <v>516</v>
      </c>
    </row>
    <row r="74" customFormat="false" ht="15" hidden="false" customHeight="false" outlineLevel="0" collapsed="false">
      <c r="A74" s="43" t="s">
        <v>48</v>
      </c>
      <c r="B74" s="43" t="n">
        <v>2025</v>
      </c>
      <c r="C74" s="43" t="n">
        <v>12</v>
      </c>
      <c r="D74" s="43" t="s">
        <v>60</v>
      </c>
      <c r="E74" s="43" t="s">
        <v>517</v>
      </c>
      <c r="F74" s="44" t="n">
        <v>495505.54</v>
      </c>
      <c r="G74" s="43" t="s">
        <v>515</v>
      </c>
      <c r="H74" s="43" t="s">
        <v>516</v>
      </c>
    </row>
    <row r="75" customFormat="false" ht="15" hidden="false" customHeight="false" outlineLevel="0" collapsed="false">
      <c r="A75" s="43" t="s">
        <v>61</v>
      </c>
      <c r="B75" s="43" t="n">
        <v>2025</v>
      </c>
      <c r="C75" s="43" t="n">
        <v>1</v>
      </c>
      <c r="D75" s="43" t="s">
        <v>49</v>
      </c>
      <c r="E75" s="43" t="s">
        <v>517</v>
      </c>
      <c r="F75" s="44" t="n">
        <v>89462.85</v>
      </c>
      <c r="G75" s="43" t="s">
        <v>515</v>
      </c>
      <c r="H75" s="43" t="s">
        <v>516</v>
      </c>
    </row>
    <row r="76" customFormat="false" ht="15" hidden="false" customHeight="false" outlineLevel="0" collapsed="false">
      <c r="A76" s="43" t="s">
        <v>61</v>
      </c>
      <c r="B76" s="43" t="n">
        <v>2025</v>
      </c>
      <c r="C76" s="43" t="n">
        <v>2</v>
      </c>
      <c r="D76" s="43" t="s">
        <v>50</v>
      </c>
      <c r="E76" s="43" t="s">
        <v>517</v>
      </c>
      <c r="F76" s="44" t="n">
        <v>81597</v>
      </c>
      <c r="G76" s="43" t="s">
        <v>515</v>
      </c>
      <c r="H76" s="43" t="s">
        <v>516</v>
      </c>
    </row>
    <row r="77" customFormat="false" ht="15" hidden="false" customHeight="false" outlineLevel="0" collapsed="false">
      <c r="A77" s="43" t="s">
        <v>61</v>
      </c>
      <c r="B77" s="43" t="n">
        <v>2025</v>
      </c>
      <c r="C77" s="43" t="n">
        <v>3</v>
      </c>
      <c r="D77" s="43" t="s">
        <v>51</v>
      </c>
      <c r="E77" s="43" t="s">
        <v>517</v>
      </c>
      <c r="F77" s="44" t="n">
        <v>92755</v>
      </c>
      <c r="G77" s="43" t="s">
        <v>515</v>
      </c>
      <c r="H77" s="43" t="s">
        <v>516</v>
      </c>
    </row>
    <row r="78" customFormat="false" ht="15" hidden="false" customHeight="false" outlineLevel="0" collapsed="false">
      <c r="A78" s="43" t="s">
        <v>61</v>
      </c>
      <c r="B78" s="43" t="n">
        <v>2025</v>
      </c>
      <c r="C78" s="43" t="n">
        <v>4</v>
      </c>
      <c r="D78" s="43" t="s">
        <v>52</v>
      </c>
      <c r="E78" s="43" t="s">
        <v>517</v>
      </c>
      <c r="F78" s="44" t="n">
        <v>137672.3</v>
      </c>
      <c r="G78" s="43" t="s">
        <v>515</v>
      </c>
      <c r="H78" s="43" t="s">
        <v>516</v>
      </c>
    </row>
    <row r="79" customFormat="false" ht="15" hidden="false" customHeight="false" outlineLevel="0" collapsed="false">
      <c r="A79" s="43" t="s">
        <v>61</v>
      </c>
      <c r="B79" s="43" t="n">
        <v>2025</v>
      </c>
      <c r="C79" s="43" t="n">
        <v>5</v>
      </c>
      <c r="D79" s="43" t="s">
        <v>53</v>
      </c>
      <c r="E79" s="43" t="s">
        <v>517</v>
      </c>
      <c r="F79" s="44" t="n">
        <v>128924</v>
      </c>
      <c r="G79" s="43" t="s">
        <v>515</v>
      </c>
      <c r="H79" s="43" t="s">
        <v>516</v>
      </c>
    </row>
    <row r="80" customFormat="false" ht="15" hidden="false" customHeight="false" outlineLevel="0" collapsed="false">
      <c r="A80" s="43" t="s">
        <v>61</v>
      </c>
      <c r="B80" s="43" t="n">
        <v>2025</v>
      </c>
      <c r="C80" s="43" t="n">
        <v>6</v>
      </c>
      <c r="D80" s="43" t="s">
        <v>54</v>
      </c>
      <c r="E80" s="43" t="s">
        <v>517</v>
      </c>
      <c r="F80" s="44" t="n">
        <v>167995</v>
      </c>
      <c r="G80" s="43" t="s">
        <v>515</v>
      </c>
      <c r="H80" s="43" t="s">
        <v>516</v>
      </c>
    </row>
    <row r="81" customFormat="false" ht="15" hidden="false" customHeight="false" outlineLevel="0" collapsed="false">
      <c r="A81" s="43" t="s">
        <v>61</v>
      </c>
      <c r="B81" s="43" t="n">
        <v>2025</v>
      </c>
      <c r="C81" s="43" t="n">
        <v>7</v>
      </c>
      <c r="D81" s="43" t="s">
        <v>55</v>
      </c>
      <c r="E81" s="43" t="s">
        <v>517</v>
      </c>
      <c r="F81" s="44" t="n">
        <v>199355</v>
      </c>
      <c r="G81" s="43" t="s">
        <v>515</v>
      </c>
      <c r="H81" s="43" t="s">
        <v>516</v>
      </c>
    </row>
    <row r="82" customFormat="false" ht="15" hidden="false" customHeight="false" outlineLevel="0" collapsed="false">
      <c r="A82" s="43" t="s">
        <v>61</v>
      </c>
      <c r="B82" s="43" t="n">
        <v>2025</v>
      </c>
      <c r="C82" s="43" t="n">
        <v>8</v>
      </c>
      <c r="D82" s="43" t="s">
        <v>56</v>
      </c>
      <c r="E82" s="43" t="s">
        <v>517</v>
      </c>
      <c r="F82" s="44" t="n">
        <v>225572</v>
      </c>
      <c r="G82" s="43" t="s">
        <v>515</v>
      </c>
      <c r="H82" s="43" t="s">
        <v>516</v>
      </c>
    </row>
    <row r="83" customFormat="false" ht="15" hidden="false" customHeight="false" outlineLevel="0" collapsed="false">
      <c r="A83" s="43" t="s">
        <v>61</v>
      </c>
      <c r="B83" s="43" t="n">
        <v>2025</v>
      </c>
      <c r="C83" s="43" t="n">
        <v>9</v>
      </c>
      <c r="D83" s="43" t="s">
        <v>57</v>
      </c>
      <c r="E83" s="43" t="s">
        <v>517</v>
      </c>
      <c r="F83" s="44" t="n">
        <v>127097</v>
      </c>
      <c r="G83" s="43" t="s">
        <v>515</v>
      </c>
      <c r="H83" s="43" t="s">
        <v>516</v>
      </c>
    </row>
    <row r="84" customFormat="false" ht="15" hidden="false" customHeight="false" outlineLevel="0" collapsed="false">
      <c r="A84" s="43" t="s">
        <v>61</v>
      </c>
      <c r="B84" s="43" t="n">
        <v>2025</v>
      </c>
      <c r="C84" s="43" t="n">
        <v>10</v>
      </c>
      <c r="D84" s="43" t="s">
        <v>58</v>
      </c>
      <c r="E84" s="43" t="s">
        <v>517</v>
      </c>
      <c r="F84" s="44" t="n">
        <v>108174</v>
      </c>
      <c r="G84" s="43" t="s">
        <v>515</v>
      </c>
      <c r="H84" s="43" t="s">
        <v>516</v>
      </c>
    </row>
    <row r="85" customFormat="false" ht="15" hidden="false" customHeight="false" outlineLevel="0" collapsed="false">
      <c r="A85" s="43" t="s">
        <v>61</v>
      </c>
      <c r="B85" s="43" t="n">
        <v>2025</v>
      </c>
      <c r="C85" s="43" t="n">
        <v>11</v>
      </c>
      <c r="D85" s="43" t="s">
        <v>59</v>
      </c>
      <c r="E85" s="43" t="s">
        <v>517</v>
      </c>
      <c r="F85" s="44" t="n">
        <v>139137.64</v>
      </c>
      <c r="G85" s="43" t="s">
        <v>515</v>
      </c>
      <c r="H85" s="43" t="s">
        <v>516</v>
      </c>
    </row>
    <row r="86" customFormat="false" ht="15" hidden="false" customHeight="false" outlineLevel="0" collapsed="false">
      <c r="A86" s="43" t="s">
        <v>61</v>
      </c>
      <c r="B86" s="43" t="n">
        <v>2025</v>
      </c>
      <c r="C86" s="43" t="n">
        <v>12</v>
      </c>
      <c r="D86" s="43" t="s">
        <v>60</v>
      </c>
      <c r="E86" s="43" t="s">
        <v>517</v>
      </c>
      <c r="F86" s="44" t="n">
        <v>234121</v>
      </c>
      <c r="G86" s="43" t="s">
        <v>515</v>
      </c>
      <c r="H86" s="43" t="s">
        <v>516</v>
      </c>
    </row>
    <row r="87" customFormat="false" ht="15" hidden="false" customHeight="false" outlineLevel="0" collapsed="false">
      <c r="A87" s="43" t="s">
        <v>62</v>
      </c>
      <c r="B87" s="43" t="n">
        <v>2025</v>
      </c>
      <c r="C87" s="43" t="n">
        <v>1</v>
      </c>
      <c r="D87" s="43" t="s">
        <v>49</v>
      </c>
      <c r="E87" s="43" t="s">
        <v>517</v>
      </c>
      <c r="F87" s="44" t="n">
        <v>21023</v>
      </c>
      <c r="G87" s="43" t="s">
        <v>515</v>
      </c>
      <c r="H87" s="43" t="s">
        <v>516</v>
      </c>
    </row>
    <row r="88" customFormat="false" ht="15" hidden="false" customHeight="false" outlineLevel="0" collapsed="false">
      <c r="A88" s="43" t="s">
        <v>62</v>
      </c>
      <c r="B88" s="43" t="n">
        <v>2025</v>
      </c>
      <c r="C88" s="43" t="n">
        <v>2</v>
      </c>
      <c r="D88" s="43" t="s">
        <v>50</v>
      </c>
      <c r="E88" s="43" t="s">
        <v>517</v>
      </c>
      <c r="F88" s="44" t="n">
        <v>27812</v>
      </c>
      <c r="G88" s="43" t="s">
        <v>515</v>
      </c>
      <c r="H88" s="43" t="s">
        <v>516</v>
      </c>
    </row>
    <row r="89" customFormat="false" ht="15" hidden="false" customHeight="false" outlineLevel="0" collapsed="false">
      <c r="A89" s="43" t="s">
        <v>62</v>
      </c>
      <c r="B89" s="43" t="n">
        <v>2025</v>
      </c>
      <c r="C89" s="43" t="n">
        <v>3</v>
      </c>
      <c r="D89" s="43" t="s">
        <v>51</v>
      </c>
      <c r="E89" s="43" t="s">
        <v>517</v>
      </c>
      <c r="F89" s="44" t="n">
        <v>26425</v>
      </c>
      <c r="G89" s="43" t="s">
        <v>515</v>
      </c>
      <c r="H89" s="43" t="s">
        <v>516</v>
      </c>
    </row>
    <row r="90" customFormat="false" ht="15" hidden="false" customHeight="false" outlineLevel="0" collapsed="false">
      <c r="A90" s="43" t="s">
        <v>62</v>
      </c>
      <c r="B90" s="43" t="n">
        <v>2025</v>
      </c>
      <c r="C90" s="43" t="n">
        <v>4</v>
      </c>
      <c r="D90" s="43" t="s">
        <v>52</v>
      </c>
      <c r="E90" s="43" t="s">
        <v>517</v>
      </c>
      <c r="F90" s="44" t="n">
        <v>52004.4</v>
      </c>
      <c r="G90" s="43" t="s">
        <v>515</v>
      </c>
      <c r="H90" s="43" t="s">
        <v>516</v>
      </c>
    </row>
    <row r="91" customFormat="false" ht="15" hidden="false" customHeight="false" outlineLevel="0" collapsed="false">
      <c r="A91" s="43" t="s">
        <v>62</v>
      </c>
      <c r="B91" s="43" t="n">
        <v>2025</v>
      </c>
      <c r="C91" s="43" t="n">
        <v>5</v>
      </c>
      <c r="D91" s="43" t="s">
        <v>53</v>
      </c>
      <c r="E91" s="43" t="s">
        <v>517</v>
      </c>
      <c r="F91" s="44" t="n">
        <v>33329</v>
      </c>
      <c r="G91" s="43" t="s">
        <v>515</v>
      </c>
      <c r="H91" s="43" t="s">
        <v>516</v>
      </c>
    </row>
    <row r="92" customFormat="false" ht="15" hidden="false" customHeight="false" outlineLevel="0" collapsed="false">
      <c r="A92" s="43" t="s">
        <v>62</v>
      </c>
      <c r="B92" s="43" t="n">
        <v>2025</v>
      </c>
      <c r="C92" s="43" t="n">
        <v>6</v>
      </c>
      <c r="D92" s="43" t="s">
        <v>54</v>
      </c>
      <c r="E92" s="43" t="s">
        <v>517</v>
      </c>
      <c r="F92" s="44" t="n">
        <v>76286</v>
      </c>
      <c r="G92" s="43" t="s">
        <v>515</v>
      </c>
      <c r="H92" s="43" t="s">
        <v>516</v>
      </c>
    </row>
    <row r="93" customFormat="false" ht="15" hidden="false" customHeight="false" outlineLevel="0" collapsed="false">
      <c r="A93" s="43" t="s">
        <v>62</v>
      </c>
      <c r="B93" s="43" t="n">
        <v>2025</v>
      </c>
      <c r="C93" s="43" t="n">
        <v>7</v>
      </c>
      <c r="D93" s="43" t="s">
        <v>55</v>
      </c>
      <c r="E93" s="43" t="s">
        <v>517</v>
      </c>
      <c r="F93" s="44" t="n">
        <v>31019</v>
      </c>
      <c r="G93" s="43" t="s">
        <v>515</v>
      </c>
      <c r="H93" s="43" t="s">
        <v>516</v>
      </c>
    </row>
    <row r="94" customFormat="false" ht="15" hidden="false" customHeight="false" outlineLevel="0" collapsed="false">
      <c r="A94" s="43" t="s">
        <v>62</v>
      </c>
      <c r="B94" s="43" t="n">
        <v>2025</v>
      </c>
      <c r="C94" s="43" t="n">
        <v>8</v>
      </c>
      <c r="D94" s="43" t="s">
        <v>56</v>
      </c>
      <c r="E94" s="43" t="s">
        <v>517</v>
      </c>
      <c r="F94" s="44" t="n">
        <v>21475</v>
      </c>
      <c r="G94" s="43" t="s">
        <v>515</v>
      </c>
      <c r="H94" s="43" t="s">
        <v>516</v>
      </c>
    </row>
    <row r="95" customFormat="false" ht="15" hidden="false" customHeight="false" outlineLevel="0" collapsed="false">
      <c r="A95" s="43" t="s">
        <v>62</v>
      </c>
      <c r="B95" s="43" t="n">
        <v>2025</v>
      </c>
      <c r="C95" s="43" t="n">
        <v>9</v>
      </c>
      <c r="D95" s="43" t="s">
        <v>57</v>
      </c>
      <c r="E95" s="43" t="s">
        <v>517</v>
      </c>
      <c r="F95" s="44" t="n">
        <v>77323</v>
      </c>
      <c r="G95" s="43" t="s">
        <v>515</v>
      </c>
      <c r="H95" s="43" t="s">
        <v>516</v>
      </c>
    </row>
    <row r="96" customFormat="false" ht="15" hidden="false" customHeight="false" outlineLevel="0" collapsed="false">
      <c r="A96" s="43" t="s">
        <v>62</v>
      </c>
      <c r="B96" s="43" t="n">
        <v>2025</v>
      </c>
      <c r="C96" s="43" t="n">
        <v>10</v>
      </c>
      <c r="D96" s="43" t="s">
        <v>58</v>
      </c>
      <c r="E96" s="43" t="s">
        <v>517</v>
      </c>
      <c r="F96" s="44" t="n">
        <v>14049</v>
      </c>
      <c r="G96" s="43" t="s">
        <v>515</v>
      </c>
      <c r="H96" s="43" t="s">
        <v>516</v>
      </c>
    </row>
    <row r="97" customFormat="false" ht="15" hidden="false" customHeight="false" outlineLevel="0" collapsed="false">
      <c r="A97" s="43" t="s">
        <v>62</v>
      </c>
      <c r="B97" s="43" t="n">
        <v>2025</v>
      </c>
      <c r="C97" s="43" t="n">
        <v>11</v>
      </c>
      <c r="D97" s="43" t="s">
        <v>59</v>
      </c>
      <c r="E97" s="43" t="s">
        <v>517</v>
      </c>
      <c r="F97" s="44" t="n">
        <v>47971</v>
      </c>
      <c r="G97" s="43" t="s">
        <v>515</v>
      </c>
      <c r="H97" s="43" t="s">
        <v>516</v>
      </c>
    </row>
    <row r="98" customFormat="false" ht="15" hidden="false" customHeight="false" outlineLevel="0" collapsed="false">
      <c r="A98" s="43" t="s">
        <v>62</v>
      </c>
      <c r="B98" s="43" t="n">
        <v>2025</v>
      </c>
      <c r="C98" s="43" t="n">
        <v>12</v>
      </c>
      <c r="D98" s="43" t="s">
        <v>60</v>
      </c>
      <c r="E98" s="43" t="s">
        <v>517</v>
      </c>
      <c r="F98" s="44" t="n">
        <v>23001</v>
      </c>
      <c r="G98" s="43" t="s">
        <v>515</v>
      </c>
      <c r="H98" s="43" t="s">
        <v>516</v>
      </c>
    </row>
    <row r="99" customFormat="false" ht="15" hidden="false" customHeight="false" outlineLevel="0" collapsed="false">
      <c r="A99" s="43" t="s">
        <v>63</v>
      </c>
      <c r="B99" s="43" t="n">
        <v>2025</v>
      </c>
      <c r="C99" s="43" t="n">
        <v>1</v>
      </c>
      <c r="D99" s="43" t="s">
        <v>49</v>
      </c>
      <c r="E99" s="43" t="s">
        <v>517</v>
      </c>
      <c r="F99" s="44" t="n">
        <v>15</v>
      </c>
      <c r="G99" s="43" t="s">
        <v>515</v>
      </c>
      <c r="H99" s="43" t="s">
        <v>516</v>
      </c>
    </row>
    <row r="100" customFormat="false" ht="15" hidden="false" customHeight="false" outlineLevel="0" collapsed="false">
      <c r="A100" s="43" t="s">
        <v>63</v>
      </c>
      <c r="B100" s="43" t="n">
        <v>2025</v>
      </c>
      <c r="C100" s="43" t="n">
        <v>2</v>
      </c>
      <c r="D100" s="43" t="s">
        <v>50</v>
      </c>
      <c r="E100" s="43" t="s">
        <v>517</v>
      </c>
      <c r="F100" s="44" t="n">
        <v>2025</v>
      </c>
      <c r="G100" s="43" t="s">
        <v>515</v>
      </c>
      <c r="H100" s="43" t="s">
        <v>516</v>
      </c>
    </row>
    <row r="101" customFormat="false" ht="15" hidden="false" customHeight="false" outlineLevel="0" collapsed="false">
      <c r="A101" s="43" t="s">
        <v>63</v>
      </c>
      <c r="B101" s="43" t="n">
        <v>2025</v>
      </c>
      <c r="C101" s="43" t="n">
        <v>3</v>
      </c>
      <c r="D101" s="43" t="s">
        <v>51</v>
      </c>
      <c r="E101" s="43" t="s">
        <v>517</v>
      </c>
      <c r="F101" s="44" t="n">
        <v>58728</v>
      </c>
      <c r="G101" s="43" t="s">
        <v>515</v>
      </c>
      <c r="H101" s="43" t="s">
        <v>516</v>
      </c>
    </row>
    <row r="102" customFormat="false" ht="15" hidden="false" customHeight="false" outlineLevel="0" collapsed="false">
      <c r="A102" s="43" t="s">
        <v>63</v>
      </c>
      <c r="B102" s="43" t="n">
        <v>2025</v>
      </c>
      <c r="C102" s="43" t="n">
        <v>4</v>
      </c>
      <c r="D102" s="43" t="s">
        <v>52</v>
      </c>
      <c r="E102" s="43" t="s">
        <v>517</v>
      </c>
      <c r="F102" s="44" t="n">
        <v>9898</v>
      </c>
      <c r="G102" s="43" t="s">
        <v>515</v>
      </c>
      <c r="H102" s="43" t="s">
        <v>516</v>
      </c>
    </row>
    <row r="103" customFormat="false" ht="15" hidden="false" customHeight="false" outlineLevel="0" collapsed="false">
      <c r="A103" s="43" t="s">
        <v>63</v>
      </c>
      <c r="B103" s="43" t="n">
        <v>2025</v>
      </c>
      <c r="C103" s="43" t="n">
        <v>5</v>
      </c>
      <c r="D103" s="43" t="s">
        <v>53</v>
      </c>
      <c r="E103" s="43" t="s">
        <v>517</v>
      </c>
      <c r="F103" s="44" t="n">
        <v>47666</v>
      </c>
      <c r="G103" s="43" t="s">
        <v>515</v>
      </c>
      <c r="H103" s="43" t="s">
        <v>516</v>
      </c>
    </row>
    <row r="104" customFormat="false" ht="15" hidden="false" customHeight="false" outlineLevel="0" collapsed="false">
      <c r="A104" s="43" t="s">
        <v>63</v>
      </c>
      <c r="B104" s="43" t="n">
        <v>2025</v>
      </c>
      <c r="C104" s="43" t="n">
        <v>6</v>
      </c>
      <c r="D104" s="43" t="s">
        <v>54</v>
      </c>
      <c r="E104" s="43" t="s">
        <v>517</v>
      </c>
      <c r="F104" s="44" t="n">
        <v>4178</v>
      </c>
      <c r="G104" s="43" t="s">
        <v>515</v>
      </c>
      <c r="H104" s="43" t="s">
        <v>516</v>
      </c>
    </row>
    <row r="105" customFormat="false" ht="15" hidden="false" customHeight="false" outlineLevel="0" collapsed="false">
      <c r="A105" s="43" t="s">
        <v>63</v>
      </c>
      <c r="B105" s="43" t="n">
        <v>2025</v>
      </c>
      <c r="C105" s="43" t="n">
        <v>7</v>
      </c>
      <c r="D105" s="43" t="s">
        <v>55</v>
      </c>
      <c r="E105" s="43" t="s">
        <v>517</v>
      </c>
      <c r="F105" s="44" t="n">
        <v>10017</v>
      </c>
      <c r="G105" s="43" t="s">
        <v>515</v>
      </c>
      <c r="H105" s="43" t="s">
        <v>516</v>
      </c>
    </row>
    <row r="106" customFormat="false" ht="15" hidden="false" customHeight="false" outlineLevel="0" collapsed="false">
      <c r="A106" s="43" t="s">
        <v>63</v>
      </c>
      <c r="B106" s="43" t="n">
        <v>2025</v>
      </c>
      <c r="C106" s="43" t="n">
        <v>8</v>
      </c>
      <c r="D106" s="43" t="s">
        <v>56</v>
      </c>
      <c r="E106" s="43" t="s">
        <v>517</v>
      </c>
      <c r="F106" s="44" t="n">
        <v>1015</v>
      </c>
      <c r="G106" s="43" t="s">
        <v>515</v>
      </c>
      <c r="H106" s="43" t="s">
        <v>516</v>
      </c>
    </row>
    <row r="107" customFormat="false" ht="15" hidden="false" customHeight="false" outlineLevel="0" collapsed="false">
      <c r="A107" s="43" t="s">
        <v>63</v>
      </c>
      <c r="B107" s="43" t="n">
        <v>2025</v>
      </c>
      <c r="C107" s="43" t="n">
        <v>9</v>
      </c>
      <c r="D107" s="43" t="s">
        <v>57</v>
      </c>
      <c r="E107" s="43" t="s">
        <v>517</v>
      </c>
      <c r="F107" s="44" t="n">
        <v>1000</v>
      </c>
      <c r="G107" s="43" t="s">
        <v>515</v>
      </c>
      <c r="H107" s="43" t="s">
        <v>516</v>
      </c>
    </row>
    <row r="108" customFormat="false" ht="15" hidden="false" customHeight="false" outlineLevel="0" collapsed="false">
      <c r="A108" s="43" t="s">
        <v>63</v>
      </c>
      <c r="B108" s="43" t="n">
        <v>2025</v>
      </c>
      <c r="C108" s="43" t="n">
        <v>10</v>
      </c>
      <c r="D108" s="43" t="s">
        <v>58</v>
      </c>
      <c r="E108" s="43" t="s">
        <v>517</v>
      </c>
      <c r="F108" s="44" t="n">
        <v>88411</v>
      </c>
      <c r="G108" s="43" t="s">
        <v>515</v>
      </c>
      <c r="H108" s="43" t="s">
        <v>516</v>
      </c>
    </row>
    <row r="109" customFormat="false" ht="15" hidden="false" customHeight="false" outlineLevel="0" collapsed="false">
      <c r="A109" s="43" t="s">
        <v>63</v>
      </c>
      <c r="B109" s="43" t="n">
        <v>2025</v>
      </c>
      <c r="C109" s="43" t="n">
        <v>11</v>
      </c>
      <c r="D109" s="43" t="s">
        <v>59</v>
      </c>
      <c r="E109" s="43" t="s">
        <v>517</v>
      </c>
      <c r="F109" s="44" t="n">
        <v>1000</v>
      </c>
      <c r="G109" s="43" t="s">
        <v>515</v>
      </c>
      <c r="H109" s="43" t="s">
        <v>516</v>
      </c>
    </row>
    <row r="110" customFormat="false" ht="15" hidden="false" customHeight="false" outlineLevel="0" collapsed="false">
      <c r="A110" s="43" t="s">
        <v>63</v>
      </c>
      <c r="B110" s="43" t="n">
        <v>2025</v>
      </c>
      <c r="C110" s="43" t="n">
        <v>12</v>
      </c>
      <c r="D110" s="43" t="s">
        <v>60</v>
      </c>
      <c r="E110" s="43" t="s">
        <v>517</v>
      </c>
      <c r="F110" s="44" t="n">
        <v>218410</v>
      </c>
      <c r="G110" s="43" t="s">
        <v>515</v>
      </c>
      <c r="H110" s="43" t="s">
        <v>516</v>
      </c>
    </row>
    <row r="111" customFormat="false" ht="15" hidden="false" customHeight="false" outlineLevel="0" collapsed="false">
      <c r="A111" s="43" t="s">
        <v>64</v>
      </c>
      <c r="B111" s="43" t="n">
        <v>2025</v>
      </c>
      <c r="C111" s="43" t="n">
        <v>1</v>
      </c>
      <c r="D111" s="43" t="s">
        <v>49</v>
      </c>
      <c r="E111" s="43" t="s">
        <v>517</v>
      </c>
      <c r="F111" s="44" t="n">
        <v>14044</v>
      </c>
      <c r="G111" s="43" t="s">
        <v>515</v>
      </c>
      <c r="H111" s="43" t="s">
        <v>516</v>
      </c>
    </row>
    <row r="112" customFormat="false" ht="15" hidden="false" customHeight="false" outlineLevel="0" collapsed="false">
      <c r="A112" s="43" t="s">
        <v>64</v>
      </c>
      <c r="B112" s="43" t="n">
        <v>2025</v>
      </c>
      <c r="C112" s="43" t="n">
        <v>2</v>
      </c>
      <c r="D112" s="43" t="s">
        <v>50</v>
      </c>
      <c r="E112" s="43" t="s">
        <v>517</v>
      </c>
      <c r="F112" s="44" t="n">
        <v>0</v>
      </c>
      <c r="G112" s="43" t="s">
        <v>515</v>
      </c>
      <c r="H112" s="43" t="s">
        <v>516</v>
      </c>
    </row>
    <row r="113" customFormat="false" ht="15" hidden="false" customHeight="false" outlineLevel="0" collapsed="false">
      <c r="A113" s="43" t="s">
        <v>64</v>
      </c>
      <c r="B113" s="43" t="n">
        <v>2025</v>
      </c>
      <c r="C113" s="43" t="n">
        <v>3</v>
      </c>
      <c r="D113" s="43" t="s">
        <v>51</v>
      </c>
      <c r="E113" s="43" t="s">
        <v>517</v>
      </c>
      <c r="F113" s="44" t="n">
        <v>0</v>
      </c>
      <c r="G113" s="43" t="s">
        <v>515</v>
      </c>
      <c r="H113" s="43" t="s">
        <v>516</v>
      </c>
    </row>
    <row r="114" customFormat="false" ht="15" hidden="false" customHeight="false" outlineLevel="0" collapsed="false">
      <c r="A114" s="43" t="s">
        <v>64</v>
      </c>
      <c r="B114" s="43" t="n">
        <v>2025</v>
      </c>
      <c r="C114" s="43" t="n">
        <v>4</v>
      </c>
      <c r="D114" s="43" t="s">
        <v>52</v>
      </c>
      <c r="E114" s="43" t="s">
        <v>517</v>
      </c>
      <c r="F114" s="44" t="n">
        <v>14380</v>
      </c>
      <c r="G114" s="43" t="s">
        <v>515</v>
      </c>
      <c r="H114" s="43" t="s">
        <v>516</v>
      </c>
    </row>
    <row r="115" customFormat="false" ht="15" hidden="false" customHeight="false" outlineLevel="0" collapsed="false">
      <c r="A115" s="43" t="s">
        <v>64</v>
      </c>
      <c r="B115" s="43" t="n">
        <v>2025</v>
      </c>
      <c r="C115" s="43" t="n">
        <v>5</v>
      </c>
      <c r="D115" s="43" t="s">
        <v>53</v>
      </c>
      <c r="E115" s="43" t="s">
        <v>517</v>
      </c>
      <c r="F115" s="44" t="n">
        <v>16000</v>
      </c>
      <c r="G115" s="43" t="s">
        <v>515</v>
      </c>
      <c r="H115" s="43" t="s">
        <v>516</v>
      </c>
    </row>
    <row r="116" customFormat="false" ht="15" hidden="false" customHeight="false" outlineLevel="0" collapsed="false">
      <c r="A116" s="43" t="s">
        <v>64</v>
      </c>
      <c r="B116" s="43" t="n">
        <v>2025</v>
      </c>
      <c r="C116" s="43" t="n">
        <v>6</v>
      </c>
      <c r="D116" s="43" t="s">
        <v>54</v>
      </c>
      <c r="E116" s="43" t="s">
        <v>517</v>
      </c>
      <c r="F116" s="44" t="n">
        <v>15094</v>
      </c>
      <c r="G116" s="43" t="s">
        <v>515</v>
      </c>
      <c r="H116" s="43" t="s">
        <v>516</v>
      </c>
    </row>
    <row r="117" customFormat="false" ht="15" hidden="false" customHeight="false" outlineLevel="0" collapsed="false">
      <c r="A117" s="43" t="s">
        <v>64</v>
      </c>
      <c r="B117" s="43" t="n">
        <v>2025</v>
      </c>
      <c r="C117" s="43" t="n">
        <v>7</v>
      </c>
      <c r="D117" s="43" t="s">
        <v>55</v>
      </c>
      <c r="E117" s="43" t="s">
        <v>517</v>
      </c>
      <c r="F117" s="44" t="n">
        <v>5684.8</v>
      </c>
      <c r="G117" s="43" t="s">
        <v>515</v>
      </c>
      <c r="H117" s="43" t="s">
        <v>516</v>
      </c>
    </row>
    <row r="118" customFormat="false" ht="15" hidden="false" customHeight="false" outlineLevel="0" collapsed="false">
      <c r="A118" s="43" t="s">
        <v>64</v>
      </c>
      <c r="B118" s="43" t="n">
        <v>2025</v>
      </c>
      <c r="C118" s="43" t="n">
        <v>8</v>
      </c>
      <c r="D118" s="43" t="s">
        <v>56</v>
      </c>
      <c r="E118" s="43" t="s">
        <v>517</v>
      </c>
      <c r="F118" s="44" t="n">
        <v>5684.8</v>
      </c>
      <c r="G118" s="43" t="s">
        <v>515</v>
      </c>
      <c r="H118" s="43" t="s">
        <v>516</v>
      </c>
    </row>
    <row r="119" customFormat="false" ht="15" hidden="false" customHeight="false" outlineLevel="0" collapsed="false">
      <c r="A119" s="43" t="s">
        <v>64</v>
      </c>
      <c r="B119" s="43" t="n">
        <v>2025</v>
      </c>
      <c r="C119" s="43" t="n">
        <v>9</v>
      </c>
      <c r="D119" s="43" t="s">
        <v>57</v>
      </c>
      <c r="E119" s="43" t="s">
        <v>517</v>
      </c>
      <c r="F119" s="44" t="n">
        <v>5684.8</v>
      </c>
      <c r="G119" s="43" t="s">
        <v>515</v>
      </c>
      <c r="H119" s="43" t="s">
        <v>516</v>
      </c>
    </row>
    <row r="120" customFormat="false" ht="15" hidden="false" customHeight="false" outlineLevel="0" collapsed="false">
      <c r="A120" s="43" t="s">
        <v>64</v>
      </c>
      <c r="B120" s="43" t="n">
        <v>2025</v>
      </c>
      <c r="C120" s="43" t="n">
        <v>10</v>
      </c>
      <c r="D120" s="43" t="s">
        <v>58</v>
      </c>
      <c r="E120" s="43" t="s">
        <v>517</v>
      </c>
      <c r="F120" s="44" t="n">
        <v>5684.8</v>
      </c>
      <c r="G120" s="43" t="s">
        <v>515</v>
      </c>
      <c r="H120" s="43" t="s">
        <v>516</v>
      </c>
    </row>
    <row r="121" customFormat="false" ht="15" hidden="false" customHeight="false" outlineLevel="0" collapsed="false">
      <c r="A121" s="43" t="s">
        <v>64</v>
      </c>
      <c r="B121" s="43" t="n">
        <v>2025</v>
      </c>
      <c r="C121" s="43" t="n">
        <v>11</v>
      </c>
      <c r="D121" s="43" t="s">
        <v>59</v>
      </c>
      <c r="E121" s="43" t="s">
        <v>517</v>
      </c>
      <c r="F121" s="44" t="n">
        <v>5684.8</v>
      </c>
      <c r="G121" s="43" t="s">
        <v>515</v>
      </c>
      <c r="H121" s="43" t="s">
        <v>516</v>
      </c>
    </row>
    <row r="122" customFormat="false" ht="15" hidden="false" customHeight="false" outlineLevel="0" collapsed="false">
      <c r="A122" s="43" t="s">
        <v>64</v>
      </c>
      <c r="B122" s="43" t="n">
        <v>2025</v>
      </c>
      <c r="C122" s="43" t="n">
        <v>12</v>
      </c>
      <c r="D122" s="43" t="s">
        <v>60</v>
      </c>
      <c r="E122" s="43" t="s">
        <v>517</v>
      </c>
      <c r="F122" s="44" t="n">
        <v>5684.8</v>
      </c>
      <c r="G122" s="43" t="s">
        <v>515</v>
      </c>
      <c r="H122" s="43" t="s">
        <v>516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3" min="1" style="0" width="9"/>
    <col collapsed="false" customWidth="true" hidden="false" outlineLevel="0" max="4" min="4" style="0" width="11"/>
    <col collapsed="false" customWidth="true" hidden="false" outlineLevel="0" max="5" min="5" style="0" width="12"/>
    <col collapsed="false" customWidth="true" hidden="false" outlineLevel="0" max="6" min="6" style="0" width="33"/>
    <col collapsed="false" customWidth="true" hidden="false" outlineLevel="0" max="7" min="7" style="0" width="13"/>
  </cols>
  <sheetData>
    <row r="1" customFormat="false" ht="15" hidden="false" customHeight="false" outlineLevel="0" collapsed="false">
      <c r="A1" s="41" t="s">
        <v>518</v>
      </c>
    </row>
    <row r="2" customFormat="false" ht="15" hidden="false" customHeight="false" outlineLevel="0" collapsed="false">
      <c r="A2" s="42" t="s">
        <v>509</v>
      </c>
      <c r="B2" s="42" t="s">
        <v>43</v>
      </c>
      <c r="C2" s="42" t="s">
        <v>510</v>
      </c>
      <c r="D2" s="42" t="s">
        <v>226</v>
      </c>
      <c r="E2" s="42" t="s">
        <v>511</v>
      </c>
      <c r="F2" s="42" t="s">
        <v>512</v>
      </c>
      <c r="G2" s="42" t="s">
        <v>513</v>
      </c>
    </row>
    <row r="3" customFormat="false" ht="15" hidden="false" customHeight="false" outlineLevel="0" collapsed="false">
      <c r="A3" s="43" t="n">
        <v>2024</v>
      </c>
      <c r="B3" s="43" t="n">
        <v>1</v>
      </c>
      <c r="C3" s="43" t="s">
        <v>49</v>
      </c>
      <c r="D3" s="43" t="s">
        <v>221</v>
      </c>
      <c r="E3" s="44" t="n">
        <v>782472.65</v>
      </c>
      <c r="F3" s="43" t="s">
        <v>519</v>
      </c>
      <c r="G3" s="43" t="s">
        <v>230</v>
      </c>
    </row>
    <row r="4" customFormat="false" ht="15" hidden="false" customHeight="false" outlineLevel="0" collapsed="false">
      <c r="A4" s="43" t="n">
        <v>2024</v>
      </c>
      <c r="B4" s="43" t="n">
        <v>2</v>
      </c>
      <c r="C4" s="43" t="s">
        <v>50</v>
      </c>
      <c r="D4" s="43" t="s">
        <v>221</v>
      </c>
      <c r="E4" s="44" t="n">
        <v>579083.73</v>
      </c>
      <c r="F4" s="43" t="s">
        <v>519</v>
      </c>
      <c r="G4" s="43" t="s">
        <v>230</v>
      </c>
    </row>
    <row r="5" customFormat="false" ht="15" hidden="false" customHeight="false" outlineLevel="0" collapsed="false">
      <c r="A5" s="43" t="n">
        <v>2024</v>
      </c>
      <c r="B5" s="43" t="n">
        <v>3</v>
      </c>
      <c r="C5" s="43" t="s">
        <v>51</v>
      </c>
      <c r="D5" s="43" t="s">
        <v>221</v>
      </c>
      <c r="E5" s="44" t="n">
        <v>663711.77</v>
      </c>
      <c r="F5" s="43" t="s">
        <v>519</v>
      </c>
      <c r="G5" s="43" t="s">
        <v>230</v>
      </c>
    </row>
    <row r="6" customFormat="false" ht="15" hidden="false" customHeight="false" outlineLevel="0" collapsed="false">
      <c r="A6" s="43" t="n">
        <v>2024</v>
      </c>
      <c r="B6" s="43" t="n">
        <v>4</v>
      </c>
      <c r="C6" s="43" t="s">
        <v>52</v>
      </c>
      <c r="D6" s="43" t="s">
        <v>221</v>
      </c>
      <c r="E6" s="44" t="n">
        <v>492664.2</v>
      </c>
      <c r="F6" s="43" t="s">
        <v>519</v>
      </c>
      <c r="G6" s="43" t="s">
        <v>230</v>
      </c>
    </row>
    <row r="7" customFormat="false" ht="15" hidden="false" customHeight="false" outlineLevel="0" collapsed="false">
      <c r="A7" s="43" t="n">
        <v>2024</v>
      </c>
      <c r="B7" s="43" t="n">
        <v>5</v>
      </c>
      <c r="C7" s="43" t="s">
        <v>53</v>
      </c>
      <c r="D7" s="43" t="s">
        <v>221</v>
      </c>
      <c r="E7" s="44" t="n">
        <v>817072</v>
      </c>
      <c r="F7" s="43" t="s">
        <v>519</v>
      </c>
      <c r="G7" s="43" t="s">
        <v>230</v>
      </c>
    </row>
    <row r="8" customFormat="false" ht="15" hidden="false" customHeight="false" outlineLevel="0" collapsed="false">
      <c r="A8" s="43" t="n">
        <v>2024</v>
      </c>
      <c r="B8" s="43" t="n">
        <v>6</v>
      </c>
      <c r="C8" s="43" t="s">
        <v>54</v>
      </c>
      <c r="D8" s="43" t="s">
        <v>221</v>
      </c>
      <c r="E8" s="44" t="n">
        <v>398011</v>
      </c>
      <c r="F8" s="43" t="s">
        <v>519</v>
      </c>
      <c r="G8" s="43" t="s">
        <v>230</v>
      </c>
    </row>
    <row r="9" customFormat="false" ht="15" hidden="false" customHeight="false" outlineLevel="0" collapsed="false">
      <c r="A9" s="43" t="n">
        <v>2024</v>
      </c>
      <c r="B9" s="43" t="n">
        <v>7</v>
      </c>
      <c r="C9" s="43" t="s">
        <v>55</v>
      </c>
      <c r="D9" s="43" t="s">
        <v>221</v>
      </c>
      <c r="E9" s="44" t="n">
        <v>464298.77</v>
      </c>
      <c r="F9" s="43" t="s">
        <v>519</v>
      </c>
      <c r="G9" s="43" t="s">
        <v>230</v>
      </c>
    </row>
    <row r="10" customFormat="false" ht="15" hidden="false" customHeight="false" outlineLevel="0" collapsed="false">
      <c r="A10" s="43" t="n">
        <v>2024</v>
      </c>
      <c r="B10" s="43" t="n">
        <v>8</v>
      </c>
      <c r="C10" s="43" t="s">
        <v>56</v>
      </c>
      <c r="D10" s="43" t="s">
        <v>221</v>
      </c>
      <c r="E10" s="44" t="n">
        <v>672285.96</v>
      </c>
      <c r="F10" s="43" t="s">
        <v>519</v>
      </c>
      <c r="G10" s="43" t="s">
        <v>230</v>
      </c>
    </row>
    <row r="11" customFormat="false" ht="15" hidden="false" customHeight="false" outlineLevel="0" collapsed="false">
      <c r="A11" s="43" t="n">
        <v>2024</v>
      </c>
      <c r="B11" s="43" t="n">
        <v>9</v>
      </c>
      <c r="C11" s="43" t="s">
        <v>57</v>
      </c>
      <c r="D11" s="43" t="s">
        <v>221</v>
      </c>
      <c r="E11" s="44" t="n">
        <v>1311681</v>
      </c>
      <c r="F11" s="43" t="s">
        <v>519</v>
      </c>
      <c r="G11" s="43" t="s">
        <v>230</v>
      </c>
    </row>
    <row r="12" customFormat="false" ht="15" hidden="false" customHeight="false" outlineLevel="0" collapsed="false">
      <c r="A12" s="43" t="n">
        <v>2024</v>
      </c>
      <c r="B12" s="43" t="n">
        <v>10</v>
      </c>
      <c r="C12" s="43" t="s">
        <v>58</v>
      </c>
      <c r="D12" s="43" t="s">
        <v>221</v>
      </c>
      <c r="E12" s="44" t="n">
        <v>1003565.09</v>
      </c>
      <c r="F12" s="43" t="s">
        <v>519</v>
      </c>
      <c r="G12" s="43" t="s">
        <v>230</v>
      </c>
    </row>
    <row r="13" customFormat="false" ht="15" hidden="false" customHeight="false" outlineLevel="0" collapsed="false">
      <c r="A13" s="43" t="n">
        <v>2024</v>
      </c>
      <c r="B13" s="43" t="n">
        <v>11</v>
      </c>
      <c r="C13" s="43" t="s">
        <v>59</v>
      </c>
      <c r="D13" s="43" t="s">
        <v>221</v>
      </c>
      <c r="E13" s="44" t="n">
        <v>614740</v>
      </c>
      <c r="F13" s="43" t="s">
        <v>519</v>
      </c>
      <c r="G13" s="43" t="s">
        <v>230</v>
      </c>
    </row>
    <row r="14" customFormat="false" ht="15" hidden="false" customHeight="false" outlineLevel="0" collapsed="false">
      <c r="A14" s="43" t="n">
        <v>2024</v>
      </c>
      <c r="B14" s="43" t="n">
        <v>12</v>
      </c>
      <c r="C14" s="43" t="s">
        <v>60</v>
      </c>
      <c r="D14" s="43" t="s">
        <v>221</v>
      </c>
      <c r="E14" s="44" t="n">
        <v>475262</v>
      </c>
      <c r="F14" s="43" t="s">
        <v>519</v>
      </c>
      <c r="G14" s="43" t="s">
        <v>230</v>
      </c>
    </row>
    <row r="15" customFormat="false" ht="15" hidden="false" customHeight="false" outlineLevel="0" collapsed="false">
      <c r="A15" s="43" t="n">
        <v>2024</v>
      </c>
      <c r="B15" s="43" t="n">
        <v>1</v>
      </c>
      <c r="C15" s="43" t="s">
        <v>49</v>
      </c>
      <c r="D15" s="43" t="s">
        <v>233</v>
      </c>
      <c r="E15" s="44" t="n">
        <v>688030.16</v>
      </c>
      <c r="F15" s="43" t="s">
        <v>519</v>
      </c>
      <c r="G15" s="43" t="s">
        <v>230</v>
      </c>
    </row>
    <row r="16" customFormat="false" ht="15" hidden="false" customHeight="false" outlineLevel="0" collapsed="false">
      <c r="A16" s="43" t="n">
        <v>2024</v>
      </c>
      <c r="B16" s="43" t="n">
        <v>2</v>
      </c>
      <c r="C16" s="43" t="s">
        <v>50</v>
      </c>
      <c r="D16" s="43" t="s">
        <v>233</v>
      </c>
      <c r="E16" s="44" t="n">
        <v>472255.04</v>
      </c>
      <c r="F16" s="43" t="s">
        <v>519</v>
      </c>
      <c r="G16" s="43" t="s">
        <v>230</v>
      </c>
    </row>
    <row r="17" customFormat="false" ht="15" hidden="false" customHeight="false" outlineLevel="0" collapsed="false">
      <c r="A17" s="43" t="n">
        <v>2024</v>
      </c>
      <c r="B17" s="43" t="n">
        <v>3</v>
      </c>
      <c r="C17" s="43" t="s">
        <v>51</v>
      </c>
      <c r="D17" s="43" t="s">
        <v>233</v>
      </c>
      <c r="E17" s="44" t="n">
        <v>437957.9</v>
      </c>
      <c r="F17" s="43" t="s">
        <v>519</v>
      </c>
      <c r="G17" s="43" t="s">
        <v>230</v>
      </c>
    </row>
    <row r="18" customFormat="false" ht="15" hidden="false" customHeight="false" outlineLevel="0" collapsed="false">
      <c r="A18" s="43" t="n">
        <v>2024</v>
      </c>
      <c r="B18" s="43" t="n">
        <v>4</v>
      </c>
      <c r="C18" s="43" t="s">
        <v>52</v>
      </c>
      <c r="D18" s="43" t="s">
        <v>233</v>
      </c>
      <c r="E18" s="44" t="n">
        <v>351009.4</v>
      </c>
      <c r="F18" s="43" t="s">
        <v>519</v>
      </c>
      <c r="G18" s="43" t="s">
        <v>230</v>
      </c>
    </row>
    <row r="19" customFormat="false" ht="15" hidden="false" customHeight="false" outlineLevel="0" collapsed="false">
      <c r="A19" s="43" t="n">
        <v>2024</v>
      </c>
      <c r="B19" s="43" t="n">
        <v>5</v>
      </c>
      <c r="C19" s="43" t="s">
        <v>53</v>
      </c>
      <c r="D19" s="43" t="s">
        <v>233</v>
      </c>
      <c r="E19" s="44" t="n">
        <v>522763.43</v>
      </c>
      <c r="F19" s="43" t="s">
        <v>519</v>
      </c>
      <c r="G19" s="43" t="s">
        <v>230</v>
      </c>
    </row>
    <row r="20" customFormat="false" ht="15" hidden="false" customHeight="false" outlineLevel="0" collapsed="false">
      <c r="A20" s="43" t="n">
        <v>2024</v>
      </c>
      <c r="B20" s="43" t="n">
        <v>6</v>
      </c>
      <c r="C20" s="43" t="s">
        <v>54</v>
      </c>
      <c r="D20" s="43" t="s">
        <v>233</v>
      </c>
      <c r="E20" s="44" t="n">
        <v>394836.49</v>
      </c>
      <c r="F20" s="43" t="s">
        <v>519</v>
      </c>
      <c r="G20" s="43" t="s">
        <v>230</v>
      </c>
    </row>
    <row r="21" customFormat="false" ht="15" hidden="false" customHeight="false" outlineLevel="0" collapsed="false">
      <c r="A21" s="43" t="n">
        <v>2024</v>
      </c>
      <c r="B21" s="43" t="n">
        <v>7</v>
      </c>
      <c r="C21" s="43" t="s">
        <v>55</v>
      </c>
      <c r="D21" s="43" t="s">
        <v>233</v>
      </c>
      <c r="E21" s="44" t="n">
        <v>526620.49</v>
      </c>
      <c r="F21" s="43" t="s">
        <v>519</v>
      </c>
      <c r="G21" s="43" t="s">
        <v>230</v>
      </c>
    </row>
    <row r="22" customFormat="false" ht="15" hidden="false" customHeight="false" outlineLevel="0" collapsed="false">
      <c r="A22" s="43" t="n">
        <v>2024</v>
      </c>
      <c r="B22" s="43" t="n">
        <v>8</v>
      </c>
      <c r="C22" s="43" t="s">
        <v>56</v>
      </c>
      <c r="D22" s="43" t="s">
        <v>233</v>
      </c>
      <c r="E22" s="44" t="n">
        <v>538310.08</v>
      </c>
      <c r="F22" s="43" t="s">
        <v>519</v>
      </c>
      <c r="G22" s="43" t="s">
        <v>230</v>
      </c>
    </row>
    <row r="23" customFormat="false" ht="15" hidden="false" customHeight="false" outlineLevel="0" collapsed="false">
      <c r="A23" s="43" t="n">
        <v>2024</v>
      </c>
      <c r="B23" s="43" t="n">
        <v>9</v>
      </c>
      <c r="C23" s="43" t="s">
        <v>57</v>
      </c>
      <c r="D23" s="43" t="s">
        <v>233</v>
      </c>
      <c r="E23" s="44" t="n">
        <v>383777.24</v>
      </c>
      <c r="F23" s="43" t="s">
        <v>519</v>
      </c>
      <c r="G23" s="43" t="s">
        <v>230</v>
      </c>
    </row>
    <row r="24" customFormat="false" ht="15" hidden="false" customHeight="false" outlineLevel="0" collapsed="false">
      <c r="A24" s="43" t="n">
        <v>2024</v>
      </c>
      <c r="B24" s="43" t="n">
        <v>10</v>
      </c>
      <c r="C24" s="43" t="s">
        <v>58</v>
      </c>
      <c r="D24" s="43" t="s">
        <v>233</v>
      </c>
      <c r="E24" s="44" t="n">
        <v>519012.89</v>
      </c>
      <c r="F24" s="43" t="s">
        <v>519</v>
      </c>
      <c r="G24" s="43" t="s">
        <v>230</v>
      </c>
    </row>
    <row r="25" customFormat="false" ht="15" hidden="false" customHeight="false" outlineLevel="0" collapsed="false">
      <c r="A25" s="43" t="n">
        <v>2024</v>
      </c>
      <c r="B25" s="43" t="n">
        <v>11</v>
      </c>
      <c r="C25" s="43" t="s">
        <v>59</v>
      </c>
      <c r="D25" s="43" t="s">
        <v>233</v>
      </c>
      <c r="E25" s="44" t="n">
        <v>452203.54</v>
      </c>
      <c r="F25" s="43" t="s">
        <v>519</v>
      </c>
      <c r="G25" s="43" t="s">
        <v>230</v>
      </c>
    </row>
    <row r="26" customFormat="false" ht="15" hidden="false" customHeight="false" outlineLevel="0" collapsed="false">
      <c r="A26" s="43" t="n">
        <v>2024</v>
      </c>
      <c r="B26" s="43" t="n">
        <v>12</v>
      </c>
      <c r="C26" s="43" t="s">
        <v>60</v>
      </c>
      <c r="D26" s="43" t="s">
        <v>233</v>
      </c>
      <c r="E26" s="44" t="n">
        <v>681066.38</v>
      </c>
      <c r="F26" s="43" t="s">
        <v>519</v>
      </c>
      <c r="G26" s="43" t="s">
        <v>230</v>
      </c>
    </row>
    <row r="27" customFormat="false" ht="15" hidden="false" customHeight="false" outlineLevel="0" collapsed="false">
      <c r="A27" s="43" t="n">
        <v>2024</v>
      </c>
      <c r="B27" s="43" t="n">
        <v>1</v>
      </c>
      <c r="C27" s="43" t="s">
        <v>49</v>
      </c>
      <c r="D27" s="43" t="s">
        <v>230</v>
      </c>
      <c r="E27" s="44" t="n">
        <v>94442.49</v>
      </c>
      <c r="F27" s="43" t="s">
        <v>519</v>
      </c>
      <c r="G27" s="43" t="s">
        <v>230</v>
      </c>
    </row>
    <row r="28" customFormat="false" ht="15" hidden="false" customHeight="false" outlineLevel="0" collapsed="false">
      <c r="A28" s="43" t="n">
        <v>2024</v>
      </c>
      <c r="B28" s="43" t="n">
        <v>2</v>
      </c>
      <c r="C28" s="43" t="s">
        <v>50</v>
      </c>
      <c r="D28" s="43" t="s">
        <v>230</v>
      </c>
      <c r="E28" s="44" t="n">
        <v>106828.69</v>
      </c>
      <c r="F28" s="43" t="s">
        <v>519</v>
      </c>
      <c r="G28" s="43" t="s">
        <v>230</v>
      </c>
    </row>
    <row r="29" customFormat="false" ht="15" hidden="false" customHeight="false" outlineLevel="0" collapsed="false">
      <c r="A29" s="43" t="n">
        <v>2024</v>
      </c>
      <c r="B29" s="43" t="n">
        <v>3</v>
      </c>
      <c r="C29" s="43" t="s">
        <v>51</v>
      </c>
      <c r="D29" s="43" t="s">
        <v>230</v>
      </c>
      <c r="E29" s="44" t="n">
        <v>225753.87</v>
      </c>
      <c r="F29" s="43" t="s">
        <v>519</v>
      </c>
      <c r="G29" s="43" t="s">
        <v>230</v>
      </c>
    </row>
    <row r="30" customFormat="false" ht="15" hidden="false" customHeight="false" outlineLevel="0" collapsed="false">
      <c r="A30" s="43" t="n">
        <v>2024</v>
      </c>
      <c r="B30" s="43" t="n">
        <v>4</v>
      </c>
      <c r="C30" s="43" t="s">
        <v>52</v>
      </c>
      <c r="D30" s="43" t="s">
        <v>230</v>
      </c>
      <c r="E30" s="44" t="n">
        <v>141654.8</v>
      </c>
      <c r="F30" s="43" t="s">
        <v>519</v>
      </c>
      <c r="G30" s="43" t="s">
        <v>230</v>
      </c>
    </row>
    <row r="31" customFormat="false" ht="15" hidden="false" customHeight="false" outlineLevel="0" collapsed="false">
      <c r="A31" s="43" t="n">
        <v>2024</v>
      </c>
      <c r="B31" s="43" t="n">
        <v>5</v>
      </c>
      <c r="C31" s="43" t="s">
        <v>53</v>
      </c>
      <c r="D31" s="43" t="s">
        <v>230</v>
      </c>
      <c r="E31" s="44" t="n">
        <v>294308.57</v>
      </c>
      <c r="F31" s="43" t="s">
        <v>519</v>
      </c>
      <c r="G31" s="43" t="s">
        <v>230</v>
      </c>
    </row>
    <row r="32" customFormat="false" ht="15" hidden="false" customHeight="false" outlineLevel="0" collapsed="false">
      <c r="A32" s="43" t="n">
        <v>2024</v>
      </c>
      <c r="B32" s="43" t="n">
        <v>6</v>
      </c>
      <c r="C32" s="43" t="s">
        <v>54</v>
      </c>
      <c r="D32" s="43" t="s">
        <v>230</v>
      </c>
      <c r="E32" s="44" t="n">
        <v>3174.51</v>
      </c>
      <c r="F32" s="43" t="s">
        <v>519</v>
      </c>
      <c r="G32" s="43" t="s">
        <v>230</v>
      </c>
    </row>
    <row r="33" customFormat="false" ht="15" hidden="false" customHeight="false" outlineLevel="0" collapsed="false">
      <c r="A33" s="43" t="n">
        <v>2024</v>
      </c>
      <c r="B33" s="43" t="n">
        <v>7</v>
      </c>
      <c r="C33" s="43" t="s">
        <v>55</v>
      </c>
      <c r="D33" s="43" t="s">
        <v>230</v>
      </c>
      <c r="E33" s="44" t="n">
        <v>-62321.72</v>
      </c>
      <c r="F33" s="43" t="s">
        <v>519</v>
      </c>
      <c r="G33" s="43" t="s">
        <v>230</v>
      </c>
    </row>
    <row r="34" customFormat="false" ht="15" hidden="false" customHeight="false" outlineLevel="0" collapsed="false">
      <c r="A34" s="43" t="n">
        <v>2024</v>
      </c>
      <c r="B34" s="43" t="n">
        <v>8</v>
      </c>
      <c r="C34" s="43" t="s">
        <v>56</v>
      </c>
      <c r="D34" s="43" t="s">
        <v>230</v>
      </c>
      <c r="E34" s="44" t="n">
        <v>133975.89</v>
      </c>
      <c r="F34" s="43" t="s">
        <v>519</v>
      </c>
      <c r="G34" s="43" t="s">
        <v>230</v>
      </c>
    </row>
    <row r="35" customFormat="false" ht="15" hidden="false" customHeight="false" outlineLevel="0" collapsed="false">
      <c r="A35" s="43" t="n">
        <v>2024</v>
      </c>
      <c r="B35" s="43" t="n">
        <v>9</v>
      </c>
      <c r="C35" s="43" t="s">
        <v>57</v>
      </c>
      <c r="D35" s="43" t="s">
        <v>230</v>
      </c>
      <c r="E35" s="44" t="n">
        <v>927903.76</v>
      </c>
      <c r="F35" s="43" t="s">
        <v>519</v>
      </c>
      <c r="G35" s="43" t="s">
        <v>230</v>
      </c>
    </row>
    <row r="36" customFormat="false" ht="15" hidden="false" customHeight="false" outlineLevel="0" collapsed="false">
      <c r="A36" s="43" t="n">
        <v>2024</v>
      </c>
      <c r="B36" s="43" t="n">
        <v>10</v>
      </c>
      <c r="C36" s="43" t="s">
        <v>58</v>
      </c>
      <c r="D36" s="43" t="s">
        <v>230</v>
      </c>
      <c r="E36" s="44" t="n">
        <v>484552.2</v>
      </c>
      <c r="F36" s="43" t="s">
        <v>519</v>
      </c>
      <c r="G36" s="43" t="s">
        <v>230</v>
      </c>
    </row>
    <row r="37" customFormat="false" ht="15" hidden="false" customHeight="false" outlineLevel="0" collapsed="false">
      <c r="A37" s="43" t="n">
        <v>2024</v>
      </c>
      <c r="B37" s="43" t="n">
        <v>11</v>
      </c>
      <c r="C37" s="43" t="s">
        <v>59</v>
      </c>
      <c r="D37" s="43" t="s">
        <v>230</v>
      </c>
      <c r="E37" s="44" t="n">
        <v>162536.46</v>
      </c>
      <c r="F37" s="43" t="s">
        <v>519</v>
      </c>
      <c r="G37" s="43" t="s">
        <v>230</v>
      </c>
    </row>
    <row r="38" customFormat="false" ht="15" hidden="false" customHeight="false" outlineLevel="0" collapsed="false">
      <c r="A38" s="43" t="n">
        <v>2024</v>
      </c>
      <c r="B38" s="43" t="n">
        <v>12</v>
      </c>
      <c r="C38" s="43" t="s">
        <v>60</v>
      </c>
      <c r="D38" s="43" t="s">
        <v>230</v>
      </c>
      <c r="E38" s="44" t="n">
        <v>-205804.38</v>
      </c>
      <c r="F38" s="43" t="s">
        <v>519</v>
      </c>
      <c r="G38" s="43" t="s">
        <v>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4" min="1" style="0" width="9"/>
    <col collapsed="false" customWidth="true" hidden="false" outlineLevel="0" max="5" min="5" style="0" width="13"/>
    <col collapsed="false" customWidth="true" hidden="false" outlineLevel="0" max="6" min="6" style="0" width="33"/>
    <col collapsed="false" customWidth="true" hidden="false" outlineLevel="0" max="7" min="7" style="0" width="34"/>
  </cols>
  <sheetData>
    <row r="1" customFormat="false" ht="15" hidden="false" customHeight="false" outlineLevel="0" collapsed="false">
      <c r="A1" s="41" t="s">
        <v>520</v>
      </c>
    </row>
    <row r="2" customFormat="false" ht="15" hidden="false" customHeight="false" outlineLevel="0" collapsed="false">
      <c r="A2" s="42" t="s">
        <v>508</v>
      </c>
      <c r="B2" s="42" t="s">
        <v>509</v>
      </c>
      <c r="C2" s="42" t="s">
        <v>43</v>
      </c>
      <c r="D2" s="42" t="s">
        <v>510</v>
      </c>
      <c r="E2" s="42" t="s">
        <v>521</v>
      </c>
      <c r="F2" s="42" t="s">
        <v>512</v>
      </c>
      <c r="G2" s="42" t="s">
        <v>513</v>
      </c>
    </row>
    <row r="3" customFormat="false" ht="15" hidden="false" customHeight="false" outlineLevel="0" collapsed="false">
      <c r="A3" s="43" t="s">
        <v>48</v>
      </c>
      <c r="B3" s="43" t="n">
        <v>2024</v>
      </c>
      <c r="C3" s="43" t="n">
        <v>1</v>
      </c>
      <c r="D3" s="43" t="s">
        <v>49</v>
      </c>
      <c r="E3" s="44" t="n">
        <v>427785.65</v>
      </c>
      <c r="F3" s="43" t="s">
        <v>519</v>
      </c>
      <c r="G3" s="43" t="s">
        <v>522</v>
      </c>
    </row>
    <row r="4" customFormat="false" ht="15" hidden="false" customHeight="false" outlineLevel="0" collapsed="false">
      <c r="A4" s="43" t="s">
        <v>48</v>
      </c>
      <c r="B4" s="43" t="n">
        <v>2024</v>
      </c>
      <c r="C4" s="43" t="n">
        <v>2</v>
      </c>
      <c r="D4" s="43" t="s">
        <v>50</v>
      </c>
      <c r="E4" s="44" t="n">
        <v>203475.73</v>
      </c>
      <c r="F4" s="43" t="s">
        <v>519</v>
      </c>
      <c r="G4" s="43" t="s">
        <v>522</v>
      </c>
    </row>
    <row r="5" customFormat="false" ht="15" hidden="false" customHeight="false" outlineLevel="0" collapsed="false">
      <c r="A5" s="43" t="s">
        <v>48</v>
      </c>
      <c r="B5" s="43" t="n">
        <v>2024</v>
      </c>
      <c r="C5" s="43" t="n">
        <v>3</v>
      </c>
      <c r="D5" s="43" t="s">
        <v>51</v>
      </c>
      <c r="E5" s="44" t="n">
        <v>294697.49</v>
      </c>
      <c r="F5" s="43" t="s">
        <v>519</v>
      </c>
      <c r="G5" s="43" t="s">
        <v>522</v>
      </c>
    </row>
    <row r="6" customFormat="false" ht="15" hidden="false" customHeight="false" outlineLevel="0" collapsed="false">
      <c r="A6" s="43" t="s">
        <v>48</v>
      </c>
      <c r="B6" s="43" t="n">
        <v>2024</v>
      </c>
      <c r="C6" s="43" t="n">
        <v>4</v>
      </c>
      <c r="D6" s="43" t="s">
        <v>52</v>
      </c>
      <c r="E6" s="44" t="n">
        <v>239030.2</v>
      </c>
      <c r="F6" s="43" t="s">
        <v>519</v>
      </c>
      <c r="G6" s="43" t="s">
        <v>522</v>
      </c>
    </row>
    <row r="7" customFormat="false" ht="15" hidden="false" customHeight="false" outlineLevel="0" collapsed="false">
      <c r="A7" s="43" t="s">
        <v>48</v>
      </c>
      <c r="B7" s="43" t="n">
        <v>2024</v>
      </c>
      <c r="C7" s="43" t="n">
        <v>5</v>
      </c>
      <c r="D7" s="43" t="s">
        <v>53</v>
      </c>
      <c r="E7" s="44" t="n">
        <v>253288</v>
      </c>
      <c r="F7" s="43" t="s">
        <v>519</v>
      </c>
      <c r="G7" s="43" t="s">
        <v>522</v>
      </c>
    </row>
    <row r="8" customFormat="false" ht="15" hidden="false" customHeight="false" outlineLevel="0" collapsed="false">
      <c r="A8" s="43" t="s">
        <v>48</v>
      </c>
      <c r="B8" s="43" t="n">
        <v>2024</v>
      </c>
      <c r="C8" s="43" t="n">
        <v>6</v>
      </c>
      <c r="D8" s="43" t="s">
        <v>54</v>
      </c>
      <c r="E8" s="44" t="n">
        <v>181519</v>
      </c>
      <c r="F8" s="43" t="s">
        <v>519</v>
      </c>
      <c r="G8" s="43" t="s">
        <v>522</v>
      </c>
    </row>
    <row r="9" customFormat="false" ht="15" hidden="false" customHeight="false" outlineLevel="0" collapsed="false">
      <c r="A9" s="43" t="s">
        <v>48</v>
      </c>
      <c r="B9" s="43" t="n">
        <v>2024</v>
      </c>
      <c r="C9" s="43" t="n">
        <v>7</v>
      </c>
      <c r="D9" s="43" t="s">
        <v>55</v>
      </c>
      <c r="E9" s="44" t="n">
        <v>199830.51</v>
      </c>
      <c r="F9" s="43" t="s">
        <v>519</v>
      </c>
      <c r="G9" s="43" t="s">
        <v>522</v>
      </c>
    </row>
    <row r="10" customFormat="false" ht="15" hidden="false" customHeight="false" outlineLevel="0" collapsed="false">
      <c r="A10" s="43" t="s">
        <v>48</v>
      </c>
      <c r="B10" s="43" t="n">
        <v>2024</v>
      </c>
      <c r="C10" s="43" t="n">
        <v>8</v>
      </c>
      <c r="D10" s="43" t="s">
        <v>56</v>
      </c>
      <c r="E10" s="44" t="n">
        <v>191736.96</v>
      </c>
      <c r="F10" s="43" t="s">
        <v>519</v>
      </c>
      <c r="G10" s="43" t="s">
        <v>522</v>
      </c>
    </row>
    <row r="11" customFormat="false" ht="15" hidden="false" customHeight="false" outlineLevel="0" collapsed="false">
      <c r="A11" s="43" t="s">
        <v>48</v>
      </c>
      <c r="B11" s="43" t="n">
        <v>2024</v>
      </c>
      <c r="C11" s="43" t="n">
        <v>9</v>
      </c>
      <c r="D11" s="43" t="s">
        <v>57</v>
      </c>
      <c r="E11" s="44" t="n">
        <v>305343</v>
      </c>
      <c r="F11" s="43" t="s">
        <v>519</v>
      </c>
      <c r="G11" s="43" t="s">
        <v>522</v>
      </c>
    </row>
    <row r="12" customFormat="false" ht="15" hidden="false" customHeight="false" outlineLevel="0" collapsed="false">
      <c r="A12" s="43" t="s">
        <v>48</v>
      </c>
      <c r="B12" s="43" t="n">
        <v>2024</v>
      </c>
      <c r="C12" s="43" t="n">
        <v>10</v>
      </c>
      <c r="D12" s="43" t="s">
        <v>58</v>
      </c>
      <c r="E12" s="44" t="n">
        <v>505285</v>
      </c>
      <c r="F12" s="43" t="s">
        <v>519</v>
      </c>
      <c r="G12" s="43" t="s">
        <v>522</v>
      </c>
    </row>
    <row r="13" customFormat="false" ht="15" hidden="false" customHeight="false" outlineLevel="0" collapsed="false">
      <c r="A13" s="43" t="s">
        <v>48</v>
      </c>
      <c r="B13" s="43" t="n">
        <v>2024</v>
      </c>
      <c r="C13" s="43" t="n">
        <v>11</v>
      </c>
      <c r="D13" s="43" t="s">
        <v>59</v>
      </c>
      <c r="E13" s="44" t="n">
        <v>354326</v>
      </c>
      <c r="F13" s="43" t="s">
        <v>519</v>
      </c>
      <c r="G13" s="43" t="s">
        <v>522</v>
      </c>
    </row>
    <row r="14" customFormat="false" ht="15" hidden="false" customHeight="false" outlineLevel="0" collapsed="false">
      <c r="A14" s="43" t="s">
        <v>48</v>
      </c>
      <c r="B14" s="43" t="n">
        <v>2024</v>
      </c>
      <c r="C14" s="43" t="n">
        <v>12</v>
      </c>
      <c r="D14" s="43" t="s">
        <v>60</v>
      </c>
      <c r="E14" s="44" t="n">
        <v>214111</v>
      </c>
      <c r="F14" s="43" t="s">
        <v>519</v>
      </c>
      <c r="G14" s="43" t="s">
        <v>522</v>
      </c>
    </row>
    <row r="15" customFormat="false" ht="15" hidden="false" customHeight="false" outlineLevel="0" collapsed="false">
      <c r="A15" s="43" t="s">
        <v>61</v>
      </c>
      <c r="B15" s="43" t="n">
        <v>2024</v>
      </c>
      <c r="C15" s="43" t="n">
        <v>1</v>
      </c>
      <c r="D15" s="43" t="s">
        <v>49</v>
      </c>
      <c r="E15" s="44" t="n">
        <v>165529</v>
      </c>
      <c r="F15" s="43" t="s">
        <v>519</v>
      </c>
      <c r="G15" s="43" t="s">
        <v>522</v>
      </c>
    </row>
    <row r="16" customFormat="false" ht="15" hidden="false" customHeight="false" outlineLevel="0" collapsed="false">
      <c r="A16" s="43" t="s">
        <v>61</v>
      </c>
      <c r="B16" s="43" t="n">
        <v>2024</v>
      </c>
      <c r="C16" s="43" t="n">
        <v>2</v>
      </c>
      <c r="D16" s="43" t="s">
        <v>50</v>
      </c>
      <c r="E16" s="44" t="n">
        <v>97072</v>
      </c>
      <c r="F16" s="43" t="s">
        <v>519</v>
      </c>
      <c r="G16" s="43" t="s">
        <v>522</v>
      </c>
    </row>
    <row r="17" customFormat="false" ht="15" hidden="false" customHeight="false" outlineLevel="0" collapsed="false">
      <c r="A17" s="43" t="s">
        <v>61</v>
      </c>
      <c r="B17" s="43" t="n">
        <v>2024</v>
      </c>
      <c r="C17" s="43" t="n">
        <v>3</v>
      </c>
      <c r="D17" s="43" t="s">
        <v>51</v>
      </c>
      <c r="E17" s="44" t="n">
        <v>127385</v>
      </c>
      <c r="F17" s="43" t="s">
        <v>519</v>
      </c>
      <c r="G17" s="43" t="s">
        <v>522</v>
      </c>
    </row>
    <row r="18" customFormat="false" ht="15" hidden="false" customHeight="false" outlineLevel="0" collapsed="false">
      <c r="A18" s="43" t="s">
        <v>61</v>
      </c>
      <c r="B18" s="43" t="n">
        <v>2024</v>
      </c>
      <c r="C18" s="43" t="n">
        <v>4</v>
      </c>
      <c r="D18" s="43" t="s">
        <v>52</v>
      </c>
      <c r="E18" s="44" t="n">
        <v>76133</v>
      </c>
      <c r="F18" s="43" t="s">
        <v>519</v>
      </c>
      <c r="G18" s="43" t="s">
        <v>522</v>
      </c>
    </row>
    <row r="19" customFormat="false" ht="15" hidden="false" customHeight="false" outlineLevel="0" collapsed="false">
      <c r="A19" s="43" t="s">
        <v>61</v>
      </c>
      <c r="B19" s="43" t="n">
        <v>2024</v>
      </c>
      <c r="C19" s="43" t="n">
        <v>5</v>
      </c>
      <c r="D19" s="43" t="s">
        <v>53</v>
      </c>
      <c r="E19" s="44" t="n">
        <v>107922</v>
      </c>
      <c r="F19" s="43" t="s">
        <v>519</v>
      </c>
      <c r="G19" s="43" t="s">
        <v>522</v>
      </c>
    </row>
    <row r="20" customFormat="false" ht="15" hidden="false" customHeight="false" outlineLevel="0" collapsed="false">
      <c r="A20" s="43" t="s">
        <v>61</v>
      </c>
      <c r="B20" s="43" t="n">
        <v>2024</v>
      </c>
      <c r="C20" s="43" t="n">
        <v>6</v>
      </c>
      <c r="D20" s="43" t="s">
        <v>54</v>
      </c>
      <c r="E20" s="44" t="n">
        <v>172201</v>
      </c>
      <c r="F20" s="43" t="s">
        <v>519</v>
      </c>
      <c r="G20" s="43" t="s">
        <v>522</v>
      </c>
    </row>
    <row r="21" customFormat="false" ht="15" hidden="false" customHeight="false" outlineLevel="0" collapsed="false">
      <c r="A21" s="43" t="s">
        <v>61</v>
      </c>
      <c r="B21" s="43" t="n">
        <v>2024</v>
      </c>
      <c r="C21" s="43" t="n">
        <v>7</v>
      </c>
      <c r="D21" s="43" t="s">
        <v>55</v>
      </c>
      <c r="E21" s="44" t="n">
        <v>189289.26</v>
      </c>
      <c r="F21" s="43" t="s">
        <v>519</v>
      </c>
      <c r="G21" s="43" t="s">
        <v>522</v>
      </c>
    </row>
    <row r="22" customFormat="false" ht="15" hidden="false" customHeight="false" outlineLevel="0" collapsed="false">
      <c r="A22" s="43" t="s">
        <v>61</v>
      </c>
      <c r="B22" s="43" t="n">
        <v>2024</v>
      </c>
      <c r="C22" s="43" t="n">
        <v>8</v>
      </c>
      <c r="D22" s="43" t="s">
        <v>56</v>
      </c>
      <c r="E22" s="44" t="n">
        <v>185957</v>
      </c>
      <c r="F22" s="43" t="s">
        <v>519</v>
      </c>
      <c r="G22" s="43" t="s">
        <v>522</v>
      </c>
    </row>
    <row r="23" customFormat="false" ht="15" hidden="false" customHeight="false" outlineLevel="0" collapsed="false">
      <c r="A23" s="43" t="s">
        <v>61</v>
      </c>
      <c r="B23" s="43" t="n">
        <v>2024</v>
      </c>
      <c r="C23" s="43" t="n">
        <v>9</v>
      </c>
      <c r="D23" s="43" t="s">
        <v>57</v>
      </c>
      <c r="E23" s="44" t="n">
        <v>387972</v>
      </c>
      <c r="F23" s="43" t="s">
        <v>519</v>
      </c>
      <c r="G23" s="43" t="s">
        <v>522</v>
      </c>
    </row>
    <row r="24" customFormat="false" ht="15" hidden="false" customHeight="false" outlineLevel="0" collapsed="false">
      <c r="A24" s="43" t="s">
        <v>61</v>
      </c>
      <c r="B24" s="43" t="n">
        <v>2024</v>
      </c>
      <c r="C24" s="43" t="n">
        <v>10</v>
      </c>
      <c r="D24" s="43" t="s">
        <v>58</v>
      </c>
      <c r="E24" s="44" t="n">
        <v>293429</v>
      </c>
      <c r="F24" s="43" t="s">
        <v>519</v>
      </c>
      <c r="G24" s="43" t="s">
        <v>522</v>
      </c>
    </row>
    <row r="25" customFormat="false" ht="15" hidden="false" customHeight="false" outlineLevel="0" collapsed="false">
      <c r="A25" s="43" t="s">
        <v>61</v>
      </c>
      <c r="B25" s="43" t="n">
        <v>2024</v>
      </c>
      <c r="C25" s="43" t="n">
        <v>11</v>
      </c>
      <c r="D25" s="43" t="s">
        <v>59</v>
      </c>
      <c r="E25" s="44" t="n">
        <v>155905</v>
      </c>
      <c r="F25" s="43" t="s">
        <v>519</v>
      </c>
      <c r="G25" s="43" t="s">
        <v>522</v>
      </c>
    </row>
    <row r="26" customFormat="false" ht="15" hidden="false" customHeight="false" outlineLevel="0" collapsed="false">
      <c r="A26" s="43" t="s">
        <v>61</v>
      </c>
      <c r="B26" s="43" t="n">
        <v>2024</v>
      </c>
      <c r="C26" s="43" t="n">
        <v>12</v>
      </c>
      <c r="D26" s="43" t="s">
        <v>60</v>
      </c>
      <c r="E26" s="44" t="n">
        <v>119107</v>
      </c>
      <c r="F26" s="43" t="s">
        <v>519</v>
      </c>
      <c r="G26" s="43" t="s">
        <v>522</v>
      </c>
    </row>
    <row r="27" customFormat="false" ht="15" hidden="false" customHeight="false" outlineLevel="0" collapsed="false">
      <c r="A27" s="43" t="s">
        <v>62</v>
      </c>
      <c r="B27" s="43" t="n">
        <v>2024</v>
      </c>
      <c r="C27" s="43" t="n">
        <v>1</v>
      </c>
      <c r="D27" s="43" t="s">
        <v>49</v>
      </c>
      <c r="E27" s="44" t="n">
        <v>189158</v>
      </c>
      <c r="F27" s="43" t="s">
        <v>519</v>
      </c>
      <c r="G27" s="43" t="s">
        <v>522</v>
      </c>
    </row>
    <row r="28" customFormat="false" ht="15" hidden="false" customHeight="false" outlineLevel="0" collapsed="false">
      <c r="A28" s="43" t="s">
        <v>62</v>
      </c>
      <c r="B28" s="43" t="n">
        <v>2024</v>
      </c>
      <c r="C28" s="43" t="n">
        <v>2</v>
      </c>
      <c r="D28" s="43" t="s">
        <v>50</v>
      </c>
      <c r="E28" s="44" t="n">
        <v>225732</v>
      </c>
      <c r="F28" s="43" t="s">
        <v>519</v>
      </c>
      <c r="G28" s="43" t="s">
        <v>522</v>
      </c>
    </row>
    <row r="29" customFormat="false" ht="15" hidden="false" customHeight="false" outlineLevel="0" collapsed="false">
      <c r="A29" s="43" t="s">
        <v>62</v>
      </c>
      <c r="B29" s="43" t="n">
        <v>2024</v>
      </c>
      <c r="C29" s="43" t="n">
        <v>3</v>
      </c>
      <c r="D29" s="43" t="s">
        <v>51</v>
      </c>
      <c r="E29" s="44" t="n">
        <v>78646.28</v>
      </c>
      <c r="F29" s="43" t="s">
        <v>519</v>
      </c>
      <c r="G29" s="43" t="s">
        <v>522</v>
      </c>
    </row>
    <row r="30" customFormat="false" ht="15" hidden="false" customHeight="false" outlineLevel="0" collapsed="false">
      <c r="A30" s="43" t="s">
        <v>62</v>
      </c>
      <c r="B30" s="43" t="n">
        <v>2024</v>
      </c>
      <c r="C30" s="43" t="n">
        <v>4</v>
      </c>
      <c r="D30" s="43" t="s">
        <v>52</v>
      </c>
      <c r="E30" s="44" t="n">
        <v>74596</v>
      </c>
      <c r="F30" s="43" t="s">
        <v>519</v>
      </c>
      <c r="G30" s="43" t="s">
        <v>522</v>
      </c>
    </row>
    <row r="31" customFormat="false" ht="15" hidden="false" customHeight="false" outlineLevel="0" collapsed="false">
      <c r="A31" s="43" t="s">
        <v>62</v>
      </c>
      <c r="B31" s="43" t="n">
        <v>2024</v>
      </c>
      <c r="C31" s="43" t="n">
        <v>5</v>
      </c>
      <c r="D31" s="43" t="s">
        <v>53</v>
      </c>
      <c r="E31" s="44" t="n">
        <v>267262</v>
      </c>
      <c r="F31" s="43" t="s">
        <v>519</v>
      </c>
      <c r="G31" s="43" t="s">
        <v>522</v>
      </c>
    </row>
    <row r="32" customFormat="false" ht="15" hidden="false" customHeight="false" outlineLevel="0" collapsed="false">
      <c r="A32" s="43" t="s">
        <v>62</v>
      </c>
      <c r="B32" s="43" t="n">
        <v>2024</v>
      </c>
      <c r="C32" s="43" t="n">
        <v>6</v>
      </c>
      <c r="D32" s="43" t="s">
        <v>54</v>
      </c>
      <c r="E32" s="44" t="n">
        <v>0</v>
      </c>
      <c r="F32" s="43" t="s">
        <v>519</v>
      </c>
      <c r="G32" s="43" t="s">
        <v>522</v>
      </c>
    </row>
    <row r="33" customFormat="false" ht="15" hidden="false" customHeight="false" outlineLevel="0" collapsed="false">
      <c r="A33" s="43" t="s">
        <v>62</v>
      </c>
      <c r="B33" s="43" t="n">
        <v>2024</v>
      </c>
      <c r="C33" s="43" t="n">
        <v>7</v>
      </c>
      <c r="D33" s="43" t="s">
        <v>55</v>
      </c>
      <c r="E33" s="44" t="n">
        <v>23440</v>
      </c>
      <c r="F33" s="43" t="s">
        <v>519</v>
      </c>
      <c r="G33" s="43" t="s">
        <v>522</v>
      </c>
    </row>
    <row r="34" customFormat="false" ht="15" hidden="false" customHeight="false" outlineLevel="0" collapsed="false">
      <c r="A34" s="43" t="s">
        <v>62</v>
      </c>
      <c r="B34" s="43" t="n">
        <v>2024</v>
      </c>
      <c r="C34" s="43" t="n">
        <v>8</v>
      </c>
      <c r="D34" s="43" t="s">
        <v>56</v>
      </c>
      <c r="E34" s="44" t="n">
        <v>144771</v>
      </c>
      <c r="F34" s="43" t="s">
        <v>519</v>
      </c>
      <c r="G34" s="43" t="s">
        <v>522</v>
      </c>
    </row>
    <row r="35" customFormat="false" ht="15" hidden="false" customHeight="false" outlineLevel="0" collapsed="false">
      <c r="A35" s="43" t="s">
        <v>62</v>
      </c>
      <c r="B35" s="43" t="n">
        <v>2024</v>
      </c>
      <c r="C35" s="43" t="n">
        <v>9</v>
      </c>
      <c r="D35" s="43" t="s">
        <v>57</v>
      </c>
      <c r="E35" s="44" t="n">
        <v>0</v>
      </c>
      <c r="F35" s="43" t="s">
        <v>519</v>
      </c>
      <c r="G35" s="43" t="s">
        <v>522</v>
      </c>
    </row>
    <row r="36" customFormat="false" ht="15" hidden="false" customHeight="false" outlineLevel="0" collapsed="false">
      <c r="A36" s="43" t="s">
        <v>62</v>
      </c>
      <c r="B36" s="43" t="n">
        <v>2024</v>
      </c>
      <c r="C36" s="43" t="n">
        <v>10</v>
      </c>
      <c r="D36" s="43" t="s">
        <v>58</v>
      </c>
      <c r="E36" s="44" t="n">
        <v>128801.09</v>
      </c>
      <c r="F36" s="43" t="s">
        <v>519</v>
      </c>
      <c r="G36" s="43" t="s">
        <v>522</v>
      </c>
    </row>
    <row r="37" customFormat="false" ht="15" hidden="false" customHeight="false" outlineLevel="0" collapsed="false">
      <c r="A37" s="43" t="s">
        <v>62</v>
      </c>
      <c r="B37" s="43" t="n">
        <v>2024</v>
      </c>
      <c r="C37" s="43" t="n">
        <v>11</v>
      </c>
      <c r="D37" s="43" t="s">
        <v>59</v>
      </c>
      <c r="E37" s="44" t="n">
        <v>58584</v>
      </c>
      <c r="F37" s="43" t="s">
        <v>519</v>
      </c>
      <c r="G37" s="43" t="s">
        <v>522</v>
      </c>
    </row>
    <row r="38" customFormat="false" ht="15" hidden="false" customHeight="false" outlineLevel="0" collapsed="false">
      <c r="A38" s="43" t="s">
        <v>62</v>
      </c>
      <c r="B38" s="43" t="n">
        <v>2024</v>
      </c>
      <c r="C38" s="43" t="n">
        <v>12</v>
      </c>
      <c r="D38" s="43" t="s">
        <v>60</v>
      </c>
      <c r="E38" s="44" t="n">
        <v>19954</v>
      </c>
      <c r="F38" s="43" t="s">
        <v>519</v>
      </c>
      <c r="G38" s="43" t="s">
        <v>522</v>
      </c>
    </row>
    <row r="39" customFormat="false" ht="15" hidden="false" customHeight="false" outlineLevel="0" collapsed="false">
      <c r="A39" s="43" t="s">
        <v>76</v>
      </c>
      <c r="B39" s="43" t="n">
        <v>2024</v>
      </c>
      <c r="C39" s="43" t="n">
        <v>1</v>
      </c>
      <c r="D39" s="43" t="s">
        <v>49</v>
      </c>
      <c r="E39" s="44" t="n">
        <v>0</v>
      </c>
      <c r="F39" s="43" t="s">
        <v>519</v>
      </c>
      <c r="G39" s="43" t="s">
        <v>522</v>
      </c>
    </row>
    <row r="40" customFormat="false" ht="15" hidden="false" customHeight="false" outlineLevel="0" collapsed="false">
      <c r="A40" s="43" t="s">
        <v>76</v>
      </c>
      <c r="B40" s="43" t="n">
        <v>2024</v>
      </c>
      <c r="C40" s="43" t="n">
        <v>2</v>
      </c>
      <c r="D40" s="43" t="s">
        <v>50</v>
      </c>
      <c r="E40" s="44" t="n">
        <v>0</v>
      </c>
      <c r="F40" s="43" t="s">
        <v>519</v>
      </c>
      <c r="G40" s="43" t="s">
        <v>522</v>
      </c>
    </row>
    <row r="41" customFormat="false" ht="15" hidden="false" customHeight="false" outlineLevel="0" collapsed="false">
      <c r="A41" s="43" t="s">
        <v>76</v>
      </c>
      <c r="B41" s="43" t="n">
        <v>2024</v>
      </c>
      <c r="C41" s="43" t="n">
        <v>3</v>
      </c>
      <c r="D41" s="43" t="s">
        <v>51</v>
      </c>
      <c r="E41" s="44" t="n">
        <v>0</v>
      </c>
      <c r="F41" s="43" t="s">
        <v>519</v>
      </c>
      <c r="G41" s="43" t="s">
        <v>522</v>
      </c>
    </row>
    <row r="42" customFormat="false" ht="15" hidden="false" customHeight="false" outlineLevel="0" collapsed="false">
      <c r="A42" s="43" t="s">
        <v>76</v>
      </c>
      <c r="B42" s="43" t="n">
        <v>2024</v>
      </c>
      <c r="C42" s="43" t="n">
        <v>4</v>
      </c>
      <c r="D42" s="43" t="s">
        <v>52</v>
      </c>
      <c r="E42" s="44" t="n">
        <v>0</v>
      </c>
      <c r="F42" s="43" t="s">
        <v>519</v>
      </c>
      <c r="G42" s="43" t="s">
        <v>522</v>
      </c>
    </row>
    <row r="43" customFormat="false" ht="15" hidden="false" customHeight="false" outlineLevel="0" collapsed="false">
      <c r="A43" s="43" t="s">
        <v>76</v>
      </c>
      <c r="B43" s="43" t="n">
        <v>2024</v>
      </c>
      <c r="C43" s="43" t="n">
        <v>5</v>
      </c>
      <c r="D43" s="43" t="s">
        <v>53</v>
      </c>
      <c r="E43" s="44" t="n">
        <v>0</v>
      </c>
      <c r="F43" s="43" t="s">
        <v>519</v>
      </c>
      <c r="G43" s="43" t="s">
        <v>522</v>
      </c>
    </row>
    <row r="44" customFormat="false" ht="15" hidden="false" customHeight="false" outlineLevel="0" collapsed="false">
      <c r="A44" s="43" t="s">
        <v>76</v>
      </c>
      <c r="B44" s="43" t="n">
        <v>2024</v>
      </c>
      <c r="C44" s="43" t="n">
        <v>6</v>
      </c>
      <c r="D44" s="43" t="s">
        <v>54</v>
      </c>
      <c r="E44" s="44" t="n">
        <v>0</v>
      </c>
      <c r="F44" s="43" t="s">
        <v>519</v>
      </c>
      <c r="G44" s="43" t="s">
        <v>522</v>
      </c>
    </row>
    <row r="45" customFormat="false" ht="15" hidden="false" customHeight="false" outlineLevel="0" collapsed="false">
      <c r="A45" s="43" t="s">
        <v>76</v>
      </c>
      <c r="B45" s="43" t="n">
        <v>2024</v>
      </c>
      <c r="C45" s="43" t="n">
        <v>7</v>
      </c>
      <c r="D45" s="43" t="s">
        <v>55</v>
      </c>
      <c r="E45" s="44" t="n">
        <v>0</v>
      </c>
      <c r="F45" s="43" t="s">
        <v>519</v>
      </c>
      <c r="G45" s="43" t="s">
        <v>522</v>
      </c>
    </row>
    <row r="46" customFormat="false" ht="15" hidden="false" customHeight="false" outlineLevel="0" collapsed="false">
      <c r="A46" s="43" t="s">
        <v>76</v>
      </c>
      <c r="B46" s="43" t="n">
        <v>2024</v>
      </c>
      <c r="C46" s="43" t="n">
        <v>8</v>
      </c>
      <c r="D46" s="43" t="s">
        <v>56</v>
      </c>
      <c r="E46" s="44" t="n">
        <v>0</v>
      </c>
      <c r="F46" s="43" t="s">
        <v>519</v>
      </c>
      <c r="G46" s="43" t="s">
        <v>522</v>
      </c>
    </row>
    <row r="47" customFormat="false" ht="15" hidden="false" customHeight="false" outlineLevel="0" collapsed="false">
      <c r="A47" s="43" t="s">
        <v>76</v>
      </c>
      <c r="B47" s="43" t="n">
        <v>2024</v>
      </c>
      <c r="C47" s="43" t="n">
        <v>9</v>
      </c>
      <c r="D47" s="43" t="s">
        <v>57</v>
      </c>
      <c r="E47" s="44" t="n">
        <v>0</v>
      </c>
      <c r="F47" s="43" t="s">
        <v>519</v>
      </c>
      <c r="G47" s="43" t="s">
        <v>522</v>
      </c>
    </row>
    <row r="48" customFormat="false" ht="15" hidden="false" customHeight="false" outlineLevel="0" collapsed="false">
      <c r="A48" s="43" t="s">
        <v>76</v>
      </c>
      <c r="B48" s="43" t="n">
        <v>2024</v>
      </c>
      <c r="C48" s="43" t="n">
        <v>10</v>
      </c>
      <c r="D48" s="43" t="s">
        <v>58</v>
      </c>
      <c r="E48" s="44" t="n">
        <v>76050</v>
      </c>
      <c r="F48" s="43" t="s">
        <v>519</v>
      </c>
      <c r="G48" s="43" t="s">
        <v>522</v>
      </c>
    </row>
    <row r="49" customFormat="false" ht="15" hidden="false" customHeight="false" outlineLevel="0" collapsed="false">
      <c r="A49" s="43" t="s">
        <v>76</v>
      </c>
      <c r="B49" s="43" t="n">
        <v>2024</v>
      </c>
      <c r="C49" s="43" t="n">
        <v>11</v>
      </c>
      <c r="D49" s="43" t="s">
        <v>59</v>
      </c>
      <c r="E49" s="44" t="n">
        <v>0</v>
      </c>
      <c r="F49" s="43" t="s">
        <v>519</v>
      </c>
      <c r="G49" s="43" t="s">
        <v>522</v>
      </c>
    </row>
    <row r="50" customFormat="false" ht="15" hidden="false" customHeight="false" outlineLevel="0" collapsed="false">
      <c r="A50" s="43" t="s">
        <v>76</v>
      </c>
      <c r="B50" s="43" t="n">
        <v>2024</v>
      </c>
      <c r="C50" s="43" t="n">
        <v>12</v>
      </c>
      <c r="D50" s="43" t="s">
        <v>60</v>
      </c>
      <c r="E50" s="44" t="n">
        <v>76050</v>
      </c>
      <c r="F50" s="43" t="s">
        <v>519</v>
      </c>
      <c r="G50" s="43" t="s">
        <v>522</v>
      </c>
    </row>
    <row r="51" customFormat="false" ht="15" hidden="false" customHeight="false" outlineLevel="0" collapsed="false">
      <c r="A51" s="43" t="s">
        <v>63</v>
      </c>
      <c r="B51" s="43" t="n">
        <v>2024</v>
      </c>
      <c r="C51" s="43" t="n">
        <v>1</v>
      </c>
      <c r="D51" s="43" t="s">
        <v>49</v>
      </c>
      <c r="E51" s="44" t="n">
        <v>0</v>
      </c>
      <c r="F51" s="43" t="s">
        <v>519</v>
      </c>
      <c r="G51" s="43" t="s">
        <v>522</v>
      </c>
    </row>
    <row r="52" customFormat="false" ht="15" hidden="false" customHeight="false" outlineLevel="0" collapsed="false">
      <c r="A52" s="43" t="s">
        <v>63</v>
      </c>
      <c r="B52" s="43" t="n">
        <v>2024</v>
      </c>
      <c r="C52" s="43" t="n">
        <v>2</v>
      </c>
      <c r="D52" s="43" t="s">
        <v>50</v>
      </c>
      <c r="E52" s="44" t="n">
        <v>52804</v>
      </c>
      <c r="F52" s="43" t="s">
        <v>519</v>
      </c>
      <c r="G52" s="43" t="s">
        <v>522</v>
      </c>
    </row>
    <row r="53" customFormat="false" ht="15" hidden="false" customHeight="false" outlineLevel="0" collapsed="false">
      <c r="A53" s="43" t="s">
        <v>63</v>
      </c>
      <c r="B53" s="43" t="n">
        <v>2024</v>
      </c>
      <c r="C53" s="43" t="n">
        <v>3</v>
      </c>
      <c r="D53" s="43" t="s">
        <v>51</v>
      </c>
      <c r="E53" s="44" t="n">
        <v>162983</v>
      </c>
      <c r="F53" s="43" t="s">
        <v>519</v>
      </c>
      <c r="G53" s="43" t="s">
        <v>522</v>
      </c>
    </row>
    <row r="54" customFormat="false" ht="15" hidden="false" customHeight="false" outlineLevel="0" collapsed="false">
      <c r="A54" s="43" t="s">
        <v>63</v>
      </c>
      <c r="B54" s="43" t="n">
        <v>2024</v>
      </c>
      <c r="C54" s="43" t="n">
        <v>4</v>
      </c>
      <c r="D54" s="43" t="s">
        <v>52</v>
      </c>
      <c r="E54" s="44" t="n">
        <v>102905</v>
      </c>
      <c r="F54" s="43" t="s">
        <v>519</v>
      </c>
      <c r="G54" s="43" t="s">
        <v>522</v>
      </c>
    </row>
    <row r="55" customFormat="false" ht="15" hidden="false" customHeight="false" outlineLevel="0" collapsed="false">
      <c r="A55" s="43" t="s">
        <v>63</v>
      </c>
      <c r="B55" s="43" t="n">
        <v>2024</v>
      </c>
      <c r="C55" s="43" t="n">
        <v>5</v>
      </c>
      <c r="D55" s="43" t="s">
        <v>53</v>
      </c>
      <c r="E55" s="44" t="n">
        <v>188600</v>
      </c>
      <c r="F55" s="43" t="s">
        <v>519</v>
      </c>
      <c r="G55" s="43" t="s">
        <v>522</v>
      </c>
    </row>
    <row r="56" customFormat="false" ht="15" hidden="false" customHeight="false" outlineLevel="0" collapsed="false">
      <c r="A56" s="43" t="s">
        <v>63</v>
      </c>
      <c r="B56" s="43" t="n">
        <v>2024</v>
      </c>
      <c r="C56" s="43" t="n">
        <v>6</v>
      </c>
      <c r="D56" s="43" t="s">
        <v>54</v>
      </c>
      <c r="E56" s="44" t="n">
        <v>44291</v>
      </c>
      <c r="F56" s="43" t="s">
        <v>519</v>
      </c>
      <c r="G56" s="43" t="s">
        <v>522</v>
      </c>
    </row>
    <row r="57" customFormat="false" ht="15" hidden="false" customHeight="false" outlineLevel="0" collapsed="false">
      <c r="A57" s="43" t="s">
        <v>63</v>
      </c>
      <c r="B57" s="43" t="n">
        <v>2024</v>
      </c>
      <c r="C57" s="43" t="n">
        <v>7</v>
      </c>
      <c r="D57" s="43" t="s">
        <v>55</v>
      </c>
      <c r="E57" s="44" t="n">
        <v>51739</v>
      </c>
      <c r="F57" s="43" t="s">
        <v>519</v>
      </c>
      <c r="G57" s="43" t="s">
        <v>522</v>
      </c>
    </row>
    <row r="58" customFormat="false" ht="15" hidden="false" customHeight="false" outlineLevel="0" collapsed="false">
      <c r="A58" s="43" t="s">
        <v>63</v>
      </c>
      <c r="B58" s="43" t="n">
        <v>2024</v>
      </c>
      <c r="C58" s="43" t="n">
        <v>8</v>
      </c>
      <c r="D58" s="43" t="s">
        <v>56</v>
      </c>
      <c r="E58" s="44" t="n">
        <v>149821</v>
      </c>
      <c r="F58" s="43" t="s">
        <v>519</v>
      </c>
      <c r="G58" s="43" t="s">
        <v>522</v>
      </c>
    </row>
    <row r="59" customFormat="false" ht="15" hidden="false" customHeight="false" outlineLevel="0" collapsed="false">
      <c r="A59" s="43" t="s">
        <v>63</v>
      </c>
      <c r="B59" s="43" t="n">
        <v>2024</v>
      </c>
      <c r="C59" s="43" t="n">
        <v>9</v>
      </c>
      <c r="D59" s="43" t="s">
        <v>57</v>
      </c>
      <c r="E59" s="44" t="n">
        <v>618366</v>
      </c>
      <c r="F59" s="43" t="s">
        <v>519</v>
      </c>
      <c r="G59" s="43" t="s">
        <v>522</v>
      </c>
    </row>
    <row r="60" customFormat="false" ht="15" hidden="false" customHeight="false" outlineLevel="0" collapsed="false">
      <c r="A60" s="43" t="s">
        <v>63</v>
      </c>
      <c r="B60" s="43" t="n">
        <v>2024</v>
      </c>
      <c r="C60" s="43" t="n">
        <v>10</v>
      </c>
      <c r="D60" s="43" t="s">
        <v>58</v>
      </c>
      <c r="E60" s="44" t="n">
        <v>0</v>
      </c>
      <c r="F60" s="43" t="s">
        <v>519</v>
      </c>
      <c r="G60" s="43" t="s">
        <v>522</v>
      </c>
    </row>
    <row r="61" customFormat="false" ht="15" hidden="false" customHeight="false" outlineLevel="0" collapsed="false">
      <c r="A61" s="43" t="s">
        <v>63</v>
      </c>
      <c r="B61" s="43" t="n">
        <v>2024</v>
      </c>
      <c r="C61" s="43" t="n">
        <v>11</v>
      </c>
      <c r="D61" s="43" t="s">
        <v>59</v>
      </c>
      <c r="E61" s="44" t="n">
        <v>45925</v>
      </c>
      <c r="F61" s="43" t="s">
        <v>519</v>
      </c>
      <c r="G61" s="43" t="s">
        <v>522</v>
      </c>
    </row>
    <row r="62" customFormat="false" ht="15" hidden="false" customHeight="false" outlineLevel="0" collapsed="false">
      <c r="A62" s="43" t="s">
        <v>63</v>
      </c>
      <c r="B62" s="43" t="n">
        <v>2024</v>
      </c>
      <c r="C62" s="43" t="n">
        <v>12</v>
      </c>
      <c r="D62" s="43" t="s">
        <v>60</v>
      </c>
      <c r="E62" s="44" t="n">
        <v>46040</v>
      </c>
      <c r="F62" s="43" t="s">
        <v>519</v>
      </c>
      <c r="G62" s="43" t="s">
        <v>522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9"/>
    <col collapsed="false" customWidth="true" hidden="false" outlineLevel="0" max="3" min="3" style="0" width="30"/>
    <col collapsed="false" customWidth="true" hidden="false" outlineLevel="0" max="4" min="4" style="0" width="36"/>
    <col collapsed="false" customWidth="true" hidden="false" outlineLevel="0" max="5" min="5" style="0" width="20"/>
    <col collapsed="false" customWidth="true" hidden="false" outlineLevel="0" max="6" min="6" style="0" width="40"/>
    <col collapsed="false" customWidth="true" hidden="false" outlineLevel="0" max="7" min="7" style="0" width="33"/>
  </cols>
  <sheetData>
    <row r="1" customFormat="false" ht="15" hidden="false" customHeight="false" outlineLevel="0" collapsed="false">
      <c r="A1" s="41" t="s">
        <v>523</v>
      </c>
    </row>
    <row r="2" customFormat="false" ht="15" hidden="false" customHeight="false" outlineLevel="0" collapsed="false">
      <c r="A2" s="42" t="s">
        <v>239</v>
      </c>
      <c r="B2" s="42" t="s">
        <v>508</v>
      </c>
      <c r="C2" s="42" t="s">
        <v>524</v>
      </c>
      <c r="D2" s="42" t="s">
        <v>525</v>
      </c>
      <c r="E2" s="42" t="s">
        <v>526</v>
      </c>
      <c r="F2" s="42" t="s">
        <v>512</v>
      </c>
      <c r="G2" s="42" t="s">
        <v>513</v>
      </c>
    </row>
    <row r="3" customFormat="false" ht="15" hidden="false" customHeight="false" outlineLevel="0" collapsed="false">
      <c r="A3" s="43" t="s">
        <v>527</v>
      </c>
      <c r="B3" s="43" t="s">
        <v>48</v>
      </c>
      <c r="C3" s="43" t="s">
        <v>95</v>
      </c>
      <c r="D3" s="43" t="s">
        <v>94</v>
      </c>
      <c r="E3" s="44" t="n">
        <v>36143</v>
      </c>
      <c r="F3" s="43" t="s">
        <v>528</v>
      </c>
      <c r="G3" s="43" t="s">
        <v>529</v>
      </c>
    </row>
    <row r="4" customFormat="false" ht="15" hidden="false" customHeight="false" outlineLevel="0" collapsed="false">
      <c r="A4" s="43" t="s">
        <v>530</v>
      </c>
      <c r="B4" s="43" t="s">
        <v>48</v>
      </c>
      <c r="C4" s="43" t="s">
        <v>99</v>
      </c>
      <c r="D4" s="43" t="s">
        <v>94</v>
      </c>
      <c r="E4" s="44" t="n">
        <v>47590</v>
      </c>
      <c r="F4" s="43" t="s">
        <v>528</v>
      </c>
      <c r="G4" s="43" t="s">
        <v>529</v>
      </c>
    </row>
    <row r="5" customFormat="false" ht="15" hidden="false" customHeight="false" outlineLevel="0" collapsed="false">
      <c r="A5" s="43" t="s">
        <v>531</v>
      </c>
      <c r="B5" s="43" t="s">
        <v>48</v>
      </c>
      <c r="C5" s="43" t="s">
        <v>96</v>
      </c>
      <c r="D5" s="43" t="s">
        <v>94</v>
      </c>
      <c r="E5" s="44" t="n">
        <v>254012</v>
      </c>
      <c r="F5" s="43" t="s">
        <v>528</v>
      </c>
      <c r="G5" s="43" t="s">
        <v>529</v>
      </c>
    </row>
    <row r="6" customFormat="false" ht="15" hidden="false" customHeight="false" outlineLevel="0" collapsed="false">
      <c r="A6" s="43" t="s">
        <v>532</v>
      </c>
      <c r="B6" s="43" t="s">
        <v>48</v>
      </c>
      <c r="C6" s="43" t="s">
        <v>95</v>
      </c>
      <c r="D6" s="43" t="s">
        <v>94</v>
      </c>
      <c r="E6" s="44" t="n">
        <v>132000</v>
      </c>
      <c r="F6" s="43" t="s">
        <v>528</v>
      </c>
      <c r="G6" s="43" t="s">
        <v>529</v>
      </c>
    </row>
    <row r="7" customFormat="false" ht="15" hidden="false" customHeight="false" outlineLevel="0" collapsed="false">
      <c r="A7" s="43" t="s">
        <v>533</v>
      </c>
      <c r="B7" s="43" t="s">
        <v>48</v>
      </c>
      <c r="C7" s="43" t="s">
        <v>98</v>
      </c>
      <c r="D7" s="43" t="s">
        <v>94</v>
      </c>
      <c r="E7" s="44" t="n">
        <v>121038.49</v>
      </c>
      <c r="F7" s="43" t="s">
        <v>528</v>
      </c>
      <c r="G7" s="43" t="s">
        <v>529</v>
      </c>
    </row>
    <row r="8" customFormat="false" ht="15" hidden="false" customHeight="false" outlineLevel="0" collapsed="false">
      <c r="A8" s="43" t="s">
        <v>534</v>
      </c>
      <c r="B8" s="43" t="s">
        <v>48</v>
      </c>
      <c r="C8" s="43" t="s">
        <v>102</v>
      </c>
      <c r="D8" s="43" t="s">
        <v>101</v>
      </c>
      <c r="E8" s="44" t="n">
        <v>900007.88</v>
      </c>
      <c r="F8" s="43" t="s">
        <v>528</v>
      </c>
      <c r="G8" s="43" t="s">
        <v>529</v>
      </c>
    </row>
    <row r="9" customFormat="false" ht="15" hidden="false" customHeight="false" outlineLevel="0" collapsed="false">
      <c r="A9" s="43" t="s">
        <v>535</v>
      </c>
      <c r="B9" s="43" t="s">
        <v>48</v>
      </c>
      <c r="C9" s="43" t="s">
        <v>95</v>
      </c>
      <c r="D9" s="43" t="s">
        <v>94</v>
      </c>
      <c r="E9" s="44" t="n">
        <v>272200.6</v>
      </c>
      <c r="F9" s="43" t="s">
        <v>528</v>
      </c>
      <c r="G9" s="43" t="s">
        <v>529</v>
      </c>
    </row>
    <row r="10" customFormat="false" ht="15" hidden="false" customHeight="false" outlineLevel="0" collapsed="false">
      <c r="A10" s="43" t="s">
        <v>536</v>
      </c>
      <c r="B10" s="43" t="s">
        <v>61</v>
      </c>
      <c r="C10" s="43" t="s">
        <v>95</v>
      </c>
      <c r="D10" s="43" t="s">
        <v>94</v>
      </c>
      <c r="E10" s="44" t="n">
        <v>87520</v>
      </c>
      <c r="F10" s="43" t="s">
        <v>528</v>
      </c>
      <c r="G10" s="43" t="s">
        <v>529</v>
      </c>
    </row>
    <row r="11" customFormat="false" ht="15" hidden="false" customHeight="false" outlineLevel="0" collapsed="false">
      <c r="A11" s="43" t="s">
        <v>537</v>
      </c>
      <c r="B11" s="43" t="s">
        <v>63</v>
      </c>
      <c r="C11" s="43" t="s">
        <v>98</v>
      </c>
      <c r="D11" s="43" t="s">
        <v>94</v>
      </c>
      <c r="E11" s="44" t="n">
        <v>481541</v>
      </c>
      <c r="F11" s="43" t="s">
        <v>528</v>
      </c>
      <c r="G11" s="43" t="s">
        <v>529</v>
      </c>
    </row>
    <row r="12" customFormat="false" ht="15" hidden="false" customHeight="false" outlineLevel="0" collapsed="false">
      <c r="A12" s="43" t="s">
        <v>538</v>
      </c>
      <c r="B12" s="43" t="s">
        <v>62</v>
      </c>
      <c r="C12" s="43" t="s">
        <v>96</v>
      </c>
      <c r="D12" s="43" t="s">
        <v>94</v>
      </c>
      <c r="E12" s="44" t="n">
        <v>310000</v>
      </c>
      <c r="F12" s="43" t="s">
        <v>528</v>
      </c>
      <c r="G12" s="43" t="s">
        <v>529</v>
      </c>
    </row>
    <row r="13" customFormat="false" ht="15" hidden="false" customHeight="false" outlineLevel="0" collapsed="false">
      <c r="A13" s="43" t="s">
        <v>539</v>
      </c>
      <c r="B13" s="43" t="s">
        <v>61</v>
      </c>
      <c r="C13" s="43" t="s">
        <v>98</v>
      </c>
      <c r="D13" s="43" t="s">
        <v>94</v>
      </c>
      <c r="E13" s="44" t="n">
        <v>295769</v>
      </c>
      <c r="F13" s="43" t="s">
        <v>528</v>
      </c>
      <c r="G13" s="43" t="s">
        <v>529</v>
      </c>
    </row>
    <row r="14" customFormat="false" ht="15" hidden="false" customHeight="false" outlineLevel="0" collapsed="false">
      <c r="A14" s="43" t="s">
        <v>540</v>
      </c>
      <c r="B14" s="43" t="s">
        <v>48</v>
      </c>
      <c r="C14" s="43" t="s">
        <v>96</v>
      </c>
      <c r="D14" s="43" t="s">
        <v>94</v>
      </c>
      <c r="E14" s="44" t="n">
        <v>134445.67</v>
      </c>
      <c r="F14" s="43" t="s">
        <v>528</v>
      </c>
      <c r="G14" s="43" t="s">
        <v>529</v>
      </c>
    </row>
    <row r="15" customFormat="false" ht="15" hidden="false" customHeight="false" outlineLevel="0" collapsed="false">
      <c r="A15" s="43" t="s">
        <v>541</v>
      </c>
      <c r="B15" s="43" t="s">
        <v>48</v>
      </c>
      <c r="C15" s="43" t="s">
        <v>102</v>
      </c>
      <c r="D15" s="43" t="s">
        <v>101</v>
      </c>
      <c r="E15" s="44" t="n">
        <v>904853</v>
      </c>
      <c r="F15" s="43" t="s">
        <v>528</v>
      </c>
      <c r="G15" s="43" t="s">
        <v>529</v>
      </c>
    </row>
    <row r="16" customFormat="false" ht="15" hidden="false" customHeight="false" outlineLevel="0" collapsed="false">
      <c r="A16" s="43" t="s">
        <v>542</v>
      </c>
      <c r="B16" s="43" t="s">
        <v>48</v>
      </c>
      <c r="C16" s="43" t="s">
        <v>99</v>
      </c>
      <c r="D16" s="43" t="s">
        <v>94</v>
      </c>
      <c r="E16" s="44" t="n">
        <v>62417</v>
      </c>
      <c r="F16" s="43" t="s">
        <v>528</v>
      </c>
      <c r="G16" s="43" t="s">
        <v>529</v>
      </c>
    </row>
    <row r="17" customFormat="false" ht="15" hidden="false" customHeight="false" outlineLevel="0" collapsed="false">
      <c r="A17" s="43" t="s">
        <v>543</v>
      </c>
      <c r="B17" s="43" t="s">
        <v>48</v>
      </c>
      <c r="C17" s="43" t="s">
        <v>95</v>
      </c>
      <c r="D17" s="43" t="s">
        <v>94</v>
      </c>
      <c r="E17" s="44" t="n">
        <v>183430</v>
      </c>
      <c r="F17" s="43" t="s">
        <v>528</v>
      </c>
      <c r="G17" s="43" t="s">
        <v>529</v>
      </c>
    </row>
    <row r="18" customFormat="false" ht="15" hidden="false" customHeight="false" outlineLevel="0" collapsed="false">
      <c r="A18" s="43" t="s">
        <v>544</v>
      </c>
      <c r="B18" s="43" t="s">
        <v>61</v>
      </c>
      <c r="C18" s="43" t="s">
        <v>103</v>
      </c>
      <c r="D18" s="43" t="s">
        <v>101</v>
      </c>
      <c r="E18" s="44" t="n">
        <v>248031</v>
      </c>
      <c r="F18" s="43" t="s">
        <v>528</v>
      </c>
      <c r="G18" s="43" t="s">
        <v>529</v>
      </c>
    </row>
    <row r="19" customFormat="false" ht="15" hidden="false" customHeight="false" outlineLevel="0" collapsed="false">
      <c r="A19" s="43" t="s">
        <v>545</v>
      </c>
      <c r="B19" s="43" t="s">
        <v>62</v>
      </c>
      <c r="C19" s="43" t="s">
        <v>96</v>
      </c>
      <c r="D19" s="43" t="s">
        <v>94</v>
      </c>
      <c r="E19" s="44" t="n">
        <v>330410</v>
      </c>
      <c r="F19" s="43" t="s">
        <v>528</v>
      </c>
      <c r="G19" s="43" t="s">
        <v>529</v>
      </c>
    </row>
    <row r="20" customFormat="false" ht="15" hidden="false" customHeight="false" outlineLevel="0" collapsed="false">
      <c r="A20" s="43" t="s">
        <v>546</v>
      </c>
      <c r="B20" s="43" t="s">
        <v>61</v>
      </c>
      <c r="C20" s="43" t="s">
        <v>95</v>
      </c>
      <c r="D20" s="43" t="s">
        <v>94</v>
      </c>
      <c r="E20" s="44" t="n">
        <v>184000</v>
      </c>
      <c r="F20" s="43" t="s">
        <v>528</v>
      </c>
      <c r="G20" s="43" t="s">
        <v>529</v>
      </c>
    </row>
    <row r="21" customFormat="false" ht="15" hidden="false" customHeight="false" outlineLevel="0" collapsed="false">
      <c r="A21" s="43" t="s">
        <v>547</v>
      </c>
      <c r="B21" s="43" t="s">
        <v>61</v>
      </c>
      <c r="C21" s="43" t="s">
        <v>103</v>
      </c>
      <c r="D21" s="43" t="s">
        <v>101</v>
      </c>
      <c r="E21" s="44" t="n">
        <v>600000</v>
      </c>
      <c r="F21" s="43" t="s">
        <v>528</v>
      </c>
      <c r="G21" s="43" t="s">
        <v>529</v>
      </c>
    </row>
    <row r="22" customFormat="false" ht="15" hidden="false" customHeight="false" outlineLevel="0" collapsed="false">
      <c r="A22" s="43" t="s">
        <v>548</v>
      </c>
      <c r="B22" s="43" t="s">
        <v>48</v>
      </c>
      <c r="C22" s="43" t="s">
        <v>96</v>
      </c>
      <c r="D22" s="43" t="s">
        <v>94</v>
      </c>
      <c r="E22" s="44" t="n">
        <v>198920</v>
      </c>
      <c r="F22" s="43" t="s">
        <v>528</v>
      </c>
      <c r="G22" s="43" t="s">
        <v>529</v>
      </c>
    </row>
    <row r="23" customFormat="false" ht="15" hidden="false" customHeight="false" outlineLevel="0" collapsed="false">
      <c r="A23" s="43" t="s">
        <v>549</v>
      </c>
      <c r="B23" s="43" t="s">
        <v>48</v>
      </c>
      <c r="C23" s="43" t="s">
        <v>100</v>
      </c>
      <c r="D23" s="43" t="s">
        <v>94</v>
      </c>
      <c r="E23" s="44" t="n">
        <v>47808</v>
      </c>
      <c r="F23" s="43" t="s">
        <v>528</v>
      </c>
      <c r="G23" s="43" t="s">
        <v>529</v>
      </c>
    </row>
    <row r="24" customFormat="false" ht="15" hidden="false" customHeight="false" outlineLevel="0" collapsed="false">
      <c r="A24" s="43" t="s">
        <v>550</v>
      </c>
      <c r="B24" s="43" t="s">
        <v>62</v>
      </c>
      <c r="C24" s="43" t="s">
        <v>102</v>
      </c>
      <c r="D24" s="43" t="s">
        <v>101</v>
      </c>
      <c r="E24" s="44" t="n">
        <v>147935</v>
      </c>
      <c r="F24" s="43" t="s">
        <v>528</v>
      </c>
      <c r="G24" s="43" t="s">
        <v>529</v>
      </c>
    </row>
    <row r="25" customFormat="false" ht="15" hidden="false" customHeight="false" outlineLevel="0" collapsed="false">
      <c r="A25" s="43" t="s">
        <v>551</v>
      </c>
      <c r="B25" s="43" t="s">
        <v>61</v>
      </c>
      <c r="C25" s="43" t="s">
        <v>95</v>
      </c>
      <c r="D25" s="43" t="s">
        <v>94</v>
      </c>
      <c r="E25" s="44" t="n">
        <v>60000</v>
      </c>
      <c r="F25" s="43" t="s">
        <v>528</v>
      </c>
      <c r="G25" s="43" t="s">
        <v>529</v>
      </c>
    </row>
    <row r="26" customFormat="false" ht="15" hidden="false" customHeight="false" outlineLevel="0" collapsed="false">
      <c r="A26" s="43" t="s">
        <v>552</v>
      </c>
      <c r="B26" s="43" t="s">
        <v>63</v>
      </c>
      <c r="C26" s="43" t="s">
        <v>100</v>
      </c>
      <c r="D26" s="43" t="s">
        <v>94</v>
      </c>
      <c r="E26" s="44" t="n">
        <v>350000</v>
      </c>
      <c r="F26" s="43" t="s">
        <v>528</v>
      </c>
      <c r="G26" s="43" t="s">
        <v>529</v>
      </c>
    </row>
    <row r="27" customFormat="false" ht="15" hidden="false" customHeight="false" outlineLevel="0" collapsed="false">
      <c r="A27" s="43" t="s">
        <v>553</v>
      </c>
      <c r="B27" s="43" t="s">
        <v>62</v>
      </c>
      <c r="C27" s="43" t="s">
        <v>96</v>
      </c>
      <c r="D27" s="43" t="s">
        <v>94</v>
      </c>
      <c r="E27" s="44" t="n">
        <v>108000</v>
      </c>
      <c r="F27" s="43" t="s">
        <v>528</v>
      </c>
      <c r="G27" s="43" t="s">
        <v>529</v>
      </c>
    </row>
    <row r="28" customFormat="false" ht="15" hidden="false" customHeight="false" outlineLevel="0" collapsed="false">
      <c r="A28" s="43" t="s">
        <v>554</v>
      </c>
      <c r="B28" s="43" t="s">
        <v>61</v>
      </c>
      <c r="C28" s="43" t="s">
        <v>102</v>
      </c>
      <c r="D28" s="43" t="s">
        <v>101</v>
      </c>
      <c r="E28" s="44" t="n">
        <v>1100000</v>
      </c>
      <c r="F28" s="43" t="s">
        <v>528</v>
      </c>
      <c r="G28" s="43" t="s">
        <v>529</v>
      </c>
    </row>
    <row r="29" customFormat="false" ht="15" hidden="false" customHeight="false" outlineLevel="0" collapsed="false">
      <c r="A29" s="43" t="s">
        <v>555</v>
      </c>
      <c r="B29" s="43" t="s">
        <v>61</v>
      </c>
      <c r="C29" s="43" t="s">
        <v>98</v>
      </c>
      <c r="D29" s="43" t="s">
        <v>94</v>
      </c>
      <c r="E29" s="44" t="n">
        <v>600000</v>
      </c>
      <c r="F29" s="43" t="s">
        <v>528</v>
      </c>
      <c r="G29" s="43" t="s">
        <v>529</v>
      </c>
    </row>
    <row r="30" customFormat="false" ht="15" hidden="false" customHeight="false" outlineLevel="0" collapsed="false">
      <c r="A30" s="43" t="s">
        <v>556</v>
      </c>
      <c r="B30" s="43" t="s">
        <v>48</v>
      </c>
      <c r="C30" s="43" t="s">
        <v>100</v>
      </c>
      <c r="D30" s="43" t="s">
        <v>94</v>
      </c>
      <c r="E30" s="44" t="n">
        <v>0</v>
      </c>
      <c r="F30" s="43" t="s">
        <v>528</v>
      </c>
      <c r="G30" s="43" t="s">
        <v>529</v>
      </c>
    </row>
    <row r="31" customFormat="false" ht="15" hidden="false" customHeight="false" outlineLevel="0" collapsed="false">
      <c r="A31" s="43" t="s">
        <v>557</v>
      </c>
      <c r="B31" s="43" t="s">
        <v>48</v>
      </c>
      <c r="C31" s="43" t="s">
        <v>95</v>
      </c>
      <c r="D31" s="43" t="s">
        <v>94</v>
      </c>
      <c r="E31" s="44" t="n">
        <v>300000</v>
      </c>
      <c r="F31" s="43" t="s">
        <v>528</v>
      </c>
      <c r="G31" s="43" t="s">
        <v>529</v>
      </c>
    </row>
    <row r="32" customFormat="false" ht="15" hidden="false" customHeight="false" outlineLevel="0" collapsed="false">
      <c r="A32" s="43" t="s">
        <v>558</v>
      </c>
      <c r="B32" s="43" t="s">
        <v>63</v>
      </c>
      <c r="C32" s="43" t="s">
        <v>100</v>
      </c>
      <c r="D32" s="43" t="s">
        <v>94</v>
      </c>
      <c r="E32" s="44" t="n">
        <v>300000</v>
      </c>
      <c r="F32" s="43" t="s">
        <v>528</v>
      </c>
      <c r="G32" s="43" t="s">
        <v>529</v>
      </c>
    </row>
    <row r="33" customFormat="false" ht="15" hidden="false" customHeight="false" outlineLevel="0" collapsed="false">
      <c r="A33" s="43" t="s">
        <v>559</v>
      </c>
      <c r="B33" s="43" t="s">
        <v>48</v>
      </c>
      <c r="C33" s="43" t="s">
        <v>96</v>
      </c>
      <c r="D33" s="43" t="s">
        <v>94</v>
      </c>
      <c r="E33" s="44" t="n">
        <v>300000</v>
      </c>
      <c r="F33" s="43" t="s">
        <v>528</v>
      </c>
      <c r="G33" s="43" t="s">
        <v>529</v>
      </c>
    </row>
    <row r="34" customFormat="false" ht="15" hidden="false" customHeight="false" outlineLevel="0" collapsed="false">
      <c r="A34" s="43" t="s">
        <v>560</v>
      </c>
      <c r="B34" s="43" t="s">
        <v>48</v>
      </c>
      <c r="C34" s="43" t="s">
        <v>102</v>
      </c>
      <c r="D34" s="43" t="s">
        <v>101</v>
      </c>
      <c r="E34" s="44" t="n">
        <v>1300000</v>
      </c>
      <c r="F34" s="43" t="s">
        <v>528</v>
      </c>
      <c r="G34" s="43" t="s">
        <v>529</v>
      </c>
    </row>
    <row r="35" customFormat="false" ht="15" hidden="false" customHeight="false" outlineLevel="0" collapsed="false">
      <c r="A35" s="43" t="s">
        <v>561</v>
      </c>
      <c r="B35" s="43" t="s">
        <v>62</v>
      </c>
      <c r="C35" s="43" t="s">
        <v>97</v>
      </c>
      <c r="D35" s="43" t="s">
        <v>94</v>
      </c>
      <c r="E35" s="44" t="n">
        <v>490000</v>
      </c>
      <c r="F35" s="43" t="s">
        <v>528</v>
      </c>
      <c r="G35" s="43" t="s">
        <v>529</v>
      </c>
    </row>
    <row r="36" customFormat="false" ht="15" hidden="false" customHeight="false" outlineLevel="0" collapsed="false">
      <c r="A36" s="43" t="s">
        <v>562</v>
      </c>
      <c r="B36" s="43" t="s">
        <v>62</v>
      </c>
      <c r="C36" s="43" t="s">
        <v>102</v>
      </c>
      <c r="D36" s="43" t="s">
        <v>101</v>
      </c>
      <c r="E36" s="44" t="n">
        <v>2400000</v>
      </c>
      <c r="F36" s="43" t="s">
        <v>528</v>
      </c>
      <c r="G36" s="43" t="s">
        <v>529</v>
      </c>
    </row>
    <row r="37" customFormat="false" ht="15" hidden="false" customHeight="false" outlineLevel="0" collapsed="false">
      <c r="A37" s="43" t="s">
        <v>563</v>
      </c>
      <c r="B37" s="43" t="s">
        <v>48</v>
      </c>
      <c r="C37" s="43" t="s">
        <v>96</v>
      </c>
      <c r="D37" s="43" t="s">
        <v>94</v>
      </c>
      <c r="E37" s="44" t="n">
        <v>160000</v>
      </c>
      <c r="F37" s="43" t="s">
        <v>528</v>
      </c>
      <c r="G37" s="43" t="s">
        <v>529</v>
      </c>
    </row>
    <row r="38" customFormat="false" ht="15" hidden="false" customHeight="false" outlineLevel="0" collapsed="false">
      <c r="A38" s="43" t="s">
        <v>564</v>
      </c>
      <c r="B38" s="43" t="s">
        <v>48</v>
      </c>
      <c r="C38" s="43" t="s">
        <v>100</v>
      </c>
      <c r="D38" s="43" t="s">
        <v>94</v>
      </c>
      <c r="E38" s="44" t="n">
        <v>500000</v>
      </c>
      <c r="F38" s="43" t="s">
        <v>528</v>
      </c>
      <c r="G38" s="43" t="s">
        <v>529</v>
      </c>
    </row>
    <row r="39" customFormat="false" ht="15" hidden="false" customHeight="false" outlineLevel="0" collapsed="false">
      <c r="A39" s="43" t="s">
        <v>565</v>
      </c>
      <c r="B39" s="43" t="s">
        <v>62</v>
      </c>
      <c r="C39" s="43" t="s">
        <v>102</v>
      </c>
      <c r="D39" s="43" t="s">
        <v>101</v>
      </c>
      <c r="E39" s="44" t="n">
        <v>890000</v>
      </c>
      <c r="F39" s="43" t="s">
        <v>528</v>
      </c>
      <c r="G39" s="43" t="s">
        <v>529</v>
      </c>
    </row>
    <row r="40" customFormat="false" ht="15" hidden="false" customHeight="false" outlineLevel="0" collapsed="false">
      <c r="A40" s="43" t="s">
        <v>566</v>
      </c>
      <c r="B40" s="43" t="s">
        <v>62</v>
      </c>
      <c r="C40" s="43" t="s">
        <v>100</v>
      </c>
      <c r="D40" s="43" t="s">
        <v>94</v>
      </c>
      <c r="E40" s="44" t="n">
        <v>180000</v>
      </c>
      <c r="F40" s="43" t="s">
        <v>528</v>
      </c>
      <c r="G40" s="43" t="s">
        <v>529</v>
      </c>
    </row>
    <row r="41" customFormat="false" ht="15" hidden="false" customHeight="false" outlineLevel="0" collapsed="false">
      <c r="A41" s="43" t="s">
        <v>567</v>
      </c>
      <c r="B41" s="43" t="s">
        <v>62</v>
      </c>
      <c r="C41" s="43" t="s">
        <v>100</v>
      </c>
      <c r="D41" s="43" t="s">
        <v>94</v>
      </c>
      <c r="E41" s="44" t="n">
        <v>150000</v>
      </c>
      <c r="F41" s="43" t="s">
        <v>528</v>
      </c>
      <c r="G41" s="43" t="s">
        <v>529</v>
      </c>
    </row>
    <row r="42" customFormat="false" ht="15" hidden="false" customHeight="false" outlineLevel="0" collapsed="false">
      <c r="A42" s="43" t="s">
        <v>568</v>
      </c>
      <c r="B42" s="43" t="s">
        <v>48</v>
      </c>
      <c r="C42" s="43" t="s">
        <v>102</v>
      </c>
      <c r="D42" s="43" t="s">
        <v>101</v>
      </c>
      <c r="E42" s="44" t="n">
        <v>300000</v>
      </c>
      <c r="F42" s="43" t="s">
        <v>528</v>
      </c>
      <c r="G42" s="43" t="s">
        <v>529</v>
      </c>
    </row>
    <row r="43" customFormat="false" ht="15" hidden="false" customHeight="false" outlineLevel="0" collapsed="false">
      <c r="A43" s="43" t="s">
        <v>569</v>
      </c>
      <c r="B43" s="43" t="s">
        <v>61</v>
      </c>
      <c r="C43" s="43" t="s">
        <v>100</v>
      </c>
      <c r="D43" s="43" t="s">
        <v>94</v>
      </c>
      <c r="E43" s="44" t="n">
        <v>180000</v>
      </c>
      <c r="F43" s="43" t="s">
        <v>528</v>
      </c>
      <c r="G43" s="43" t="s">
        <v>529</v>
      </c>
    </row>
    <row r="44" customFormat="false" ht="15" hidden="false" customHeight="false" outlineLevel="0" collapsed="false">
      <c r="A44" s="43" t="s">
        <v>570</v>
      </c>
      <c r="B44" s="43" t="s">
        <v>61</v>
      </c>
      <c r="C44" s="43" t="s">
        <v>100</v>
      </c>
      <c r="D44" s="43" t="s">
        <v>94</v>
      </c>
      <c r="E44" s="44" t="n">
        <v>120000</v>
      </c>
      <c r="F44" s="43" t="s">
        <v>528</v>
      </c>
      <c r="G44" s="43" t="s">
        <v>529</v>
      </c>
    </row>
    <row r="45" customFormat="false" ht="15" hidden="false" customHeight="false" outlineLevel="0" collapsed="false">
      <c r="A45" s="43" t="s">
        <v>571</v>
      </c>
      <c r="B45" s="43" t="s">
        <v>62</v>
      </c>
      <c r="C45" s="43" t="s">
        <v>102</v>
      </c>
      <c r="D45" s="43" t="s">
        <v>101</v>
      </c>
      <c r="E45" s="44" t="n">
        <v>700000</v>
      </c>
      <c r="F45" s="43" t="s">
        <v>528</v>
      </c>
      <c r="G45" s="43" t="s">
        <v>529</v>
      </c>
    </row>
    <row r="46" customFormat="false" ht="15" hidden="false" customHeight="false" outlineLevel="0" collapsed="false">
      <c r="A46" s="43" t="s">
        <v>572</v>
      </c>
      <c r="B46" s="43" t="s">
        <v>61</v>
      </c>
      <c r="C46" s="43" t="s">
        <v>100</v>
      </c>
      <c r="D46" s="43" t="s">
        <v>94</v>
      </c>
      <c r="E46" s="44" t="n">
        <v>150000</v>
      </c>
      <c r="F46" s="43" t="s">
        <v>528</v>
      </c>
      <c r="G46" s="43" t="s">
        <v>529</v>
      </c>
    </row>
    <row r="47" customFormat="false" ht="15" hidden="false" customHeight="false" outlineLevel="0" collapsed="false">
      <c r="A47" s="43" t="s">
        <v>573</v>
      </c>
      <c r="B47" s="43" t="s">
        <v>62</v>
      </c>
      <c r="C47" s="43" t="s">
        <v>100</v>
      </c>
      <c r="D47" s="43" t="s">
        <v>94</v>
      </c>
      <c r="E47" s="44" t="n">
        <v>490000</v>
      </c>
      <c r="F47" s="43" t="s">
        <v>528</v>
      </c>
      <c r="G47" s="43" t="s">
        <v>529</v>
      </c>
    </row>
    <row r="48" customFormat="false" ht="15" hidden="false" customHeight="false" outlineLevel="0" collapsed="false">
      <c r="A48" s="43" t="s">
        <v>574</v>
      </c>
      <c r="B48" s="43" t="s">
        <v>63</v>
      </c>
      <c r="C48" s="43" t="s">
        <v>98</v>
      </c>
      <c r="D48" s="43" t="s">
        <v>94</v>
      </c>
      <c r="E48" s="44" t="n">
        <v>1500000</v>
      </c>
      <c r="F48" s="43" t="s">
        <v>528</v>
      </c>
      <c r="G48" s="43" t="s">
        <v>529</v>
      </c>
    </row>
    <row r="49" customFormat="false" ht="15" hidden="false" customHeight="false" outlineLevel="0" collapsed="false">
      <c r="A49" s="43" t="s">
        <v>575</v>
      </c>
      <c r="B49" s="43" t="s">
        <v>63</v>
      </c>
      <c r="C49" s="43" t="s">
        <v>100</v>
      </c>
      <c r="D49" s="43" t="s">
        <v>94</v>
      </c>
      <c r="E49" s="44" t="n">
        <v>40000</v>
      </c>
      <c r="F49" s="43" t="s">
        <v>528</v>
      </c>
      <c r="G49" s="43" t="s">
        <v>529</v>
      </c>
    </row>
    <row r="50" customFormat="false" ht="15" hidden="false" customHeight="false" outlineLevel="0" collapsed="false">
      <c r="A50" s="43" t="s">
        <v>576</v>
      </c>
      <c r="B50" s="43" t="s">
        <v>48</v>
      </c>
      <c r="C50" s="43" t="s">
        <v>100</v>
      </c>
      <c r="D50" s="43" t="s">
        <v>94</v>
      </c>
      <c r="E50" s="44" t="n">
        <v>200000</v>
      </c>
      <c r="F50" s="43" t="s">
        <v>528</v>
      </c>
      <c r="G50" s="43" t="s">
        <v>529</v>
      </c>
    </row>
    <row r="51" customFormat="false" ht="15" hidden="false" customHeight="false" outlineLevel="0" collapsed="false">
      <c r="A51" s="43" t="s">
        <v>577</v>
      </c>
      <c r="B51" s="43" t="s">
        <v>61</v>
      </c>
      <c r="C51" s="43" t="s">
        <v>100</v>
      </c>
      <c r="D51" s="43" t="s">
        <v>94</v>
      </c>
      <c r="E51" s="44" t="n">
        <v>150000</v>
      </c>
      <c r="F51" s="43" t="s">
        <v>528</v>
      </c>
      <c r="G51" s="43" t="s">
        <v>529</v>
      </c>
    </row>
    <row r="52" customFormat="false" ht="15" hidden="false" customHeight="false" outlineLevel="0" collapsed="false">
      <c r="A52" s="43" t="s">
        <v>578</v>
      </c>
      <c r="B52" s="43" t="s">
        <v>61</v>
      </c>
      <c r="C52" s="43" t="s">
        <v>96</v>
      </c>
      <c r="D52" s="43" t="s">
        <v>94</v>
      </c>
      <c r="E52" s="44" t="n">
        <v>180000</v>
      </c>
      <c r="F52" s="43" t="s">
        <v>528</v>
      </c>
      <c r="G52" s="43" t="s">
        <v>529</v>
      </c>
    </row>
    <row r="53" customFormat="false" ht="15" hidden="false" customHeight="false" outlineLevel="0" collapsed="false">
      <c r="A53" s="43" t="s">
        <v>579</v>
      </c>
      <c r="B53" s="43" t="s">
        <v>61</v>
      </c>
      <c r="C53" s="43" t="s">
        <v>102</v>
      </c>
      <c r="D53" s="43" t="s">
        <v>101</v>
      </c>
      <c r="E53" s="44" t="n">
        <v>350000</v>
      </c>
      <c r="F53" s="43" t="s">
        <v>528</v>
      </c>
      <c r="G53" s="43" t="s">
        <v>529</v>
      </c>
    </row>
    <row r="54" customFormat="false" ht="15" hidden="false" customHeight="false" outlineLevel="0" collapsed="false">
      <c r="A54" s="43" t="s">
        <v>580</v>
      </c>
      <c r="B54" s="43" t="s">
        <v>61</v>
      </c>
      <c r="C54" s="43" t="s">
        <v>95</v>
      </c>
      <c r="D54" s="43" t="s">
        <v>94</v>
      </c>
      <c r="E54" s="44" t="n">
        <v>91000</v>
      </c>
      <c r="F54" s="43" t="s">
        <v>528</v>
      </c>
      <c r="G54" s="43" t="s">
        <v>529</v>
      </c>
    </row>
    <row r="55" customFormat="false" ht="15" hidden="false" customHeight="false" outlineLevel="0" collapsed="false">
      <c r="A55" s="43" t="s">
        <v>581</v>
      </c>
      <c r="B55" s="43" t="s">
        <v>61</v>
      </c>
      <c r="C55" s="43" t="s">
        <v>102</v>
      </c>
      <c r="D55" s="43" t="s">
        <v>101</v>
      </c>
      <c r="E55" s="44" t="n">
        <v>100000</v>
      </c>
      <c r="F55" s="43" t="s">
        <v>528</v>
      </c>
      <c r="G55" s="43" t="s">
        <v>529</v>
      </c>
    </row>
    <row r="56" customFormat="false" ht="15" hidden="false" customHeight="false" outlineLevel="0" collapsed="false">
      <c r="A56" s="43" t="s">
        <v>582</v>
      </c>
      <c r="B56" s="43" t="s">
        <v>48</v>
      </c>
      <c r="C56" s="43" t="s">
        <v>95</v>
      </c>
      <c r="D56" s="43" t="s">
        <v>94</v>
      </c>
      <c r="E56" s="44" t="n">
        <v>120000</v>
      </c>
      <c r="F56" s="43" t="s">
        <v>528</v>
      </c>
      <c r="G56" s="43" t="s">
        <v>529</v>
      </c>
    </row>
    <row r="57" customFormat="false" ht="15" hidden="false" customHeight="false" outlineLevel="0" collapsed="false">
      <c r="A57" s="43" t="s">
        <v>582</v>
      </c>
      <c r="B57" s="43" t="s">
        <v>48</v>
      </c>
      <c r="C57" s="43" t="s">
        <v>95</v>
      </c>
      <c r="D57" s="43" t="s">
        <v>94</v>
      </c>
      <c r="E57" s="44" t="n">
        <v>120000</v>
      </c>
      <c r="F57" s="43" t="s">
        <v>528</v>
      </c>
      <c r="G57" s="43" t="s">
        <v>529</v>
      </c>
    </row>
    <row r="58" customFormat="false" ht="15" hidden="false" customHeight="false" outlineLevel="0" collapsed="false">
      <c r="A58" s="43" t="s">
        <v>583</v>
      </c>
      <c r="B58" s="43" t="s">
        <v>62</v>
      </c>
      <c r="C58" s="43" t="s">
        <v>100</v>
      </c>
      <c r="D58" s="43" t="s">
        <v>94</v>
      </c>
      <c r="E58" s="44" t="n">
        <v>85000</v>
      </c>
      <c r="F58" s="43" t="s">
        <v>528</v>
      </c>
      <c r="G58" s="43" t="s">
        <v>529</v>
      </c>
    </row>
    <row r="59" customFormat="false" ht="15" hidden="false" customHeight="false" outlineLevel="0" collapsed="false">
      <c r="A59" s="43" t="s">
        <v>584</v>
      </c>
      <c r="B59" s="43" t="s">
        <v>62</v>
      </c>
      <c r="C59" s="43" t="s">
        <v>95</v>
      </c>
      <c r="D59" s="43" t="s">
        <v>94</v>
      </c>
      <c r="E59" s="44" t="n">
        <v>145000</v>
      </c>
      <c r="F59" s="43" t="s">
        <v>528</v>
      </c>
      <c r="G59" s="43" t="s">
        <v>529</v>
      </c>
    </row>
    <row r="60" customFormat="false" ht="15" hidden="false" customHeight="false" outlineLevel="0" collapsed="false">
      <c r="A60" s="43" t="s">
        <v>585</v>
      </c>
      <c r="B60" s="43" t="s">
        <v>61</v>
      </c>
      <c r="C60" s="43" t="s">
        <v>95</v>
      </c>
      <c r="D60" s="43" t="s">
        <v>94</v>
      </c>
      <c r="E60" s="44" t="n">
        <v>197494</v>
      </c>
      <c r="F60" s="43" t="s">
        <v>528</v>
      </c>
      <c r="G60" s="43" t="s">
        <v>529</v>
      </c>
    </row>
    <row r="61" customFormat="false" ht="15" hidden="false" customHeight="false" outlineLevel="0" collapsed="false">
      <c r="A61" s="43" t="s">
        <v>586</v>
      </c>
      <c r="B61" s="43" t="s">
        <v>62</v>
      </c>
      <c r="C61" s="43" t="s">
        <v>96</v>
      </c>
      <c r="D61" s="43" t="s">
        <v>94</v>
      </c>
      <c r="E61" s="44" t="n">
        <v>475000</v>
      </c>
      <c r="F61" s="43" t="s">
        <v>528</v>
      </c>
      <c r="G61" s="43" t="s">
        <v>529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3"/>
    <col collapsed="false" customWidth="true" hidden="false" outlineLevel="0" max="3" min="3" style="0" width="15"/>
    <col collapsed="false" customWidth="true" hidden="false" outlineLevel="0" max="4" min="4" style="0" width="30"/>
    <col collapsed="false" customWidth="true" hidden="false" outlineLevel="0" max="5" min="5" style="0" width="18"/>
    <col collapsed="false" customWidth="true" hidden="false" outlineLevel="0" max="6" min="6" style="0" width="19"/>
    <col collapsed="false" customWidth="true" hidden="false" outlineLevel="0" max="7" min="7" style="0" width="20"/>
    <col collapsed="false" customWidth="true" hidden="false" outlineLevel="0" max="9" min="8" style="0" width="40"/>
  </cols>
  <sheetData>
    <row r="1" customFormat="false" ht="15" hidden="false" customHeight="false" outlineLevel="0" collapsed="false">
      <c r="A1" s="41" t="s">
        <v>587</v>
      </c>
    </row>
    <row r="2" customFormat="false" ht="15" hidden="false" customHeight="false" outlineLevel="0" collapsed="false">
      <c r="A2" s="42" t="s">
        <v>239</v>
      </c>
      <c r="B2" s="42" t="s">
        <v>588</v>
      </c>
      <c r="C2" s="42" t="s">
        <v>589</v>
      </c>
      <c r="D2" s="42" t="s">
        <v>524</v>
      </c>
      <c r="E2" s="42" t="s">
        <v>590</v>
      </c>
      <c r="F2" s="42" t="s">
        <v>591</v>
      </c>
      <c r="G2" s="42" t="s">
        <v>592</v>
      </c>
      <c r="H2" s="42" t="s">
        <v>512</v>
      </c>
      <c r="I2" s="42" t="s">
        <v>513</v>
      </c>
    </row>
    <row r="3" customFormat="false" ht="15" hidden="false" customHeight="false" outlineLevel="0" collapsed="false">
      <c r="A3" s="43" t="s">
        <v>527</v>
      </c>
      <c r="B3" s="43" t="s">
        <v>48</v>
      </c>
      <c r="C3" s="43" t="s">
        <v>48</v>
      </c>
      <c r="D3" s="43" t="s">
        <v>95</v>
      </c>
      <c r="E3" s="44" t="n">
        <v>4015.89</v>
      </c>
      <c r="F3" s="44" t="n">
        <v>11999.75</v>
      </c>
      <c r="G3" s="44" t="n">
        <v>-7983.86</v>
      </c>
      <c r="H3" s="43" t="s">
        <v>528</v>
      </c>
      <c r="I3" s="43" t="s">
        <v>593</v>
      </c>
    </row>
    <row r="4" customFormat="false" ht="15" hidden="false" customHeight="false" outlineLevel="0" collapsed="false">
      <c r="A4" s="43" t="s">
        <v>530</v>
      </c>
      <c r="B4" s="43" t="s">
        <v>48</v>
      </c>
      <c r="C4" s="43" t="s">
        <v>48</v>
      </c>
      <c r="D4" s="43" t="s">
        <v>99</v>
      </c>
      <c r="E4" s="44" t="n">
        <v>23795</v>
      </c>
      <c r="F4" s="44" t="n">
        <v>11999.75</v>
      </c>
      <c r="G4" s="44" t="n">
        <v>11795.25</v>
      </c>
      <c r="H4" s="43" t="s">
        <v>528</v>
      </c>
      <c r="I4" s="43" t="s">
        <v>593</v>
      </c>
    </row>
    <row r="5" customFormat="false" ht="15" hidden="false" customHeight="false" outlineLevel="0" collapsed="false">
      <c r="A5" s="43" t="s">
        <v>531</v>
      </c>
      <c r="B5" s="43" t="s">
        <v>48</v>
      </c>
      <c r="C5" s="43" t="s">
        <v>48</v>
      </c>
      <c r="D5" s="43" t="s">
        <v>96</v>
      </c>
      <c r="E5" s="44" t="n">
        <v>63503</v>
      </c>
      <c r="F5" s="44" t="n">
        <v>22950.64</v>
      </c>
      <c r="G5" s="44" t="n">
        <v>40552.36</v>
      </c>
      <c r="H5" s="43" t="s">
        <v>528</v>
      </c>
      <c r="I5" s="43" t="s">
        <v>593</v>
      </c>
    </row>
    <row r="6" customFormat="false" ht="15" hidden="false" customHeight="false" outlineLevel="0" collapsed="false">
      <c r="A6" s="43" t="s">
        <v>532</v>
      </c>
      <c r="B6" s="43" t="s">
        <v>48</v>
      </c>
      <c r="C6" s="43" t="s">
        <v>48</v>
      </c>
      <c r="D6" s="43" t="s">
        <v>95</v>
      </c>
      <c r="E6" s="44" t="n">
        <v>88000</v>
      </c>
      <c r="F6" s="44" t="n">
        <v>23999.49</v>
      </c>
      <c r="G6" s="44" t="n">
        <v>64000.51</v>
      </c>
      <c r="H6" s="43" t="s">
        <v>528</v>
      </c>
      <c r="I6" s="43" t="s">
        <v>593</v>
      </c>
    </row>
    <row r="7" customFormat="false" ht="15" hidden="false" customHeight="false" outlineLevel="0" collapsed="false">
      <c r="A7" s="43" t="s">
        <v>533</v>
      </c>
      <c r="B7" s="43" t="s">
        <v>48</v>
      </c>
      <c r="C7" s="43" t="s">
        <v>48</v>
      </c>
      <c r="D7" s="43" t="s">
        <v>98</v>
      </c>
      <c r="E7" s="44" t="n">
        <v>20173.08</v>
      </c>
      <c r="F7" s="44" t="n">
        <v>35650.48</v>
      </c>
      <c r="G7" s="44" t="n">
        <v>-15477.4</v>
      </c>
      <c r="H7" s="43" t="s">
        <v>528</v>
      </c>
      <c r="I7" s="43" t="s">
        <v>593</v>
      </c>
    </row>
    <row r="8" customFormat="false" ht="15" hidden="false" customHeight="false" outlineLevel="0" collapsed="false">
      <c r="A8" s="43" t="s">
        <v>534</v>
      </c>
      <c r="B8" s="43" t="s">
        <v>48</v>
      </c>
      <c r="C8" s="43" t="s">
        <v>48</v>
      </c>
      <c r="D8" s="43" t="s">
        <v>102</v>
      </c>
      <c r="E8" s="44" t="n">
        <v>81818.9</v>
      </c>
      <c r="F8" s="44" t="n">
        <v>42832.25</v>
      </c>
      <c r="G8" s="44" t="n">
        <v>38986.65</v>
      </c>
      <c r="H8" s="43" t="s">
        <v>528</v>
      </c>
      <c r="I8" s="43" t="s">
        <v>593</v>
      </c>
    </row>
    <row r="9" customFormat="false" ht="15" hidden="false" customHeight="false" outlineLevel="0" collapsed="false">
      <c r="A9" s="43" t="s">
        <v>535</v>
      </c>
      <c r="B9" s="43" t="s">
        <v>48</v>
      </c>
      <c r="C9" s="43" t="s">
        <v>48</v>
      </c>
      <c r="D9" s="43" t="s">
        <v>95</v>
      </c>
      <c r="E9" s="44" t="n">
        <v>90733.53</v>
      </c>
      <c r="F9" s="44" t="n">
        <v>11999.75</v>
      </c>
      <c r="G9" s="44" t="n">
        <v>78733.79</v>
      </c>
      <c r="H9" s="43" t="s">
        <v>528</v>
      </c>
      <c r="I9" s="43" t="s">
        <v>593</v>
      </c>
    </row>
    <row r="10" customFormat="false" ht="15" hidden="false" customHeight="false" outlineLevel="0" collapsed="false">
      <c r="A10" s="43" t="s">
        <v>536</v>
      </c>
      <c r="B10" s="43" t="s">
        <v>61</v>
      </c>
      <c r="C10" s="43" t="s">
        <v>48</v>
      </c>
      <c r="D10" s="43" t="s">
        <v>95</v>
      </c>
      <c r="E10" s="44" t="n">
        <v>43760</v>
      </c>
      <c r="F10" s="44" t="n">
        <v>35999.24</v>
      </c>
      <c r="G10" s="44" t="n">
        <v>7760.76</v>
      </c>
      <c r="H10" s="43" t="s">
        <v>528</v>
      </c>
      <c r="I10" s="43" t="s">
        <v>593</v>
      </c>
    </row>
    <row r="11" customFormat="false" ht="15" hidden="false" customHeight="false" outlineLevel="0" collapsed="false">
      <c r="A11" s="43" t="s">
        <v>537</v>
      </c>
      <c r="B11" s="43" t="s">
        <v>63</v>
      </c>
      <c r="C11" s="43" t="s">
        <v>61</v>
      </c>
      <c r="D11" s="43" t="s">
        <v>98</v>
      </c>
      <c r="E11" s="44" t="n">
        <v>80256.83</v>
      </c>
      <c r="F11" s="44" t="n">
        <v>35650.48</v>
      </c>
      <c r="G11" s="44" t="n">
        <v>44606.35</v>
      </c>
      <c r="H11" s="43" t="s">
        <v>528</v>
      </c>
      <c r="I11" s="43" t="s">
        <v>593</v>
      </c>
    </row>
    <row r="12" customFormat="false" ht="15" hidden="false" customHeight="false" outlineLevel="0" collapsed="false">
      <c r="A12" s="43" t="s">
        <v>538</v>
      </c>
      <c r="B12" s="43" t="s">
        <v>62</v>
      </c>
      <c r="C12" s="43" t="s">
        <v>48</v>
      </c>
      <c r="D12" s="43" t="s">
        <v>96</v>
      </c>
      <c r="E12" s="44" t="n">
        <v>155000</v>
      </c>
      <c r="F12" s="44" t="n">
        <v>68851.93</v>
      </c>
      <c r="G12" s="44" t="n">
        <v>86148.07</v>
      </c>
      <c r="H12" s="43" t="s">
        <v>528</v>
      </c>
      <c r="I12" s="43" t="s">
        <v>593</v>
      </c>
    </row>
    <row r="13" customFormat="false" ht="15" hidden="false" customHeight="false" outlineLevel="0" collapsed="false">
      <c r="A13" s="43" t="s">
        <v>539</v>
      </c>
      <c r="B13" s="43" t="s">
        <v>61</v>
      </c>
      <c r="C13" s="43" t="s">
        <v>48</v>
      </c>
      <c r="D13" s="43" t="s">
        <v>98</v>
      </c>
      <c r="E13" s="44" t="n">
        <v>169010.86</v>
      </c>
      <c r="F13" s="44" t="n">
        <v>142601.93</v>
      </c>
      <c r="G13" s="44" t="n">
        <v>26408.92</v>
      </c>
      <c r="H13" s="43" t="s">
        <v>528</v>
      </c>
      <c r="I13" s="43" t="s">
        <v>593</v>
      </c>
    </row>
    <row r="14" customFormat="false" ht="15" hidden="false" customHeight="false" outlineLevel="0" collapsed="false">
      <c r="A14" s="43" t="s">
        <v>540</v>
      </c>
      <c r="B14" s="43" t="s">
        <v>48</v>
      </c>
      <c r="C14" s="43" t="s">
        <v>48</v>
      </c>
      <c r="D14" s="43" t="s">
        <v>96</v>
      </c>
      <c r="E14" s="44" t="n">
        <v>82735.8</v>
      </c>
      <c r="F14" s="44" t="n">
        <v>206555.8</v>
      </c>
      <c r="G14" s="44" t="n">
        <v>-123820</v>
      </c>
      <c r="H14" s="43" t="s">
        <v>528</v>
      </c>
      <c r="I14" s="43" t="s">
        <v>593</v>
      </c>
    </row>
    <row r="15" customFormat="false" ht="15" hidden="false" customHeight="false" outlineLevel="0" collapsed="false">
      <c r="A15" s="43" t="s">
        <v>541</v>
      </c>
      <c r="B15" s="43" t="s">
        <v>48</v>
      </c>
      <c r="C15" s="43" t="s">
        <v>48</v>
      </c>
      <c r="D15" s="43" t="s">
        <v>102</v>
      </c>
      <c r="E15" s="44" t="n">
        <v>452426.5</v>
      </c>
      <c r="F15" s="44" t="n">
        <v>128496.74</v>
      </c>
      <c r="G15" s="44" t="n">
        <v>323929.76</v>
      </c>
      <c r="H15" s="43" t="s">
        <v>528</v>
      </c>
      <c r="I15" s="43" t="s">
        <v>593</v>
      </c>
    </row>
    <row r="16" customFormat="false" ht="15" hidden="false" customHeight="false" outlineLevel="0" collapsed="false">
      <c r="A16" s="43" t="s">
        <v>542</v>
      </c>
      <c r="B16" s="43" t="s">
        <v>48</v>
      </c>
      <c r="C16" s="43" t="s">
        <v>48</v>
      </c>
      <c r="D16" s="43" t="s">
        <v>99</v>
      </c>
      <c r="E16" s="44" t="n">
        <v>41611.33</v>
      </c>
      <c r="F16" s="44" t="n">
        <v>23999.49</v>
      </c>
      <c r="G16" s="44" t="n">
        <v>17611.84</v>
      </c>
      <c r="H16" s="43" t="s">
        <v>528</v>
      </c>
      <c r="I16" s="43" t="s">
        <v>593</v>
      </c>
    </row>
    <row r="17" customFormat="false" ht="15" hidden="false" customHeight="false" outlineLevel="0" collapsed="false">
      <c r="A17" s="43" t="s">
        <v>543</v>
      </c>
      <c r="B17" s="43" t="s">
        <v>48</v>
      </c>
      <c r="C17" s="43" t="s">
        <v>48</v>
      </c>
      <c r="D17" s="43" t="s">
        <v>95</v>
      </c>
      <c r="E17" s="44" t="n">
        <v>137572.5</v>
      </c>
      <c r="F17" s="44" t="n">
        <v>35999.24</v>
      </c>
      <c r="G17" s="44" t="n">
        <v>101573.26</v>
      </c>
      <c r="H17" s="43" t="s">
        <v>528</v>
      </c>
      <c r="I17" s="43" t="s">
        <v>593</v>
      </c>
    </row>
    <row r="18" customFormat="false" ht="15" hidden="false" customHeight="false" outlineLevel="0" collapsed="false">
      <c r="A18" s="43" t="s">
        <v>544</v>
      </c>
      <c r="B18" s="43" t="s">
        <v>61</v>
      </c>
      <c r="C18" s="43" t="s">
        <v>48</v>
      </c>
      <c r="D18" s="43" t="s">
        <v>103</v>
      </c>
      <c r="E18" s="44" t="n">
        <v>124015.5</v>
      </c>
      <c r="F18" s="44" t="n">
        <v>38750.53</v>
      </c>
      <c r="G18" s="44" t="n">
        <v>85264.97</v>
      </c>
      <c r="H18" s="43" t="s">
        <v>528</v>
      </c>
      <c r="I18" s="43" t="s">
        <v>593</v>
      </c>
    </row>
    <row r="19" customFormat="false" ht="15" hidden="false" customHeight="false" outlineLevel="0" collapsed="false">
      <c r="A19" s="43" t="s">
        <v>545</v>
      </c>
      <c r="B19" s="43" t="s">
        <v>62</v>
      </c>
      <c r="C19" s="43" t="s">
        <v>61</v>
      </c>
      <c r="D19" s="43" t="s">
        <v>96</v>
      </c>
      <c r="E19" s="44" t="n">
        <v>123903.75</v>
      </c>
      <c r="F19" s="44" t="n">
        <v>68851.93</v>
      </c>
      <c r="G19" s="44" t="n">
        <v>55051.82</v>
      </c>
      <c r="H19" s="43" t="s">
        <v>528</v>
      </c>
      <c r="I19" s="43" t="s">
        <v>593</v>
      </c>
    </row>
    <row r="20" customFormat="false" ht="15" hidden="false" customHeight="false" outlineLevel="0" collapsed="false">
      <c r="A20" s="43" t="s">
        <v>546</v>
      </c>
      <c r="B20" s="43" t="s">
        <v>61</v>
      </c>
      <c r="C20" s="43" t="s">
        <v>48</v>
      </c>
      <c r="D20" s="43" t="s">
        <v>95</v>
      </c>
      <c r="E20" s="44" t="n">
        <v>131428.57</v>
      </c>
      <c r="F20" s="44" t="n">
        <v>59998.73</v>
      </c>
      <c r="G20" s="44" t="n">
        <v>71429.84</v>
      </c>
      <c r="H20" s="43" t="s">
        <v>528</v>
      </c>
      <c r="I20" s="43" t="s">
        <v>593</v>
      </c>
    </row>
    <row r="21" customFormat="false" ht="15" hidden="false" customHeight="false" outlineLevel="0" collapsed="false">
      <c r="A21" s="43" t="s">
        <v>547</v>
      </c>
      <c r="B21" s="43" t="s">
        <v>61</v>
      </c>
      <c r="C21" s="43" t="s">
        <v>48</v>
      </c>
      <c r="D21" s="43" t="s">
        <v>103</v>
      </c>
      <c r="E21" s="44" t="n">
        <v>500000</v>
      </c>
      <c r="F21" s="44" t="n">
        <v>96876.31</v>
      </c>
      <c r="G21" s="44" t="n">
        <v>403123.69</v>
      </c>
      <c r="H21" s="43" t="s">
        <v>528</v>
      </c>
      <c r="I21" s="43" t="s">
        <v>593</v>
      </c>
    </row>
    <row r="22" customFormat="false" ht="15" hidden="false" customHeight="false" outlineLevel="0" collapsed="false">
      <c r="A22" s="43" t="s">
        <v>548</v>
      </c>
      <c r="B22" s="43" t="s">
        <v>48</v>
      </c>
      <c r="C22" s="43" t="s">
        <v>48</v>
      </c>
      <c r="D22" s="43" t="s">
        <v>96</v>
      </c>
      <c r="E22" s="44" t="n">
        <v>265226.67</v>
      </c>
      <c r="F22" s="44" t="n">
        <v>91802.58</v>
      </c>
      <c r="G22" s="44" t="n">
        <v>173424.09</v>
      </c>
      <c r="H22" s="43" t="s">
        <v>528</v>
      </c>
      <c r="I22" s="43" t="s">
        <v>593</v>
      </c>
    </row>
    <row r="23" customFormat="false" ht="15" hidden="false" customHeight="false" outlineLevel="0" collapsed="false">
      <c r="A23" s="43" t="s">
        <v>549</v>
      </c>
      <c r="B23" s="43" t="s">
        <v>48</v>
      </c>
      <c r="C23" s="43" t="s">
        <v>48</v>
      </c>
      <c r="D23" s="43" t="s">
        <v>100</v>
      </c>
      <c r="E23" s="44" t="n">
        <v>47808</v>
      </c>
      <c r="F23" s="44" t="n">
        <v>38926.19</v>
      </c>
      <c r="G23" s="44" t="n">
        <v>8881.81</v>
      </c>
      <c r="H23" s="43" t="s">
        <v>528</v>
      </c>
      <c r="I23" s="43" t="s">
        <v>593</v>
      </c>
    </row>
    <row r="24" customFormat="false" ht="15" hidden="false" customHeight="false" outlineLevel="0" collapsed="false">
      <c r="A24" s="43" t="s">
        <v>550</v>
      </c>
      <c r="B24" s="43" t="s">
        <v>62</v>
      </c>
      <c r="C24" s="43" t="s">
        <v>48</v>
      </c>
      <c r="D24" s="43" t="s">
        <v>102</v>
      </c>
      <c r="E24" s="44" t="n">
        <v>118348</v>
      </c>
      <c r="F24" s="44" t="n">
        <v>171328.99</v>
      </c>
      <c r="G24" s="44" t="n">
        <v>-52980.99</v>
      </c>
      <c r="H24" s="43" t="s">
        <v>528</v>
      </c>
      <c r="I24" s="43" t="s">
        <v>593</v>
      </c>
    </row>
    <row r="25" customFormat="false" ht="15" hidden="false" customHeight="false" outlineLevel="0" collapsed="false">
      <c r="A25" s="43" t="s">
        <v>551</v>
      </c>
      <c r="B25" s="43" t="s">
        <v>61</v>
      </c>
      <c r="C25" s="43" t="s">
        <v>61</v>
      </c>
      <c r="D25" s="43" t="s">
        <v>95</v>
      </c>
      <c r="E25" s="44" t="n">
        <v>48000</v>
      </c>
      <c r="F25" s="44" t="n">
        <v>47998.98</v>
      </c>
      <c r="G25" s="44" t="n">
        <v>1.02</v>
      </c>
      <c r="H25" s="43" t="s">
        <v>528</v>
      </c>
      <c r="I25" s="43" t="s">
        <v>593</v>
      </c>
    </row>
    <row r="26" customFormat="false" ht="15" hidden="false" customHeight="false" outlineLevel="0" collapsed="false">
      <c r="A26" s="43" t="s">
        <v>552</v>
      </c>
      <c r="B26" s="43" t="s">
        <v>63</v>
      </c>
      <c r="C26" s="43" t="s">
        <v>48</v>
      </c>
      <c r="D26" s="43" t="s">
        <v>100</v>
      </c>
      <c r="E26" s="44" t="n">
        <v>350000</v>
      </c>
      <c r="F26" s="44" t="n">
        <v>58389.29</v>
      </c>
      <c r="G26" s="44" t="n">
        <v>291610.71</v>
      </c>
      <c r="H26" s="43" t="s">
        <v>528</v>
      </c>
      <c r="I26" s="43" t="s">
        <v>593</v>
      </c>
    </row>
    <row r="27" customFormat="false" ht="15" hidden="false" customHeight="false" outlineLevel="0" collapsed="false">
      <c r="A27" s="43" t="s">
        <v>553</v>
      </c>
      <c r="B27" s="43" t="s">
        <v>62</v>
      </c>
      <c r="C27" s="43" t="s">
        <v>48</v>
      </c>
      <c r="D27" s="43" t="s">
        <v>96</v>
      </c>
      <c r="E27" s="44" t="n">
        <v>108000</v>
      </c>
      <c r="F27" s="44" t="n">
        <v>91802.58</v>
      </c>
      <c r="G27" s="44" t="n">
        <v>16197.42</v>
      </c>
      <c r="H27" s="43" t="s">
        <v>528</v>
      </c>
      <c r="I27" s="43" t="s">
        <v>593</v>
      </c>
    </row>
    <row r="28" customFormat="false" ht="15" hidden="false" customHeight="false" outlineLevel="0" collapsed="false">
      <c r="A28" s="43" t="s">
        <v>554</v>
      </c>
      <c r="B28" s="43" t="s">
        <v>61</v>
      </c>
      <c r="C28" s="43" t="s">
        <v>48</v>
      </c>
      <c r="D28" s="43" t="s">
        <v>102</v>
      </c>
      <c r="E28" s="44" t="n">
        <v>687500</v>
      </c>
      <c r="F28" s="44" t="n">
        <v>256993.48</v>
      </c>
      <c r="G28" s="44" t="n">
        <v>430506.52</v>
      </c>
      <c r="H28" s="43" t="s">
        <v>528</v>
      </c>
      <c r="I28" s="43" t="s">
        <v>593</v>
      </c>
    </row>
    <row r="29" customFormat="false" ht="15" hidden="false" customHeight="false" outlineLevel="0" collapsed="false">
      <c r="A29" s="43" t="s">
        <v>555</v>
      </c>
      <c r="B29" s="43" t="s">
        <v>61</v>
      </c>
      <c r="C29" s="43" t="s">
        <v>48</v>
      </c>
      <c r="D29" s="43" t="s">
        <v>98</v>
      </c>
      <c r="E29" s="44" t="n">
        <v>168000</v>
      </c>
      <c r="F29" s="44" t="n">
        <v>213902.9</v>
      </c>
      <c r="G29" s="44" t="n">
        <v>-45902.9</v>
      </c>
      <c r="H29" s="43" t="s">
        <v>528</v>
      </c>
      <c r="I29" s="43" t="s">
        <v>593</v>
      </c>
    </row>
    <row r="30" customFormat="false" ht="15" hidden="false" customHeight="false" outlineLevel="0" collapsed="false">
      <c r="A30" s="43" t="s">
        <v>556</v>
      </c>
      <c r="B30" s="43" t="s">
        <v>48</v>
      </c>
      <c r="C30" s="43" t="s">
        <v>48</v>
      </c>
      <c r="D30" s="43" t="s">
        <v>100</v>
      </c>
      <c r="E30" s="44" t="n">
        <v>0</v>
      </c>
      <c r="F30" s="44" t="n">
        <v>0</v>
      </c>
      <c r="G30" s="44" t="n">
        <v>0</v>
      </c>
      <c r="H30" s="43" t="s">
        <v>528</v>
      </c>
      <c r="I30" s="43" t="s">
        <v>593</v>
      </c>
    </row>
    <row r="31" customFormat="false" ht="15" hidden="false" customHeight="false" outlineLevel="0" collapsed="false">
      <c r="A31" s="43" t="s">
        <v>557</v>
      </c>
      <c r="B31" s="43" t="s">
        <v>48</v>
      </c>
      <c r="C31" s="43" t="s">
        <v>48</v>
      </c>
      <c r="D31" s="43" t="s">
        <v>95</v>
      </c>
      <c r="E31" s="44" t="n">
        <v>300000</v>
      </c>
      <c r="F31" s="44" t="n">
        <v>47998.98</v>
      </c>
      <c r="G31" s="44" t="n">
        <v>252001.02</v>
      </c>
      <c r="H31" s="43" t="s">
        <v>528</v>
      </c>
      <c r="I31" s="43" t="s">
        <v>593</v>
      </c>
    </row>
    <row r="32" customFormat="false" ht="15" hidden="false" customHeight="false" outlineLevel="0" collapsed="false">
      <c r="A32" s="43" t="s">
        <v>558</v>
      </c>
      <c r="B32" s="43" t="s">
        <v>63</v>
      </c>
      <c r="C32" s="43" t="s">
        <v>48</v>
      </c>
      <c r="D32" s="43" t="s">
        <v>100</v>
      </c>
      <c r="E32" s="44" t="n">
        <v>21428.57</v>
      </c>
      <c r="F32" s="44" t="n">
        <v>136241.68</v>
      </c>
      <c r="G32" s="44" t="n">
        <v>-114813.11</v>
      </c>
      <c r="H32" s="43" t="s">
        <v>528</v>
      </c>
      <c r="I32" s="43" t="s">
        <v>593</v>
      </c>
    </row>
    <row r="33" customFormat="false" ht="15" hidden="false" customHeight="false" outlineLevel="0" collapsed="false">
      <c r="A33" s="43" t="s">
        <v>559</v>
      </c>
      <c r="B33" s="43" t="s">
        <v>48</v>
      </c>
      <c r="C33" s="43" t="s">
        <v>48</v>
      </c>
      <c r="D33" s="43" t="s">
        <v>96</v>
      </c>
      <c r="E33" s="44" t="n">
        <v>60000</v>
      </c>
      <c r="F33" s="44" t="n">
        <v>114753.22</v>
      </c>
      <c r="G33" s="44" t="n">
        <v>-54753.22</v>
      </c>
      <c r="H33" s="43" t="s">
        <v>528</v>
      </c>
      <c r="I33" s="43" t="s">
        <v>593</v>
      </c>
    </row>
    <row r="34" customFormat="false" ht="15" hidden="false" customHeight="false" outlineLevel="0" collapsed="false">
      <c r="A34" s="43" t="s">
        <v>560</v>
      </c>
      <c r="B34" s="43" t="s">
        <v>48</v>
      </c>
      <c r="C34" s="43" t="s">
        <v>48</v>
      </c>
      <c r="D34" s="43" t="s">
        <v>102</v>
      </c>
      <c r="E34" s="44" t="n">
        <v>0</v>
      </c>
      <c r="F34" s="44" t="n">
        <v>0</v>
      </c>
      <c r="G34" s="44" t="n">
        <v>0</v>
      </c>
      <c r="H34" s="43" t="s">
        <v>528</v>
      </c>
      <c r="I34" s="43" t="s">
        <v>593</v>
      </c>
    </row>
    <row r="35" customFormat="false" ht="15" hidden="false" customHeight="false" outlineLevel="0" collapsed="false">
      <c r="A35" s="43" t="s">
        <v>561</v>
      </c>
      <c r="B35" s="43" t="s">
        <v>62</v>
      </c>
      <c r="C35" s="43" t="s">
        <v>48</v>
      </c>
      <c r="D35" s="43" t="s">
        <v>97</v>
      </c>
      <c r="E35" s="44" t="n">
        <v>420000</v>
      </c>
      <c r="F35" s="44" t="n">
        <v>160654.51</v>
      </c>
      <c r="G35" s="44" t="n">
        <v>259345.49</v>
      </c>
      <c r="H35" s="43" t="s">
        <v>528</v>
      </c>
      <c r="I35" s="43" t="s">
        <v>593</v>
      </c>
    </row>
    <row r="36" customFormat="false" ht="15" hidden="false" customHeight="false" outlineLevel="0" collapsed="false">
      <c r="A36" s="43" t="s">
        <v>562</v>
      </c>
      <c r="B36" s="43" t="s">
        <v>62</v>
      </c>
      <c r="C36" s="43" t="s">
        <v>48</v>
      </c>
      <c r="D36" s="43" t="s">
        <v>102</v>
      </c>
      <c r="E36" s="44" t="n">
        <v>192000</v>
      </c>
      <c r="F36" s="44" t="n">
        <v>256993.48</v>
      </c>
      <c r="G36" s="44" t="n">
        <v>-64993.48</v>
      </c>
      <c r="H36" s="43" t="s">
        <v>528</v>
      </c>
      <c r="I36" s="43" t="s">
        <v>593</v>
      </c>
    </row>
    <row r="37" customFormat="false" ht="15" hidden="false" customHeight="false" outlineLevel="0" collapsed="false">
      <c r="A37" s="43" t="s">
        <v>563</v>
      </c>
      <c r="B37" s="43" t="s">
        <v>48</v>
      </c>
      <c r="C37" s="43" t="s">
        <v>48</v>
      </c>
      <c r="D37" s="43" t="s">
        <v>96</v>
      </c>
      <c r="E37" s="44" t="n">
        <v>11428.57</v>
      </c>
      <c r="F37" s="44" t="n">
        <v>160654.51</v>
      </c>
      <c r="G37" s="44" t="n">
        <v>-149225.94</v>
      </c>
      <c r="H37" s="43" t="s">
        <v>528</v>
      </c>
      <c r="I37" s="43" t="s">
        <v>593</v>
      </c>
    </row>
    <row r="38" customFormat="false" ht="15" hidden="false" customHeight="false" outlineLevel="0" collapsed="false">
      <c r="A38" s="43" t="s">
        <v>564</v>
      </c>
      <c r="B38" s="43" t="s">
        <v>48</v>
      </c>
      <c r="C38" s="43" t="s">
        <v>48</v>
      </c>
      <c r="D38" s="43" t="s">
        <v>100</v>
      </c>
      <c r="E38" s="44" t="n">
        <v>25000</v>
      </c>
      <c r="F38" s="44" t="n">
        <v>116778.58</v>
      </c>
      <c r="G38" s="44" t="n">
        <v>-91778.58</v>
      </c>
      <c r="H38" s="43" t="s">
        <v>528</v>
      </c>
      <c r="I38" s="43" t="s">
        <v>593</v>
      </c>
    </row>
    <row r="39" customFormat="false" ht="15" hidden="false" customHeight="false" outlineLevel="0" collapsed="false">
      <c r="A39" s="43" t="s">
        <v>565</v>
      </c>
      <c r="B39" s="43" t="s">
        <v>62</v>
      </c>
      <c r="C39" s="43" t="s">
        <v>48</v>
      </c>
      <c r="D39" s="43" t="s">
        <v>102</v>
      </c>
      <c r="E39" s="44" t="n">
        <v>69222.22</v>
      </c>
      <c r="F39" s="44" t="n">
        <v>256993.48</v>
      </c>
      <c r="G39" s="44" t="n">
        <v>-187771.26</v>
      </c>
      <c r="H39" s="43" t="s">
        <v>528</v>
      </c>
      <c r="I39" s="43" t="s">
        <v>593</v>
      </c>
    </row>
    <row r="40" customFormat="false" ht="15" hidden="false" customHeight="false" outlineLevel="0" collapsed="false">
      <c r="A40" s="43" t="s">
        <v>566</v>
      </c>
      <c r="B40" s="43" t="s">
        <v>62</v>
      </c>
      <c r="C40" s="43" t="s">
        <v>48</v>
      </c>
      <c r="D40" s="43" t="s">
        <v>100</v>
      </c>
      <c r="E40" s="44" t="n">
        <v>162000</v>
      </c>
      <c r="F40" s="44" t="n">
        <v>58389.29</v>
      </c>
      <c r="G40" s="44" t="n">
        <v>103610.71</v>
      </c>
      <c r="H40" s="43" t="s">
        <v>528</v>
      </c>
      <c r="I40" s="43" t="s">
        <v>593</v>
      </c>
    </row>
    <row r="41" customFormat="false" ht="15" hidden="false" customHeight="false" outlineLevel="0" collapsed="false">
      <c r="A41" s="43" t="s">
        <v>567</v>
      </c>
      <c r="B41" s="43" t="s">
        <v>62</v>
      </c>
      <c r="C41" s="43" t="s">
        <v>48</v>
      </c>
      <c r="D41" s="43" t="s">
        <v>100</v>
      </c>
      <c r="E41" s="44" t="n">
        <v>0</v>
      </c>
      <c r="F41" s="44" t="n">
        <v>0</v>
      </c>
      <c r="G41" s="44" t="n">
        <v>0</v>
      </c>
      <c r="H41" s="43" t="s">
        <v>528</v>
      </c>
      <c r="I41" s="43" t="s">
        <v>593</v>
      </c>
    </row>
    <row r="42" customFormat="false" ht="15" hidden="false" customHeight="false" outlineLevel="0" collapsed="false">
      <c r="A42" s="43" t="s">
        <v>568</v>
      </c>
      <c r="B42" s="43" t="s">
        <v>48</v>
      </c>
      <c r="C42" s="43" t="s">
        <v>48</v>
      </c>
      <c r="D42" s="43" t="s">
        <v>102</v>
      </c>
      <c r="E42" s="44" t="n">
        <v>0</v>
      </c>
      <c r="F42" s="44" t="n">
        <v>0</v>
      </c>
      <c r="G42" s="44" t="n">
        <v>0</v>
      </c>
      <c r="H42" s="43" t="s">
        <v>528</v>
      </c>
      <c r="I42" s="43" t="s">
        <v>593</v>
      </c>
    </row>
    <row r="43" customFormat="false" ht="15" hidden="false" customHeight="false" outlineLevel="0" collapsed="false">
      <c r="A43" s="43" t="s">
        <v>569</v>
      </c>
      <c r="B43" s="43" t="s">
        <v>61</v>
      </c>
      <c r="C43" s="43" t="s">
        <v>61</v>
      </c>
      <c r="D43" s="43" t="s">
        <v>100</v>
      </c>
      <c r="E43" s="44" t="n">
        <v>6750</v>
      </c>
      <c r="F43" s="44" t="n">
        <v>58389.29</v>
      </c>
      <c r="G43" s="44" t="n">
        <v>-51639.29</v>
      </c>
      <c r="H43" s="43" t="s">
        <v>528</v>
      </c>
      <c r="I43" s="43" t="s">
        <v>593</v>
      </c>
    </row>
    <row r="44" customFormat="false" ht="15" hidden="false" customHeight="false" outlineLevel="0" collapsed="false">
      <c r="A44" s="43" t="s">
        <v>570</v>
      </c>
      <c r="B44" s="43" t="s">
        <v>61</v>
      </c>
      <c r="C44" s="43" t="s">
        <v>48</v>
      </c>
      <c r="D44" s="43" t="s">
        <v>100</v>
      </c>
      <c r="E44" s="44" t="n">
        <v>0</v>
      </c>
      <c r="F44" s="44" t="n">
        <v>0</v>
      </c>
      <c r="G44" s="44" t="n">
        <v>0</v>
      </c>
      <c r="H44" s="43" t="s">
        <v>528</v>
      </c>
      <c r="I44" s="43" t="s">
        <v>593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13"/>
    <col collapsed="false" customWidth="true" hidden="false" outlineLevel="0" max="4" min="4" style="0" width="40"/>
    <col collapsed="false" customWidth="true" hidden="false" outlineLevel="0" max="5" min="5" style="0" width="29"/>
  </cols>
  <sheetData>
    <row r="1" customFormat="false" ht="15" hidden="false" customHeight="false" outlineLevel="0" collapsed="false">
      <c r="A1" s="41" t="s">
        <v>594</v>
      </c>
    </row>
    <row r="2" customFormat="false" ht="15" hidden="false" customHeight="false" outlineLevel="0" collapsed="false">
      <c r="A2" s="42" t="s">
        <v>213</v>
      </c>
      <c r="B2" s="42" t="s">
        <v>595</v>
      </c>
      <c r="C2" s="42" t="s">
        <v>511</v>
      </c>
      <c r="D2" s="42" t="s">
        <v>512</v>
      </c>
      <c r="E2" s="42" t="s">
        <v>513</v>
      </c>
    </row>
    <row r="3" customFormat="false" ht="15" hidden="false" customHeight="false" outlineLevel="0" collapsed="false">
      <c r="A3" s="43" t="s">
        <v>596</v>
      </c>
      <c r="B3" s="43" t="s">
        <v>597</v>
      </c>
      <c r="C3" s="44" t="n">
        <v>487680.19</v>
      </c>
      <c r="D3" s="43" t="s">
        <v>515</v>
      </c>
      <c r="E3" s="43" t="s">
        <v>598</v>
      </c>
    </row>
    <row r="4" customFormat="false" ht="15" hidden="false" customHeight="false" outlineLevel="0" collapsed="false">
      <c r="A4" s="43" t="s">
        <v>599</v>
      </c>
      <c r="B4" s="43" t="s">
        <v>597</v>
      </c>
      <c r="C4" s="44" t="n">
        <v>132119</v>
      </c>
      <c r="D4" s="43" t="s">
        <v>515</v>
      </c>
      <c r="E4" s="43" t="s">
        <v>598</v>
      </c>
    </row>
    <row r="5" customFormat="false" ht="15" hidden="false" customHeight="false" outlineLevel="0" collapsed="false">
      <c r="A5" s="43" t="s">
        <v>600</v>
      </c>
      <c r="B5" s="43" t="s">
        <v>597</v>
      </c>
      <c r="C5" s="44" t="n">
        <v>182679</v>
      </c>
      <c r="D5" s="43" t="s">
        <v>515</v>
      </c>
      <c r="E5" s="43" t="s">
        <v>598</v>
      </c>
    </row>
    <row r="6" customFormat="false" ht="15" hidden="false" customHeight="false" outlineLevel="0" collapsed="false">
      <c r="A6" s="43" t="s">
        <v>63</v>
      </c>
      <c r="B6" s="43" t="s">
        <v>597</v>
      </c>
      <c r="C6" s="44" t="n">
        <v>150453</v>
      </c>
      <c r="D6" s="43" t="s">
        <v>515</v>
      </c>
      <c r="E6" s="43" t="s">
        <v>598</v>
      </c>
    </row>
    <row r="7" customFormat="false" ht="15" hidden="false" customHeight="false" outlineLevel="0" collapsed="false">
      <c r="A7" s="43" t="s">
        <v>179</v>
      </c>
      <c r="B7" s="43" t="s">
        <v>597</v>
      </c>
      <c r="C7" s="44" t="n">
        <v>67160</v>
      </c>
      <c r="D7" s="43" t="s">
        <v>515</v>
      </c>
      <c r="E7" s="43" t="s">
        <v>598</v>
      </c>
    </row>
    <row r="8" customFormat="false" ht="15" hidden="false" customHeight="false" outlineLevel="0" collapsed="false">
      <c r="A8" s="43" t="s">
        <v>596</v>
      </c>
      <c r="B8" s="43" t="s">
        <v>601</v>
      </c>
      <c r="C8" s="44" t="n">
        <v>3104446.74</v>
      </c>
      <c r="D8" s="43" t="s">
        <v>515</v>
      </c>
      <c r="E8" s="43" t="s">
        <v>598</v>
      </c>
    </row>
    <row r="9" customFormat="false" ht="15" hidden="false" customHeight="false" outlineLevel="0" collapsed="false">
      <c r="A9" s="43" t="s">
        <v>599</v>
      </c>
      <c r="B9" s="43" t="s">
        <v>601</v>
      </c>
      <c r="C9" s="44" t="n">
        <v>2285234</v>
      </c>
      <c r="D9" s="43" t="s">
        <v>515</v>
      </c>
      <c r="E9" s="43" t="s">
        <v>598</v>
      </c>
    </row>
    <row r="10" customFormat="false" ht="15" hidden="false" customHeight="false" outlineLevel="0" collapsed="false">
      <c r="A10" s="43" t="s">
        <v>600</v>
      </c>
      <c r="B10" s="43" t="s">
        <v>601</v>
      </c>
      <c r="C10" s="44" t="n">
        <v>1414413.21</v>
      </c>
      <c r="D10" s="43" t="s">
        <v>515</v>
      </c>
      <c r="E10" s="43" t="s">
        <v>598</v>
      </c>
    </row>
    <row r="11" customFormat="false" ht="15" hidden="false" customHeight="false" outlineLevel="0" collapsed="false">
      <c r="A11" s="43" t="s">
        <v>63</v>
      </c>
      <c r="B11" s="43" t="s">
        <v>601</v>
      </c>
      <c r="C11" s="44" t="n">
        <v>1054862.21</v>
      </c>
      <c r="D11" s="43" t="s">
        <v>515</v>
      </c>
      <c r="E11" s="43" t="s">
        <v>598</v>
      </c>
    </row>
    <row r="12" customFormat="false" ht="15" hidden="false" customHeight="false" outlineLevel="0" collapsed="false">
      <c r="A12" s="43" t="s">
        <v>179</v>
      </c>
      <c r="B12" s="43" t="s">
        <v>601</v>
      </c>
      <c r="C12" s="44" t="n">
        <v>271569</v>
      </c>
      <c r="D12" s="43" t="s">
        <v>515</v>
      </c>
      <c r="E12" s="43" t="s">
        <v>598</v>
      </c>
    </row>
    <row r="13" customFormat="false" ht="15" hidden="false" customHeight="false" outlineLevel="0" collapsed="false">
      <c r="A13" s="43" t="s">
        <v>596</v>
      </c>
      <c r="B13" s="43" t="s">
        <v>602</v>
      </c>
      <c r="C13" s="44" t="n">
        <v>3592126.93</v>
      </c>
      <c r="D13" s="43" t="s">
        <v>515</v>
      </c>
      <c r="E13" s="43" t="s">
        <v>598</v>
      </c>
    </row>
    <row r="14" customFormat="false" ht="15" hidden="false" customHeight="false" outlineLevel="0" collapsed="false">
      <c r="A14" s="43" t="s">
        <v>599</v>
      </c>
      <c r="B14" s="43" t="s">
        <v>602</v>
      </c>
      <c r="C14" s="44" t="n">
        <v>2417353</v>
      </c>
      <c r="D14" s="43" t="s">
        <v>515</v>
      </c>
      <c r="E14" s="43" t="s">
        <v>598</v>
      </c>
    </row>
    <row r="15" customFormat="false" ht="15" hidden="false" customHeight="false" outlineLevel="0" collapsed="false">
      <c r="A15" s="43" t="s">
        <v>600</v>
      </c>
      <c r="B15" s="43" t="s">
        <v>602</v>
      </c>
      <c r="C15" s="44" t="n">
        <v>1597092.21</v>
      </c>
      <c r="D15" s="43" t="s">
        <v>515</v>
      </c>
      <c r="E15" s="43" t="s">
        <v>598</v>
      </c>
    </row>
    <row r="16" customFormat="false" ht="15" hidden="false" customHeight="false" outlineLevel="0" collapsed="false">
      <c r="A16" s="43" t="s">
        <v>63</v>
      </c>
      <c r="B16" s="43" t="s">
        <v>602</v>
      </c>
      <c r="C16" s="44" t="n">
        <v>1205315.21</v>
      </c>
      <c r="D16" s="43" t="s">
        <v>515</v>
      </c>
      <c r="E16" s="43" t="s">
        <v>598</v>
      </c>
    </row>
    <row r="17" customFormat="false" ht="15" hidden="false" customHeight="false" outlineLevel="0" collapsed="false">
      <c r="A17" s="43" t="s">
        <v>179</v>
      </c>
      <c r="B17" s="43" t="s">
        <v>602</v>
      </c>
      <c r="C17" s="44" t="n">
        <v>338729</v>
      </c>
      <c r="D17" s="43" t="s">
        <v>515</v>
      </c>
      <c r="E17" s="43" t="s">
        <v>598</v>
      </c>
    </row>
    <row r="18" customFormat="false" ht="15" hidden="false" customHeight="false" outlineLevel="0" collapsed="false">
      <c r="A18" s="43" t="s">
        <v>596</v>
      </c>
      <c r="B18" s="43" t="s">
        <v>603</v>
      </c>
      <c r="C18" s="44" t="n">
        <v>3082559.78</v>
      </c>
      <c r="D18" s="43" t="s">
        <v>515</v>
      </c>
      <c r="E18" s="43" t="s">
        <v>598</v>
      </c>
    </row>
    <row r="19" customFormat="false" ht="15" hidden="false" customHeight="false" outlineLevel="0" collapsed="false">
      <c r="A19" s="43" t="s">
        <v>599</v>
      </c>
      <c r="B19" s="43" t="s">
        <v>603</v>
      </c>
      <c r="C19" s="44" t="n">
        <v>983242</v>
      </c>
      <c r="D19" s="43" t="s">
        <v>515</v>
      </c>
      <c r="E19" s="43" t="s">
        <v>598</v>
      </c>
    </row>
    <row r="20" customFormat="false" ht="15" hidden="false" customHeight="false" outlineLevel="0" collapsed="false">
      <c r="A20" s="43" t="s">
        <v>600</v>
      </c>
      <c r="B20" s="43" t="s">
        <v>603</v>
      </c>
      <c r="C20" s="44" t="n">
        <v>133388</v>
      </c>
      <c r="D20" s="43" t="s">
        <v>515</v>
      </c>
      <c r="E20" s="43" t="s">
        <v>598</v>
      </c>
    </row>
    <row r="21" customFormat="false" ht="15" hidden="false" customHeight="false" outlineLevel="0" collapsed="false">
      <c r="A21" s="43" t="s">
        <v>63</v>
      </c>
      <c r="B21" s="43" t="s">
        <v>603</v>
      </c>
      <c r="C21" s="44" t="n">
        <v>0</v>
      </c>
      <c r="D21" s="43" t="s">
        <v>515</v>
      </c>
      <c r="E21" s="43" t="s">
        <v>598</v>
      </c>
    </row>
    <row r="22" customFormat="false" ht="15" hidden="false" customHeight="false" outlineLevel="0" collapsed="false">
      <c r="A22" s="43" t="s">
        <v>179</v>
      </c>
      <c r="B22" s="43" t="s">
        <v>603</v>
      </c>
      <c r="C22" s="44" t="n">
        <v>0</v>
      </c>
      <c r="D22" s="43" t="s">
        <v>515</v>
      </c>
      <c r="E22" s="43" t="s">
        <v>598</v>
      </c>
    </row>
    <row r="23" customFormat="false" ht="15" hidden="false" customHeight="false" outlineLevel="0" collapsed="false">
      <c r="A23" s="43" t="s">
        <v>596</v>
      </c>
      <c r="B23" s="43" t="s">
        <v>604</v>
      </c>
      <c r="C23" s="44" t="n">
        <v>731847.19</v>
      </c>
      <c r="D23" s="43" t="s">
        <v>515</v>
      </c>
      <c r="E23" s="43" t="s">
        <v>598</v>
      </c>
    </row>
    <row r="24" customFormat="false" ht="15" hidden="false" customHeight="false" outlineLevel="0" collapsed="false">
      <c r="A24" s="43" t="s">
        <v>599</v>
      </c>
      <c r="B24" s="43" t="s">
        <v>604</v>
      </c>
      <c r="C24" s="44" t="n">
        <v>361181.94</v>
      </c>
      <c r="D24" s="43" t="s">
        <v>515</v>
      </c>
      <c r="E24" s="43" t="s">
        <v>598</v>
      </c>
    </row>
    <row r="25" customFormat="false" ht="15" hidden="false" customHeight="false" outlineLevel="0" collapsed="false">
      <c r="A25" s="43" t="s">
        <v>600</v>
      </c>
      <c r="B25" s="43" t="s">
        <v>604</v>
      </c>
      <c r="C25" s="44" t="n">
        <v>159204</v>
      </c>
      <c r="D25" s="43" t="s">
        <v>515</v>
      </c>
      <c r="E25" s="43" t="s">
        <v>598</v>
      </c>
    </row>
    <row r="26" customFormat="false" ht="15" hidden="false" customHeight="false" outlineLevel="0" collapsed="false">
      <c r="A26" s="43" t="s">
        <v>63</v>
      </c>
      <c r="B26" s="43" t="s">
        <v>604</v>
      </c>
      <c r="C26" s="44" t="n">
        <v>420945</v>
      </c>
      <c r="D26" s="43" t="s">
        <v>515</v>
      </c>
      <c r="E26" s="43" t="s">
        <v>598</v>
      </c>
    </row>
    <row r="27" customFormat="false" ht="15" hidden="false" customHeight="false" outlineLevel="0" collapsed="false">
      <c r="A27" s="43" t="s">
        <v>179</v>
      </c>
      <c r="B27" s="43" t="s">
        <v>604</v>
      </c>
      <c r="C27" s="44" t="n">
        <v>77626.8</v>
      </c>
      <c r="D27" s="43" t="s">
        <v>515</v>
      </c>
      <c r="E27" s="43" t="s">
        <v>598</v>
      </c>
    </row>
    <row r="28" customFormat="false" ht="15" hidden="false" customHeight="false" outlineLevel="0" collapsed="false">
      <c r="A28" s="43" t="s">
        <v>596</v>
      </c>
      <c r="B28" s="43" t="s">
        <v>605</v>
      </c>
      <c r="C28" s="44" t="n">
        <v>520272.6</v>
      </c>
      <c r="D28" s="43" t="s">
        <v>515</v>
      </c>
      <c r="E28" s="43" t="s">
        <v>598</v>
      </c>
    </row>
    <row r="29" customFormat="false" ht="15" hidden="false" customHeight="false" outlineLevel="0" collapsed="false">
      <c r="A29" s="43" t="s">
        <v>599</v>
      </c>
      <c r="B29" s="43" t="s">
        <v>605</v>
      </c>
      <c r="C29" s="44" t="n">
        <v>53547.85</v>
      </c>
      <c r="D29" s="43" t="s">
        <v>515</v>
      </c>
      <c r="E29" s="43" t="s">
        <v>598</v>
      </c>
    </row>
    <row r="30" customFormat="false" ht="15" hidden="false" customHeight="false" outlineLevel="0" collapsed="false">
      <c r="A30" s="43" t="s">
        <v>600</v>
      </c>
      <c r="B30" s="43" t="s">
        <v>605</v>
      </c>
      <c r="C30" s="44" t="n">
        <v>78515.4</v>
      </c>
      <c r="D30" s="43" t="s">
        <v>515</v>
      </c>
      <c r="E30" s="43" t="s">
        <v>598</v>
      </c>
    </row>
    <row r="31" customFormat="false" ht="15" hidden="false" customHeight="false" outlineLevel="0" collapsed="false">
      <c r="A31" s="43" t="s">
        <v>63</v>
      </c>
      <c r="B31" s="43" t="s">
        <v>605</v>
      </c>
      <c r="C31" s="44" t="n">
        <v>5320</v>
      </c>
      <c r="D31" s="43" t="s">
        <v>515</v>
      </c>
      <c r="E31" s="43" t="s">
        <v>598</v>
      </c>
    </row>
    <row r="32" customFormat="false" ht="15" hidden="false" customHeight="false" outlineLevel="0" collapsed="false">
      <c r="A32" s="43" t="s">
        <v>179</v>
      </c>
      <c r="B32" s="43" t="s">
        <v>605</v>
      </c>
      <c r="C32" s="44" t="n">
        <v>0</v>
      </c>
      <c r="D32" s="43" t="s">
        <v>515</v>
      </c>
      <c r="E32" s="43" t="s">
        <v>598</v>
      </c>
    </row>
    <row r="33" customFormat="false" ht="15" hidden="false" customHeight="false" outlineLevel="0" collapsed="false">
      <c r="A33" s="43" t="s">
        <v>596</v>
      </c>
      <c r="B33" s="43" t="s">
        <v>606</v>
      </c>
      <c r="C33" s="44" t="n">
        <v>4334679.57</v>
      </c>
      <c r="D33" s="43" t="s">
        <v>515</v>
      </c>
      <c r="E33" s="43" t="s">
        <v>598</v>
      </c>
    </row>
    <row r="34" customFormat="false" ht="15" hidden="false" customHeight="false" outlineLevel="0" collapsed="false">
      <c r="A34" s="43" t="s">
        <v>599</v>
      </c>
      <c r="B34" s="43" t="s">
        <v>606</v>
      </c>
      <c r="C34" s="44" t="n">
        <v>1397971.79</v>
      </c>
      <c r="D34" s="43" t="s">
        <v>515</v>
      </c>
      <c r="E34" s="43" t="s">
        <v>598</v>
      </c>
    </row>
    <row r="35" customFormat="false" ht="15" hidden="false" customHeight="false" outlineLevel="0" collapsed="false">
      <c r="A35" s="43" t="s">
        <v>600</v>
      </c>
      <c r="B35" s="43" t="s">
        <v>606</v>
      </c>
      <c r="C35" s="44" t="n">
        <v>371107.4</v>
      </c>
      <c r="D35" s="43" t="s">
        <v>515</v>
      </c>
      <c r="E35" s="43" t="s">
        <v>598</v>
      </c>
    </row>
    <row r="36" customFormat="false" ht="15" hidden="false" customHeight="false" outlineLevel="0" collapsed="false">
      <c r="A36" s="43" t="s">
        <v>63</v>
      </c>
      <c r="B36" s="43" t="s">
        <v>606</v>
      </c>
      <c r="C36" s="44" t="n">
        <v>426265</v>
      </c>
      <c r="D36" s="43" t="s">
        <v>515</v>
      </c>
      <c r="E36" s="43" t="s">
        <v>598</v>
      </c>
    </row>
    <row r="37" customFormat="false" ht="15" hidden="false" customHeight="false" outlineLevel="0" collapsed="false">
      <c r="A37" s="43" t="s">
        <v>179</v>
      </c>
      <c r="B37" s="43" t="s">
        <v>606</v>
      </c>
      <c r="C37" s="44" t="n">
        <v>77626.8</v>
      </c>
      <c r="D37" s="43" t="s">
        <v>515</v>
      </c>
      <c r="E37" s="43" t="s">
        <v>598</v>
      </c>
    </row>
    <row r="38" customFormat="false" ht="15" hidden="false" customHeight="false" outlineLevel="0" collapsed="false">
      <c r="A38" s="43" t="s">
        <v>596</v>
      </c>
      <c r="B38" s="43" t="s">
        <v>607</v>
      </c>
      <c r="C38" s="44" t="n">
        <v>642534.25</v>
      </c>
      <c r="D38" s="43" t="s">
        <v>515</v>
      </c>
      <c r="E38" s="43" t="s">
        <v>598</v>
      </c>
    </row>
    <row r="39" customFormat="false" ht="15" hidden="false" customHeight="false" outlineLevel="0" collapsed="false">
      <c r="A39" s="43" t="s">
        <v>599</v>
      </c>
      <c r="B39" s="43" t="s">
        <v>607</v>
      </c>
      <c r="C39" s="44" t="n">
        <v>181782</v>
      </c>
      <c r="D39" s="43" t="s">
        <v>515</v>
      </c>
      <c r="E39" s="43" t="s">
        <v>598</v>
      </c>
    </row>
    <row r="40" customFormat="false" ht="15" hidden="false" customHeight="false" outlineLevel="0" collapsed="false">
      <c r="A40" s="43" t="s">
        <v>600</v>
      </c>
      <c r="B40" s="43" t="s">
        <v>607</v>
      </c>
      <c r="C40" s="44" t="n">
        <v>77759</v>
      </c>
      <c r="D40" s="43" t="s">
        <v>515</v>
      </c>
      <c r="E40" s="43" t="s">
        <v>598</v>
      </c>
    </row>
    <row r="41" customFormat="false" ht="15" hidden="false" customHeight="false" outlineLevel="0" collapsed="false">
      <c r="A41" s="43" t="s">
        <v>63</v>
      </c>
      <c r="B41" s="43" t="s">
        <v>607</v>
      </c>
      <c r="C41" s="44" t="n">
        <v>16098</v>
      </c>
      <c r="D41" s="43" t="s">
        <v>515</v>
      </c>
      <c r="E41" s="43" t="s">
        <v>598</v>
      </c>
    </row>
    <row r="42" customFormat="false" ht="15" hidden="false" customHeight="false" outlineLevel="0" collapsed="false">
      <c r="A42" s="43" t="s">
        <v>179</v>
      </c>
      <c r="B42" s="43" t="s">
        <v>607</v>
      </c>
      <c r="C42" s="44" t="n">
        <v>0</v>
      </c>
      <c r="D42" s="43" t="s">
        <v>515</v>
      </c>
      <c r="E42" s="43" t="s">
        <v>598</v>
      </c>
    </row>
    <row r="43" customFormat="false" ht="15" hidden="false" customHeight="false" outlineLevel="0" collapsed="false">
      <c r="A43" s="43" t="s">
        <v>596</v>
      </c>
      <c r="B43" s="43" t="s">
        <v>608</v>
      </c>
      <c r="C43" s="44" t="n">
        <v>-1407140.58</v>
      </c>
      <c r="D43" s="43" t="s">
        <v>515</v>
      </c>
      <c r="E43" s="43" t="s">
        <v>598</v>
      </c>
    </row>
    <row r="44" customFormat="false" ht="15" hidden="false" customHeight="false" outlineLevel="0" collapsed="false">
      <c r="A44" s="43" t="s">
        <v>599</v>
      </c>
      <c r="B44" s="43" t="s">
        <v>608</v>
      </c>
      <c r="C44" s="44" t="n">
        <v>685490.21</v>
      </c>
      <c r="D44" s="43" t="s">
        <v>515</v>
      </c>
      <c r="E44" s="43" t="s">
        <v>598</v>
      </c>
    </row>
    <row r="45" customFormat="false" ht="15" hidden="false" customHeight="false" outlineLevel="0" collapsed="false">
      <c r="A45" s="43" t="s">
        <v>600</v>
      </c>
      <c r="B45" s="43" t="s">
        <v>608</v>
      </c>
      <c r="C45" s="44" t="n">
        <v>1145374.81</v>
      </c>
      <c r="D45" s="43" t="s">
        <v>515</v>
      </c>
      <c r="E45" s="43" t="s">
        <v>598</v>
      </c>
    </row>
    <row r="46" customFormat="false" ht="15" hidden="false" customHeight="false" outlineLevel="0" collapsed="false">
      <c r="A46" s="43" t="s">
        <v>63</v>
      </c>
      <c r="B46" s="43" t="s">
        <v>608</v>
      </c>
      <c r="C46" s="44" t="n">
        <v>762952.21</v>
      </c>
      <c r="D46" s="43" t="s">
        <v>515</v>
      </c>
      <c r="E46" s="43" t="s">
        <v>598</v>
      </c>
    </row>
    <row r="47" customFormat="false" ht="15" hidden="false" customHeight="false" outlineLevel="0" collapsed="false">
      <c r="A47" s="43" t="s">
        <v>179</v>
      </c>
      <c r="B47" s="43" t="s">
        <v>608</v>
      </c>
      <c r="C47" s="44" t="n">
        <v>245102.2</v>
      </c>
      <c r="D47" s="43" t="s">
        <v>515</v>
      </c>
      <c r="E47" s="43" t="s">
        <v>598</v>
      </c>
    </row>
    <row r="48" customFormat="false" ht="15" hidden="false" customHeight="false" outlineLevel="0" collapsed="false">
      <c r="A48" s="43" t="s">
        <v>596</v>
      </c>
      <c r="B48" s="43" t="s">
        <v>609</v>
      </c>
      <c r="C48" s="44" t="n">
        <v>52257.14</v>
      </c>
      <c r="D48" s="43" t="s">
        <v>515</v>
      </c>
      <c r="E48" s="43" t="s">
        <v>598</v>
      </c>
    </row>
    <row r="49" customFormat="false" ht="15" hidden="false" customHeight="false" outlineLevel="0" collapsed="false">
      <c r="A49" s="43" t="s">
        <v>599</v>
      </c>
      <c r="B49" s="43" t="s">
        <v>609</v>
      </c>
      <c r="C49" s="44" t="n">
        <v>136767.69</v>
      </c>
      <c r="D49" s="43" t="s">
        <v>515</v>
      </c>
      <c r="E49" s="43" t="s">
        <v>598</v>
      </c>
    </row>
    <row r="50" customFormat="false" ht="15" hidden="false" customHeight="false" outlineLevel="0" collapsed="false">
      <c r="A50" s="43" t="s">
        <v>600</v>
      </c>
      <c r="B50" s="43" t="s">
        <v>609</v>
      </c>
      <c r="C50" s="44" t="n">
        <v>9622.33</v>
      </c>
      <c r="D50" s="43" t="s">
        <v>515</v>
      </c>
      <c r="E50" s="43" t="s">
        <v>598</v>
      </c>
    </row>
    <row r="51" customFormat="false" ht="15" hidden="false" customHeight="false" outlineLevel="0" collapsed="false">
      <c r="A51" s="43" t="s">
        <v>63</v>
      </c>
      <c r="B51" s="43" t="s">
        <v>609</v>
      </c>
      <c r="C51" s="44" t="n">
        <v>55345</v>
      </c>
      <c r="D51" s="43" t="s">
        <v>515</v>
      </c>
      <c r="E51" s="43" t="s">
        <v>598</v>
      </c>
    </row>
    <row r="52" customFormat="false" ht="15" hidden="false" customHeight="false" outlineLevel="0" collapsed="false">
      <c r="A52" s="43" t="s">
        <v>179</v>
      </c>
      <c r="B52" s="43" t="s">
        <v>609</v>
      </c>
      <c r="C52" s="44" t="n">
        <v>0</v>
      </c>
      <c r="D52" s="43" t="s">
        <v>515</v>
      </c>
      <c r="E52" s="43" t="s">
        <v>598</v>
      </c>
    </row>
    <row r="53" customFormat="false" ht="15" hidden="false" customHeight="false" outlineLevel="0" collapsed="false">
      <c r="A53" s="43" t="s">
        <v>596</v>
      </c>
      <c r="B53" s="43" t="s">
        <v>610</v>
      </c>
      <c r="C53" s="44" t="n">
        <v>-8402.85</v>
      </c>
      <c r="D53" s="43" t="s">
        <v>515</v>
      </c>
      <c r="E53" s="43" t="s">
        <v>598</v>
      </c>
    </row>
    <row r="54" customFormat="false" ht="15" hidden="false" customHeight="false" outlineLevel="0" collapsed="false">
      <c r="A54" s="43" t="s">
        <v>599</v>
      </c>
      <c r="B54" s="43" t="s">
        <v>610</v>
      </c>
      <c r="C54" s="44" t="n">
        <v>80817.9</v>
      </c>
      <c r="D54" s="43" t="s">
        <v>515</v>
      </c>
      <c r="E54" s="43" t="s">
        <v>598</v>
      </c>
    </row>
    <row r="55" customFormat="false" ht="15" hidden="false" customHeight="false" outlineLevel="0" collapsed="false">
      <c r="A55" s="43" t="s">
        <v>600</v>
      </c>
      <c r="B55" s="43" t="s">
        <v>610</v>
      </c>
      <c r="C55" s="44" t="n">
        <v>379615.14</v>
      </c>
      <c r="D55" s="43" t="s">
        <v>515</v>
      </c>
      <c r="E55" s="43" t="s">
        <v>598</v>
      </c>
    </row>
    <row r="56" customFormat="false" ht="15" hidden="false" customHeight="false" outlineLevel="0" collapsed="false">
      <c r="A56" s="43" t="s">
        <v>63</v>
      </c>
      <c r="B56" s="43" t="s">
        <v>610</v>
      </c>
      <c r="C56" s="44" t="n">
        <v>69763.21</v>
      </c>
      <c r="D56" s="43" t="s">
        <v>515</v>
      </c>
      <c r="E56" s="43" t="s">
        <v>598</v>
      </c>
    </row>
    <row r="57" customFormat="false" ht="15" hidden="false" customHeight="false" outlineLevel="0" collapsed="false">
      <c r="A57" s="43" t="s">
        <v>179</v>
      </c>
      <c r="B57" s="43" t="s">
        <v>610</v>
      </c>
      <c r="C57" s="44" t="n">
        <v>1399151.2</v>
      </c>
      <c r="D57" s="43" t="s">
        <v>515</v>
      </c>
      <c r="E57" s="43" t="s">
        <v>598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7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3"/>
    <col collapsed="false" customWidth="true" hidden="false" outlineLevel="0" max="4" min="3" style="0" width="40"/>
    <col collapsed="false" customWidth="true" hidden="false" outlineLevel="0" max="5" min="5" style="0" width="21"/>
    <col collapsed="false" customWidth="true" hidden="false" outlineLevel="0" max="7" min="6" style="0" width="9"/>
    <col collapsed="false" customWidth="true" hidden="false" outlineLevel="0" max="8" min="8" style="0" width="20"/>
    <col collapsed="false" customWidth="true" hidden="false" outlineLevel="0" max="9" min="9" style="0" width="14"/>
    <col collapsed="false" customWidth="true" hidden="false" outlineLevel="0" max="10" min="10" style="0" width="13"/>
    <col collapsed="false" customWidth="true" hidden="false" outlineLevel="0" max="11" min="11" style="0" width="20"/>
    <col collapsed="false" customWidth="true" hidden="false" outlineLevel="0" max="12" min="12" style="0" width="14"/>
    <col collapsed="false" customWidth="true" hidden="false" outlineLevel="0" max="13" min="13" style="0" width="13"/>
    <col collapsed="false" customWidth="true" hidden="false" outlineLevel="0" max="14" min="14" style="0" width="20"/>
    <col collapsed="false" customWidth="true" hidden="false" outlineLevel="0" max="15" min="15" style="0" width="14"/>
    <col collapsed="false" customWidth="true" hidden="false" outlineLevel="0" max="16" min="16" style="0" width="13"/>
    <col collapsed="false" customWidth="true" hidden="false" outlineLevel="0" max="17" min="17" style="0" width="20"/>
    <col collapsed="false" customWidth="true" hidden="false" outlineLevel="0" max="18" min="18" style="0" width="9"/>
    <col collapsed="false" customWidth="true" hidden="false" outlineLevel="0" max="19" min="19" style="0" width="33"/>
    <col collapsed="false" customWidth="true" hidden="false" outlineLevel="0" max="20" min="20" style="0" width="37"/>
    <col collapsed="false" customWidth="true" hidden="false" outlineLevel="0" max="21" min="21" style="0" width="29"/>
    <col collapsed="false" customWidth="true" hidden="false" outlineLevel="0" max="24" min="22" style="0" width="22"/>
    <col collapsed="false" customWidth="true" hidden="false" outlineLevel="0" max="25" min="25" style="0" width="35"/>
    <col collapsed="false" customWidth="true" hidden="false" outlineLevel="0" max="26" min="26" style="0" width="18"/>
  </cols>
  <sheetData>
    <row r="1" customFormat="false" ht="15" hidden="false" customHeight="false" outlineLevel="0" collapsed="false">
      <c r="A1" s="41" t="s">
        <v>611</v>
      </c>
    </row>
    <row r="2" customFormat="false" ht="15" hidden="false" customHeight="false" outlineLevel="0" collapsed="false">
      <c r="A2" s="42" t="s">
        <v>612</v>
      </c>
      <c r="B2" s="42" t="s">
        <v>613</v>
      </c>
      <c r="C2" s="42" t="s">
        <v>614</v>
      </c>
      <c r="D2" s="42" t="s">
        <v>239</v>
      </c>
      <c r="E2" s="42" t="s">
        <v>124</v>
      </c>
      <c r="F2" s="42" t="s">
        <v>508</v>
      </c>
      <c r="G2" s="42" t="s">
        <v>509</v>
      </c>
      <c r="H2" s="42" t="s">
        <v>615</v>
      </c>
      <c r="I2" s="42" t="s">
        <v>616</v>
      </c>
      <c r="J2" s="42" t="s">
        <v>617</v>
      </c>
      <c r="K2" s="42" t="s">
        <v>618</v>
      </c>
      <c r="L2" s="42" t="s">
        <v>619</v>
      </c>
      <c r="M2" s="42" t="s">
        <v>620</v>
      </c>
      <c r="N2" s="42" t="s">
        <v>621</v>
      </c>
      <c r="O2" s="42" t="s">
        <v>622</v>
      </c>
      <c r="P2" s="42" t="s">
        <v>623</v>
      </c>
      <c r="Q2" s="42" t="s">
        <v>624</v>
      </c>
      <c r="R2" s="42" t="s">
        <v>625</v>
      </c>
      <c r="S2" s="42" t="s">
        <v>626</v>
      </c>
      <c r="T2" s="42" t="s">
        <v>627</v>
      </c>
      <c r="U2" s="42" t="s">
        <v>628</v>
      </c>
      <c r="V2" s="42" t="s">
        <v>629</v>
      </c>
      <c r="W2" s="42" t="s">
        <v>630</v>
      </c>
      <c r="X2" s="42" t="s">
        <v>631</v>
      </c>
      <c r="Y2" s="42" t="s">
        <v>512</v>
      </c>
      <c r="Z2" s="42" t="s">
        <v>513</v>
      </c>
    </row>
    <row r="3" customFormat="false" ht="15" hidden="false" customHeight="false" outlineLevel="0" collapsed="false">
      <c r="A3" s="43" t="n">
        <v>1</v>
      </c>
      <c r="B3" s="43"/>
      <c r="C3" s="43" t="s">
        <v>632</v>
      </c>
      <c r="D3" s="43" t="s">
        <v>632</v>
      </c>
      <c r="E3" s="43" t="s">
        <v>171</v>
      </c>
      <c r="F3" s="43" t="s">
        <v>63</v>
      </c>
      <c r="G3" s="43" t="n">
        <v>2025</v>
      </c>
      <c r="H3" s="44" t="n">
        <v>0</v>
      </c>
      <c r="I3" s="43" t="n">
        <v>2025</v>
      </c>
      <c r="J3" s="43" t="n">
        <v>8</v>
      </c>
      <c r="K3" s="44" t="n">
        <v>44465</v>
      </c>
      <c r="L3" s="43" t="n">
        <v>2025</v>
      </c>
      <c r="M3" s="43" t="n">
        <v>8</v>
      </c>
      <c r="N3" s="44" t="n">
        <v>44465</v>
      </c>
      <c r="O3" s="43" t="n">
        <v>2025</v>
      </c>
      <c r="P3" s="43" t="n">
        <v>10</v>
      </c>
      <c r="Q3" s="44" t="n">
        <v>44465</v>
      </c>
      <c r="R3" s="43"/>
      <c r="S3" s="43" t="s">
        <v>86</v>
      </c>
      <c r="T3" s="43" t="s">
        <v>633</v>
      </c>
      <c r="U3" s="43" t="s">
        <v>634</v>
      </c>
      <c r="V3" s="43" t="n">
        <v>0</v>
      </c>
      <c r="W3" s="43" t="n">
        <v>41</v>
      </c>
      <c r="X3" s="43" t="n">
        <v>41</v>
      </c>
      <c r="Y3" s="43" t="s">
        <v>635</v>
      </c>
      <c r="Z3" s="43" t="s">
        <v>636</v>
      </c>
    </row>
    <row r="4" customFormat="false" ht="15" hidden="false" customHeight="false" outlineLevel="0" collapsed="false">
      <c r="A4" s="43" t="n">
        <v>2</v>
      </c>
      <c r="B4" s="43" t="s">
        <v>637</v>
      </c>
      <c r="C4" s="43" t="s">
        <v>638</v>
      </c>
      <c r="D4" s="43" t="s">
        <v>639</v>
      </c>
      <c r="E4" s="43" t="s">
        <v>143</v>
      </c>
      <c r="F4" s="43" t="s">
        <v>61</v>
      </c>
      <c r="G4" s="43" t="n">
        <v>2023</v>
      </c>
      <c r="H4" s="44" t="n">
        <v>165237</v>
      </c>
      <c r="I4" s="43" t="n">
        <v>2023</v>
      </c>
      <c r="J4" s="43" t="n">
        <v>9</v>
      </c>
      <c r="K4" s="44" t="n">
        <v>165237</v>
      </c>
      <c r="L4" s="43" t="n">
        <v>2023</v>
      </c>
      <c r="M4" s="43" t="n">
        <v>10</v>
      </c>
      <c r="N4" s="44" t="n">
        <v>165237</v>
      </c>
      <c r="O4" s="43" t="n">
        <v>2023</v>
      </c>
      <c r="P4" s="43" t="n">
        <v>11</v>
      </c>
      <c r="Q4" s="44" t="n">
        <v>165194.83</v>
      </c>
      <c r="R4" s="43" t="s">
        <v>640</v>
      </c>
      <c r="S4" s="43" t="s">
        <v>84</v>
      </c>
      <c r="T4" s="43" t="s">
        <v>641</v>
      </c>
      <c r="U4" s="43" t="s">
        <v>642</v>
      </c>
      <c r="V4" s="43" t="n">
        <v>28</v>
      </c>
      <c r="W4" s="43" t="n">
        <v>9</v>
      </c>
      <c r="X4" s="43" t="n">
        <v>37</v>
      </c>
      <c r="Y4" s="43" t="s">
        <v>635</v>
      </c>
      <c r="Z4" s="43" t="s">
        <v>636</v>
      </c>
    </row>
    <row r="5" customFormat="false" ht="15" hidden="false" customHeight="false" outlineLevel="0" collapsed="false">
      <c r="A5" s="43" t="n">
        <v>3</v>
      </c>
      <c r="B5" s="43" t="s">
        <v>643</v>
      </c>
      <c r="C5" s="43" t="s">
        <v>644</v>
      </c>
      <c r="D5" s="43" t="s">
        <v>645</v>
      </c>
      <c r="E5" s="43" t="s">
        <v>131</v>
      </c>
      <c r="F5" s="43" t="s">
        <v>48</v>
      </c>
      <c r="G5" s="43" t="n">
        <v>2023</v>
      </c>
      <c r="H5" s="44" t="n">
        <v>0</v>
      </c>
      <c r="I5" s="43" t="n">
        <v>2022</v>
      </c>
      <c r="J5" s="43" t="n">
        <v>12</v>
      </c>
      <c r="K5" s="44" t="n">
        <v>48961.63</v>
      </c>
      <c r="L5" s="43" t="n">
        <v>2023</v>
      </c>
      <c r="M5" s="43" t="n">
        <v>1</v>
      </c>
      <c r="N5" s="44" t="n">
        <v>48961.63</v>
      </c>
      <c r="O5" s="43" t="n">
        <v>2023</v>
      </c>
      <c r="P5" s="43" t="n">
        <v>1</v>
      </c>
      <c r="Q5" s="44" t="n">
        <v>46513.5485</v>
      </c>
      <c r="R5" s="43" t="s">
        <v>646</v>
      </c>
      <c r="S5" s="43" t="s">
        <v>83</v>
      </c>
      <c r="T5" s="43" t="s">
        <v>641</v>
      </c>
      <c r="U5" s="43" t="s">
        <v>647</v>
      </c>
      <c r="V5" s="43" t="n">
        <v>20</v>
      </c>
      <c r="W5" s="43" t="n">
        <v>15</v>
      </c>
      <c r="X5" s="43" t="n">
        <v>35</v>
      </c>
      <c r="Y5" s="43" t="s">
        <v>635</v>
      </c>
      <c r="Z5" s="43" t="s">
        <v>636</v>
      </c>
    </row>
    <row r="6" customFormat="false" ht="15" hidden="false" customHeight="false" outlineLevel="0" collapsed="false">
      <c r="A6" s="43" t="n">
        <v>4</v>
      </c>
      <c r="B6" s="43" t="s">
        <v>643</v>
      </c>
      <c r="C6" s="43" t="s">
        <v>644</v>
      </c>
      <c r="D6" s="43" t="s">
        <v>645</v>
      </c>
      <c r="E6" s="43" t="s">
        <v>131</v>
      </c>
      <c r="F6" s="43" t="s">
        <v>48</v>
      </c>
      <c r="G6" s="43" t="n">
        <v>2023</v>
      </c>
      <c r="H6" s="44" t="n">
        <v>0</v>
      </c>
      <c r="I6" s="43" t="n">
        <v>2022</v>
      </c>
      <c r="J6" s="43" t="n">
        <v>12</v>
      </c>
      <c r="K6" s="44" t="n">
        <v>2880.1731875</v>
      </c>
      <c r="L6" s="43" t="n">
        <v>2023</v>
      </c>
      <c r="M6" s="43" t="n">
        <v>2</v>
      </c>
      <c r="N6" s="44" t="n">
        <v>2880.1731875</v>
      </c>
      <c r="O6" s="43" t="n">
        <v>2023</v>
      </c>
      <c r="P6" s="43" t="n">
        <v>3</v>
      </c>
      <c r="Q6" s="44" t="n">
        <v>2736.164528125</v>
      </c>
      <c r="R6" s="43" t="s">
        <v>646</v>
      </c>
      <c r="S6" s="43" t="s">
        <v>83</v>
      </c>
      <c r="T6" s="43" t="s">
        <v>641</v>
      </c>
      <c r="U6" s="43" t="s">
        <v>647</v>
      </c>
      <c r="V6" s="43" t="n">
        <v>64</v>
      </c>
      <c r="W6" s="43" t="n">
        <v>6</v>
      </c>
      <c r="X6" s="43" t="n">
        <v>70</v>
      </c>
      <c r="Y6" s="43" t="s">
        <v>635</v>
      </c>
      <c r="Z6" s="43" t="s">
        <v>636</v>
      </c>
    </row>
    <row r="7" customFormat="false" ht="15" hidden="false" customHeight="false" outlineLevel="0" collapsed="false">
      <c r="A7" s="43" t="n">
        <v>5</v>
      </c>
      <c r="B7" s="43" t="s">
        <v>643</v>
      </c>
      <c r="C7" s="43" t="s">
        <v>644</v>
      </c>
      <c r="D7" s="43" t="s">
        <v>645</v>
      </c>
      <c r="E7" s="43" t="s">
        <v>131</v>
      </c>
      <c r="F7" s="43" t="s">
        <v>48</v>
      </c>
      <c r="G7" s="43" t="n">
        <v>2023</v>
      </c>
      <c r="H7" s="44" t="n">
        <v>0</v>
      </c>
      <c r="I7" s="43" t="n">
        <v>2023</v>
      </c>
      <c r="J7" s="43" t="n">
        <v>2</v>
      </c>
      <c r="K7" s="44" t="n">
        <v>35461.9625</v>
      </c>
      <c r="L7" s="43" t="n">
        <v>2023</v>
      </c>
      <c r="M7" s="43" t="n">
        <v>3</v>
      </c>
      <c r="N7" s="44" t="n">
        <v>35461.9625</v>
      </c>
      <c r="O7" s="43" t="n">
        <v>2023</v>
      </c>
      <c r="P7" s="43" t="n">
        <v>3</v>
      </c>
      <c r="Q7" s="44" t="n">
        <v>33688.864375</v>
      </c>
      <c r="R7" s="43" t="s">
        <v>646</v>
      </c>
      <c r="S7" s="43" t="s">
        <v>83</v>
      </c>
      <c r="T7" s="43" t="s">
        <v>641</v>
      </c>
      <c r="U7" s="43" t="s">
        <v>647</v>
      </c>
      <c r="V7" s="43" t="n">
        <v>14</v>
      </c>
      <c r="W7" s="43" t="n">
        <v>8</v>
      </c>
      <c r="X7" s="43" t="n">
        <v>22</v>
      </c>
      <c r="Y7" s="43" t="s">
        <v>635</v>
      </c>
      <c r="Z7" s="43" t="s">
        <v>636</v>
      </c>
    </row>
    <row r="8" customFormat="false" ht="15" hidden="false" customHeight="false" outlineLevel="0" collapsed="false">
      <c r="A8" s="43" t="n">
        <v>6</v>
      </c>
      <c r="B8" s="43" t="s">
        <v>643</v>
      </c>
      <c r="C8" s="43" t="s">
        <v>644</v>
      </c>
      <c r="D8" s="43" t="s">
        <v>645</v>
      </c>
      <c r="E8" s="43" t="s">
        <v>131</v>
      </c>
      <c r="F8" s="43" t="s">
        <v>48</v>
      </c>
      <c r="G8" s="43" t="n">
        <v>2023</v>
      </c>
      <c r="H8" s="44" t="n">
        <v>0</v>
      </c>
      <c r="I8" s="43" t="n">
        <v>2023</v>
      </c>
      <c r="J8" s="43" t="n">
        <v>3</v>
      </c>
      <c r="K8" s="44" t="n">
        <v>20262.08</v>
      </c>
      <c r="L8" s="43" t="n">
        <v>2023</v>
      </c>
      <c r="M8" s="43" t="n">
        <v>4</v>
      </c>
      <c r="N8" s="44" t="n">
        <v>20262.08</v>
      </c>
      <c r="O8" s="43" t="n">
        <v>2023</v>
      </c>
      <c r="P8" s="43" t="n">
        <v>4</v>
      </c>
      <c r="Q8" s="44" t="n">
        <v>19248.976</v>
      </c>
      <c r="R8" s="43" t="s">
        <v>646</v>
      </c>
      <c r="S8" s="43" t="s">
        <v>83</v>
      </c>
      <c r="T8" s="43" t="s">
        <v>641</v>
      </c>
      <c r="U8" s="43" t="s">
        <v>647</v>
      </c>
      <c r="V8" s="43" t="n">
        <v>15</v>
      </c>
      <c r="W8" s="43" t="n">
        <v>16</v>
      </c>
      <c r="X8" s="43" t="n">
        <v>31</v>
      </c>
      <c r="Y8" s="43" t="s">
        <v>635</v>
      </c>
      <c r="Z8" s="43" t="s">
        <v>636</v>
      </c>
    </row>
    <row r="9" customFormat="false" ht="15" hidden="false" customHeight="false" outlineLevel="0" collapsed="false">
      <c r="A9" s="43" t="n">
        <v>7</v>
      </c>
      <c r="B9" s="43" t="s">
        <v>643</v>
      </c>
      <c r="C9" s="43" t="s">
        <v>644</v>
      </c>
      <c r="D9" s="43" t="s">
        <v>645</v>
      </c>
      <c r="E9" s="43" t="s">
        <v>131</v>
      </c>
      <c r="F9" s="43" t="s">
        <v>48</v>
      </c>
      <c r="G9" s="43" t="n">
        <v>2023</v>
      </c>
      <c r="H9" s="44" t="n">
        <v>0</v>
      </c>
      <c r="I9" s="43" t="n">
        <v>2023</v>
      </c>
      <c r="J9" s="43" t="n">
        <v>4</v>
      </c>
      <c r="K9" s="44" t="n">
        <v>41629</v>
      </c>
      <c r="L9" s="43" t="n">
        <v>2023</v>
      </c>
      <c r="M9" s="43" t="n">
        <v>5</v>
      </c>
      <c r="N9" s="44" t="n">
        <v>41719.32</v>
      </c>
      <c r="O9" s="43" t="n">
        <v>2023</v>
      </c>
      <c r="P9" s="43" t="n">
        <v>6</v>
      </c>
      <c r="Q9" s="44" t="n">
        <v>39633.354</v>
      </c>
      <c r="R9" s="43" t="s">
        <v>646</v>
      </c>
      <c r="S9" s="43" t="s">
        <v>83</v>
      </c>
      <c r="T9" s="43" t="s">
        <v>641</v>
      </c>
      <c r="U9" s="43" t="s">
        <v>647</v>
      </c>
      <c r="V9" s="43" t="n">
        <v>40</v>
      </c>
      <c r="W9" s="43" t="n">
        <v>14</v>
      </c>
      <c r="X9" s="43" t="n">
        <v>54</v>
      </c>
      <c r="Y9" s="43" t="s">
        <v>635</v>
      </c>
      <c r="Z9" s="43" t="s">
        <v>636</v>
      </c>
    </row>
    <row r="10" customFormat="false" ht="15" hidden="false" customHeight="false" outlineLevel="0" collapsed="false">
      <c r="A10" s="43" t="n">
        <v>8</v>
      </c>
      <c r="B10" s="43" t="s">
        <v>643</v>
      </c>
      <c r="C10" s="43" t="s">
        <v>644</v>
      </c>
      <c r="D10" s="43" t="s">
        <v>645</v>
      </c>
      <c r="E10" s="43" t="s">
        <v>131</v>
      </c>
      <c r="F10" s="43" t="s">
        <v>48</v>
      </c>
      <c r="G10" s="43" t="n">
        <v>2023</v>
      </c>
      <c r="H10" s="44" t="n">
        <v>0</v>
      </c>
      <c r="I10" s="43" t="n">
        <v>2023</v>
      </c>
      <c r="J10" s="43" t="n">
        <v>5</v>
      </c>
      <c r="K10" s="44" t="n">
        <v>29206.65</v>
      </c>
      <c r="L10" s="43" t="n">
        <v>2023</v>
      </c>
      <c r="M10" s="43" t="n">
        <v>5</v>
      </c>
      <c r="N10" s="44" t="n">
        <v>29206.65</v>
      </c>
      <c r="O10" s="43" t="n">
        <v>2023</v>
      </c>
      <c r="P10" s="43" t="n">
        <v>6</v>
      </c>
      <c r="Q10" s="44" t="n">
        <v>27746.3175</v>
      </c>
      <c r="R10" s="43" t="s">
        <v>646</v>
      </c>
      <c r="S10" s="43" t="s">
        <v>83</v>
      </c>
      <c r="T10" s="43" t="s">
        <v>641</v>
      </c>
      <c r="U10" s="43" t="s">
        <v>647</v>
      </c>
      <c r="V10" s="43" t="n">
        <v>10</v>
      </c>
      <c r="W10" s="43" t="n">
        <v>14</v>
      </c>
      <c r="X10" s="43" t="n">
        <v>24</v>
      </c>
      <c r="Y10" s="43" t="s">
        <v>635</v>
      </c>
      <c r="Z10" s="43" t="s">
        <v>636</v>
      </c>
    </row>
    <row r="11" customFormat="false" ht="15" hidden="false" customHeight="false" outlineLevel="0" collapsed="false">
      <c r="A11" s="43" t="n">
        <v>9</v>
      </c>
      <c r="B11" s="43" t="s">
        <v>643</v>
      </c>
      <c r="C11" s="43" t="s">
        <v>644</v>
      </c>
      <c r="D11" s="43" t="s">
        <v>645</v>
      </c>
      <c r="E11" s="43" t="s">
        <v>131</v>
      </c>
      <c r="F11" s="43" t="s">
        <v>48</v>
      </c>
      <c r="G11" s="43" t="n">
        <v>2023</v>
      </c>
      <c r="H11" s="44" t="n">
        <v>0</v>
      </c>
      <c r="I11" s="43" t="n">
        <v>2023</v>
      </c>
      <c r="J11" s="43" t="n">
        <v>6</v>
      </c>
      <c r="K11" s="44" t="n">
        <v>24240</v>
      </c>
      <c r="L11" s="43" t="n">
        <v>2023</v>
      </c>
      <c r="M11" s="43" t="n">
        <v>7</v>
      </c>
      <c r="N11" s="44" t="n">
        <v>24240</v>
      </c>
      <c r="O11" s="43" t="n">
        <v>2023</v>
      </c>
      <c r="P11" s="43" t="n">
        <v>7</v>
      </c>
      <c r="Q11" s="44" t="n">
        <v>23028</v>
      </c>
      <c r="R11" s="43" t="s">
        <v>646</v>
      </c>
      <c r="S11" s="43" t="s">
        <v>83</v>
      </c>
      <c r="T11" s="43" t="s">
        <v>641</v>
      </c>
      <c r="U11" s="43" t="s">
        <v>647</v>
      </c>
      <c r="V11" s="43" t="n">
        <v>14</v>
      </c>
      <c r="W11" s="43" t="n">
        <v>16</v>
      </c>
      <c r="X11" s="43" t="n">
        <v>30</v>
      </c>
      <c r="Y11" s="43" t="s">
        <v>635</v>
      </c>
      <c r="Z11" s="43" t="s">
        <v>636</v>
      </c>
    </row>
    <row r="12" customFormat="false" ht="15" hidden="false" customHeight="false" outlineLevel="0" collapsed="false">
      <c r="A12" s="43" t="n">
        <v>10</v>
      </c>
      <c r="B12" s="43" t="s">
        <v>643</v>
      </c>
      <c r="C12" s="43" t="s">
        <v>644</v>
      </c>
      <c r="D12" s="43" t="s">
        <v>645</v>
      </c>
      <c r="E12" s="43" t="s">
        <v>131</v>
      </c>
      <c r="F12" s="43" t="s">
        <v>48</v>
      </c>
      <c r="G12" s="43" t="n">
        <v>2023</v>
      </c>
      <c r="H12" s="44" t="n">
        <v>0</v>
      </c>
      <c r="I12" s="43" t="n">
        <v>2023</v>
      </c>
      <c r="J12" s="43" t="n">
        <v>7</v>
      </c>
      <c r="K12" s="44" t="n">
        <v>10588.84</v>
      </c>
      <c r="L12" s="43" t="n">
        <v>2023</v>
      </c>
      <c r="M12" s="43" t="n">
        <v>8</v>
      </c>
      <c r="N12" s="44" t="n">
        <v>10589</v>
      </c>
      <c r="O12" s="43" t="n">
        <v>2023</v>
      </c>
      <c r="P12" s="43" t="n">
        <v>9</v>
      </c>
      <c r="Q12" s="44" t="n">
        <v>10059.55</v>
      </c>
      <c r="R12" s="43" t="s">
        <v>646</v>
      </c>
      <c r="S12" s="43" t="s">
        <v>83</v>
      </c>
      <c r="T12" s="43" t="s">
        <v>641</v>
      </c>
      <c r="U12" s="43" t="s">
        <v>647</v>
      </c>
      <c r="V12" s="43" t="n">
        <v>8</v>
      </c>
      <c r="W12" s="43" t="n">
        <v>28</v>
      </c>
      <c r="X12" s="43" t="n">
        <v>36</v>
      </c>
      <c r="Y12" s="43" t="s">
        <v>635</v>
      </c>
      <c r="Z12" s="43" t="s">
        <v>636</v>
      </c>
    </row>
    <row r="13" customFormat="false" ht="15" hidden="false" customHeight="false" outlineLevel="0" collapsed="false">
      <c r="A13" s="43" t="n">
        <v>11</v>
      </c>
      <c r="B13" s="43" t="s">
        <v>643</v>
      </c>
      <c r="C13" s="43" t="s">
        <v>644</v>
      </c>
      <c r="D13" s="43" t="s">
        <v>645</v>
      </c>
      <c r="E13" s="43" t="s">
        <v>131</v>
      </c>
      <c r="F13" s="43" t="s">
        <v>48</v>
      </c>
      <c r="G13" s="43" t="n">
        <v>2023</v>
      </c>
      <c r="H13" s="44" t="n">
        <v>1136</v>
      </c>
      <c r="I13" s="43" t="n">
        <v>2023</v>
      </c>
      <c r="J13" s="43" t="n">
        <v>9</v>
      </c>
      <c r="K13" s="44" t="n">
        <v>274</v>
      </c>
      <c r="L13" s="43" t="n">
        <v>2023</v>
      </c>
      <c r="M13" s="43" t="n">
        <v>10</v>
      </c>
      <c r="N13" s="44" t="n">
        <v>274</v>
      </c>
      <c r="O13" s="43" t="n">
        <v>2023</v>
      </c>
      <c r="P13" s="43" t="n">
        <v>11</v>
      </c>
      <c r="Q13" s="44" t="n">
        <v>260.3</v>
      </c>
      <c r="R13" s="43" t="s">
        <v>646</v>
      </c>
      <c r="S13" s="43" t="s">
        <v>83</v>
      </c>
      <c r="T13" s="43" t="s">
        <v>641</v>
      </c>
      <c r="U13" s="43" t="s">
        <v>647</v>
      </c>
      <c r="V13" s="43" t="n">
        <v>23</v>
      </c>
      <c r="W13" s="43" t="n">
        <v>15</v>
      </c>
      <c r="X13" s="43" t="n">
        <v>38</v>
      </c>
      <c r="Y13" s="43" t="s">
        <v>635</v>
      </c>
      <c r="Z13" s="43" t="s">
        <v>636</v>
      </c>
    </row>
    <row r="14" customFormat="false" ht="15" hidden="false" customHeight="false" outlineLevel="0" collapsed="false">
      <c r="A14" s="43" t="n">
        <v>12</v>
      </c>
      <c r="B14" s="43" t="s">
        <v>643</v>
      </c>
      <c r="C14" s="43" t="s">
        <v>644</v>
      </c>
      <c r="D14" s="43" t="s">
        <v>645</v>
      </c>
      <c r="E14" s="43" t="s">
        <v>131</v>
      </c>
      <c r="F14" s="43" t="s">
        <v>48</v>
      </c>
      <c r="G14" s="43" t="n">
        <v>2023</v>
      </c>
      <c r="H14" s="44" t="n">
        <v>51143</v>
      </c>
      <c r="I14" s="43" t="n">
        <v>2023</v>
      </c>
      <c r="J14" s="43" t="n">
        <v>10</v>
      </c>
      <c r="K14" s="44" t="n">
        <v>51143</v>
      </c>
      <c r="L14" s="43" t="n">
        <v>2023</v>
      </c>
      <c r="M14" s="43" t="n">
        <v>11</v>
      </c>
      <c r="N14" s="44" t="n">
        <v>51143</v>
      </c>
      <c r="O14" s="43" t="n">
        <v>2023</v>
      </c>
      <c r="P14" s="43" t="n">
        <v>11</v>
      </c>
      <c r="Q14" s="44" t="n">
        <v>48585.85</v>
      </c>
      <c r="R14" s="43" t="s">
        <v>646</v>
      </c>
      <c r="S14" s="43" t="s">
        <v>83</v>
      </c>
      <c r="T14" s="43" t="s">
        <v>641</v>
      </c>
      <c r="U14" s="43" t="s">
        <v>647</v>
      </c>
      <c r="V14" s="43" t="n">
        <v>15</v>
      </c>
      <c r="W14" s="43" t="n">
        <v>10</v>
      </c>
      <c r="X14" s="43" t="n">
        <v>25</v>
      </c>
      <c r="Y14" s="43" t="s">
        <v>635</v>
      </c>
      <c r="Z14" s="43" t="s">
        <v>636</v>
      </c>
    </row>
    <row r="15" customFormat="false" ht="15" hidden="false" customHeight="false" outlineLevel="0" collapsed="false">
      <c r="A15" s="43" t="n">
        <v>13</v>
      </c>
      <c r="B15" s="43" t="s">
        <v>648</v>
      </c>
      <c r="C15" s="43" t="s">
        <v>649</v>
      </c>
      <c r="D15" s="43" t="s">
        <v>650</v>
      </c>
      <c r="E15" s="43" t="s">
        <v>143</v>
      </c>
      <c r="F15" s="43" t="s">
        <v>61</v>
      </c>
      <c r="G15" s="43" t="n">
        <v>2023</v>
      </c>
      <c r="H15" s="44" t="n">
        <v>0</v>
      </c>
      <c r="I15" s="43" t="n">
        <v>2022</v>
      </c>
      <c r="J15" s="43" t="n">
        <v>12</v>
      </c>
      <c r="K15" s="44" t="n">
        <v>19250.8</v>
      </c>
      <c r="L15" s="43" t="n">
        <v>2023</v>
      </c>
      <c r="M15" s="43" t="n">
        <v>3</v>
      </c>
      <c r="N15" s="44" t="n">
        <v>19250.8</v>
      </c>
      <c r="O15" s="43" t="n">
        <v>2023</v>
      </c>
      <c r="P15" s="43" t="n">
        <v>3</v>
      </c>
      <c r="Q15" s="44" t="n">
        <v>19250.8</v>
      </c>
      <c r="R15" s="43" t="s">
        <v>651</v>
      </c>
      <c r="S15" s="43" t="s">
        <v>85</v>
      </c>
      <c r="T15" s="43" t="s">
        <v>633</v>
      </c>
      <c r="U15" s="43" t="s">
        <v>647</v>
      </c>
      <c r="V15" s="43" t="n">
        <v>92</v>
      </c>
      <c r="W15" s="43"/>
      <c r="X15" s="43" t="n">
        <v>72</v>
      </c>
      <c r="Y15" s="43" t="s">
        <v>635</v>
      </c>
      <c r="Z15" s="43" t="s">
        <v>636</v>
      </c>
    </row>
    <row r="16" customFormat="false" ht="15" hidden="false" customHeight="false" outlineLevel="0" collapsed="false">
      <c r="A16" s="43" t="n">
        <v>14</v>
      </c>
      <c r="B16" s="43" t="s">
        <v>648</v>
      </c>
      <c r="C16" s="43" t="s">
        <v>649</v>
      </c>
      <c r="D16" s="43" t="s">
        <v>650</v>
      </c>
      <c r="E16" s="43" t="s">
        <v>143</v>
      </c>
      <c r="F16" s="43" t="s">
        <v>61</v>
      </c>
      <c r="G16" s="43" t="n">
        <v>2023</v>
      </c>
      <c r="H16" s="44" t="n">
        <v>0</v>
      </c>
      <c r="I16" s="43" t="n">
        <v>2023</v>
      </c>
      <c r="J16" s="43" t="n">
        <v>6</v>
      </c>
      <c r="K16" s="44" t="n">
        <v>17907.507532</v>
      </c>
      <c r="L16" s="43" t="n">
        <v>2023</v>
      </c>
      <c r="M16" s="43" t="n">
        <v>10</v>
      </c>
      <c r="N16" s="44" t="n">
        <v>17907.507532</v>
      </c>
      <c r="O16" s="43" t="n">
        <v>2023</v>
      </c>
      <c r="P16" s="43" t="n">
        <v>11</v>
      </c>
      <c r="Q16" s="44" t="n">
        <v>17907.507532</v>
      </c>
      <c r="R16" s="43" t="s">
        <v>651</v>
      </c>
      <c r="S16" s="43" t="s">
        <v>85</v>
      </c>
      <c r="T16" s="43" t="s">
        <v>633</v>
      </c>
      <c r="U16" s="43" t="s">
        <v>647</v>
      </c>
      <c r="V16" s="43" t="n">
        <v>125</v>
      </c>
      <c r="W16" s="43" t="n">
        <v>11</v>
      </c>
      <c r="X16" s="43" t="n">
        <v>136</v>
      </c>
      <c r="Y16" s="43" t="s">
        <v>635</v>
      </c>
      <c r="Z16" s="43" t="s">
        <v>636</v>
      </c>
    </row>
    <row r="17" customFormat="false" ht="15" hidden="false" customHeight="false" outlineLevel="0" collapsed="false">
      <c r="A17" s="43" t="n">
        <v>15</v>
      </c>
      <c r="B17" s="43" t="s">
        <v>648</v>
      </c>
      <c r="C17" s="43" t="s">
        <v>649</v>
      </c>
      <c r="D17" s="43" t="s">
        <v>650</v>
      </c>
      <c r="E17" s="43" t="s">
        <v>143</v>
      </c>
      <c r="F17" s="43" t="s">
        <v>61</v>
      </c>
      <c r="G17" s="43" t="n">
        <v>2023</v>
      </c>
      <c r="H17" s="44" t="n">
        <v>0</v>
      </c>
      <c r="I17" s="43" t="n">
        <v>2023</v>
      </c>
      <c r="J17" s="43" t="n">
        <v>6</v>
      </c>
      <c r="K17" s="44" t="n">
        <v>8656.69</v>
      </c>
      <c r="L17" s="43" t="n">
        <v>2023</v>
      </c>
      <c r="M17" s="43" t="n">
        <v>7</v>
      </c>
      <c r="N17" s="44" t="n">
        <v>8656.69</v>
      </c>
      <c r="O17" s="43" t="n">
        <v>2023</v>
      </c>
      <c r="P17" s="43" t="n">
        <v>8</v>
      </c>
      <c r="Q17" s="44" t="n">
        <v>8656.69</v>
      </c>
      <c r="R17" s="43" t="s">
        <v>651</v>
      </c>
      <c r="S17" s="43" t="s">
        <v>85</v>
      </c>
      <c r="T17" s="43" t="s">
        <v>633</v>
      </c>
      <c r="U17" s="43" t="s">
        <v>647</v>
      </c>
      <c r="V17" s="43" t="n">
        <v>36</v>
      </c>
      <c r="W17" s="43" t="n">
        <v>7</v>
      </c>
      <c r="X17" s="43" t="n">
        <v>43</v>
      </c>
      <c r="Y17" s="43" t="s">
        <v>635</v>
      </c>
      <c r="Z17" s="43" t="s">
        <v>636</v>
      </c>
    </row>
    <row r="18" customFormat="false" ht="15" hidden="false" customHeight="false" outlineLevel="0" collapsed="false">
      <c r="A18" s="43" t="n">
        <v>16</v>
      </c>
      <c r="B18" s="43" t="s">
        <v>652</v>
      </c>
      <c r="C18" s="43" t="s">
        <v>653</v>
      </c>
      <c r="D18" s="43" t="s">
        <v>653</v>
      </c>
      <c r="E18" s="43" t="s">
        <v>654</v>
      </c>
      <c r="F18" s="43" t="s">
        <v>61</v>
      </c>
      <c r="G18" s="43" t="n">
        <v>2026</v>
      </c>
      <c r="H18" s="44" t="n">
        <v>0</v>
      </c>
      <c r="I18" s="43" t="n">
        <v>2026</v>
      </c>
      <c r="J18" s="43" t="n">
        <v>3</v>
      </c>
      <c r="K18" s="44" t="n">
        <v>19302</v>
      </c>
      <c r="L18" s="43" t="n">
        <v>2026</v>
      </c>
      <c r="M18" s="43" t="n">
        <v>4</v>
      </c>
      <c r="N18" s="44" t="n">
        <v>19302</v>
      </c>
      <c r="O18" s="43" t="n">
        <v>2026</v>
      </c>
      <c r="P18" s="43" t="n">
        <v>4</v>
      </c>
      <c r="Q18" s="44" t="n">
        <v>19302</v>
      </c>
      <c r="R18" s="43" t="s">
        <v>646</v>
      </c>
      <c r="S18" s="43" t="s">
        <v>83</v>
      </c>
      <c r="T18" s="43" t="s">
        <v>641</v>
      </c>
      <c r="U18" s="43" t="s">
        <v>647</v>
      </c>
      <c r="V18" s="43" t="n">
        <v>21</v>
      </c>
      <c r="W18" s="43" t="n">
        <v>7</v>
      </c>
      <c r="X18" s="43" t="n">
        <v>28</v>
      </c>
      <c r="Y18" s="43" t="s">
        <v>635</v>
      </c>
      <c r="Z18" s="43" t="s">
        <v>636</v>
      </c>
    </row>
    <row r="19" customFormat="false" ht="15" hidden="false" customHeight="false" outlineLevel="0" collapsed="false">
      <c r="A19" s="43" t="n">
        <v>17</v>
      </c>
      <c r="B19" s="43" t="s">
        <v>655</v>
      </c>
      <c r="C19" s="43" t="s">
        <v>656</v>
      </c>
      <c r="D19" s="43" t="s">
        <v>656</v>
      </c>
      <c r="E19" s="43" t="s">
        <v>131</v>
      </c>
      <c r="F19" s="43" t="s">
        <v>48</v>
      </c>
      <c r="G19" s="43" t="n">
        <v>2023</v>
      </c>
      <c r="H19" s="44" t="n">
        <v>0</v>
      </c>
      <c r="I19" s="43" t="n">
        <v>2022</v>
      </c>
      <c r="J19" s="43" t="n">
        <v>12</v>
      </c>
      <c r="K19" s="44" t="n">
        <v>46355</v>
      </c>
      <c r="L19" s="43" t="n">
        <v>2023</v>
      </c>
      <c r="M19" s="43" t="n">
        <v>1</v>
      </c>
      <c r="N19" s="44" t="n">
        <v>46355</v>
      </c>
      <c r="O19" s="43" t="n">
        <v>2023</v>
      </c>
      <c r="P19" s="43" t="n">
        <v>2</v>
      </c>
      <c r="Q19" s="44" t="n">
        <v>44037.25</v>
      </c>
      <c r="R19" s="43" t="s">
        <v>640</v>
      </c>
      <c r="S19" s="43" t="s">
        <v>84</v>
      </c>
      <c r="T19" s="43" t="s">
        <v>641</v>
      </c>
      <c r="U19" s="43" t="s">
        <v>647</v>
      </c>
      <c r="V19" s="43" t="n">
        <v>15</v>
      </c>
      <c r="W19" s="43" t="n">
        <v>27</v>
      </c>
      <c r="X19" s="43" t="n">
        <v>42</v>
      </c>
      <c r="Y19" s="43" t="s">
        <v>635</v>
      </c>
      <c r="Z19" s="43" t="s">
        <v>636</v>
      </c>
    </row>
    <row r="20" customFormat="false" ht="15" hidden="false" customHeight="false" outlineLevel="0" collapsed="false">
      <c r="A20" s="43" t="n">
        <v>18</v>
      </c>
      <c r="B20" s="43" t="s">
        <v>655</v>
      </c>
      <c r="C20" s="43" t="s">
        <v>656</v>
      </c>
      <c r="D20" s="43" t="s">
        <v>656</v>
      </c>
      <c r="E20" s="43" t="s">
        <v>131</v>
      </c>
      <c r="F20" s="43" t="s">
        <v>48</v>
      </c>
      <c r="G20" s="43" t="n">
        <v>2023</v>
      </c>
      <c r="H20" s="44" t="n">
        <v>0</v>
      </c>
      <c r="I20" s="43" t="n">
        <v>2023</v>
      </c>
      <c r="J20" s="43" t="n">
        <v>1</v>
      </c>
      <c r="K20" s="44" t="n">
        <v>115649.150125</v>
      </c>
      <c r="L20" s="43" t="n">
        <v>2023</v>
      </c>
      <c r="M20" s="43" t="n">
        <v>2</v>
      </c>
      <c r="N20" s="44" t="n">
        <v>115649.150125</v>
      </c>
      <c r="O20" s="43" t="n">
        <v>2023</v>
      </c>
      <c r="P20" s="43" t="n">
        <v>2</v>
      </c>
      <c r="Q20" s="44" t="n">
        <v>109866.69261875</v>
      </c>
      <c r="R20" s="43" t="s">
        <v>640</v>
      </c>
      <c r="S20" s="43" t="s">
        <v>84</v>
      </c>
      <c r="T20" s="43" t="s">
        <v>641</v>
      </c>
      <c r="U20" s="43" t="s">
        <v>647</v>
      </c>
      <c r="V20" s="43" t="n">
        <v>17</v>
      </c>
      <c r="W20" s="43" t="n">
        <v>8</v>
      </c>
      <c r="X20" s="43" t="n">
        <v>25</v>
      </c>
      <c r="Y20" s="43" t="s">
        <v>635</v>
      </c>
      <c r="Z20" s="43" t="s">
        <v>636</v>
      </c>
    </row>
    <row r="21" customFormat="false" ht="15" hidden="false" customHeight="false" outlineLevel="0" collapsed="false">
      <c r="A21" s="43" t="n">
        <v>19</v>
      </c>
      <c r="B21" s="43" t="s">
        <v>655</v>
      </c>
      <c r="C21" s="43" t="s">
        <v>656</v>
      </c>
      <c r="D21" s="43" t="s">
        <v>656</v>
      </c>
      <c r="E21" s="43" t="s">
        <v>131</v>
      </c>
      <c r="F21" s="43" t="s">
        <v>48</v>
      </c>
      <c r="G21" s="43" t="n">
        <v>2023</v>
      </c>
      <c r="H21" s="44" t="n">
        <v>0</v>
      </c>
      <c r="I21" s="43" t="n">
        <v>2023</v>
      </c>
      <c r="J21" s="43" t="n">
        <v>2</v>
      </c>
      <c r="K21" s="44" t="n">
        <v>78464.0525</v>
      </c>
      <c r="L21" s="43" t="n">
        <v>2023</v>
      </c>
      <c r="M21" s="43" t="n">
        <v>3</v>
      </c>
      <c r="N21" s="44" t="n">
        <v>78464.0525</v>
      </c>
      <c r="O21" s="43" t="n">
        <v>2023</v>
      </c>
      <c r="P21" s="43" t="n">
        <v>3</v>
      </c>
      <c r="Q21" s="44" t="n">
        <v>74540.849875</v>
      </c>
      <c r="R21" s="43" t="s">
        <v>640</v>
      </c>
      <c r="S21" s="43" t="s">
        <v>84</v>
      </c>
      <c r="T21" s="43" t="s">
        <v>641</v>
      </c>
      <c r="U21" s="43" t="s">
        <v>647</v>
      </c>
      <c r="V21" s="43" t="n">
        <v>16</v>
      </c>
      <c r="W21" s="43" t="n">
        <v>8</v>
      </c>
      <c r="X21" s="43" t="n">
        <v>24</v>
      </c>
      <c r="Y21" s="43" t="s">
        <v>635</v>
      </c>
      <c r="Z21" s="43" t="s">
        <v>636</v>
      </c>
    </row>
    <row r="22" customFormat="false" ht="15" hidden="false" customHeight="false" outlineLevel="0" collapsed="false">
      <c r="A22" s="43" t="n">
        <v>20</v>
      </c>
      <c r="B22" s="43" t="s">
        <v>655</v>
      </c>
      <c r="C22" s="43" t="s">
        <v>656</v>
      </c>
      <c r="D22" s="43" t="s">
        <v>656</v>
      </c>
      <c r="E22" s="43" t="s">
        <v>131</v>
      </c>
      <c r="F22" s="43" t="s">
        <v>48</v>
      </c>
      <c r="G22" s="43" t="n">
        <v>2023</v>
      </c>
      <c r="H22" s="44" t="n">
        <v>0</v>
      </c>
      <c r="I22" s="43" t="n">
        <v>2023</v>
      </c>
      <c r="J22" s="43" t="n">
        <v>3</v>
      </c>
      <c r="K22" s="44" t="n">
        <v>33129.275</v>
      </c>
      <c r="L22" s="43" t="n">
        <v>2023</v>
      </c>
      <c r="M22" s="43" t="n">
        <v>4</v>
      </c>
      <c r="N22" s="44" t="n">
        <v>33129.275</v>
      </c>
      <c r="O22" s="43" t="n">
        <v>2023</v>
      </c>
      <c r="P22" s="43" t="n">
        <v>4</v>
      </c>
      <c r="Q22" s="44" t="n">
        <v>31472.81125</v>
      </c>
      <c r="R22" s="43" t="s">
        <v>640</v>
      </c>
      <c r="S22" s="43" t="s">
        <v>84</v>
      </c>
      <c r="T22" s="43" t="s">
        <v>641</v>
      </c>
      <c r="U22" s="43" t="s">
        <v>647</v>
      </c>
      <c r="V22" s="43" t="n">
        <v>24</v>
      </c>
      <c r="W22" s="43" t="n">
        <v>12</v>
      </c>
      <c r="X22" s="43" t="n">
        <v>36</v>
      </c>
      <c r="Y22" s="43" t="s">
        <v>635</v>
      </c>
      <c r="Z22" s="43" t="s">
        <v>636</v>
      </c>
    </row>
    <row r="23" customFormat="false" ht="15" hidden="false" customHeight="false" outlineLevel="0" collapsed="false">
      <c r="A23" s="43" t="n">
        <v>21</v>
      </c>
      <c r="B23" s="43" t="s">
        <v>655</v>
      </c>
      <c r="C23" s="43" t="s">
        <v>656</v>
      </c>
      <c r="D23" s="43" t="s">
        <v>656</v>
      </c>
      <c r="E23" s="43" t="s">
        <v>131</v>
      </c>
      <c r="F23" s="43" t="s">
        <v>48</v>
      </c>
      <c r="G23" s="43" t="n">
        <v>2023</v>
      </c>
      <c r="H23" s="44" t="n">
        <v>0</v>
      </c>
      <c r="I23" s="43" t="n">
        <v>2023</v>
      </c>
      <c r="J23" s="43" t="n">
        <v>4</v>
      </c>
      <c r="K23" s="44" t="n">
        <v>55089</v>
      </c>
      <c r="L23" s="43" t="n">
        <v>2023</v>
      </c>
      <c r="M23" s="43" t="n">
        <v>5</v>
      </c>
      <c r="N23" s="44" t="n">
        <v>55848.53</v>
      </c>
      <c r="O23" s="43" t="n">
        <v>2023</v>
      </c>
      <c r="P23" s="43" t="n">
        <v>5</v>
      </c>
      <c r="Q23" s="44" t="n">
        <v>53056.1</v>
      </c>
      <c r="R23" s="43" t="s">
        <v>640</v>
      </c>
      <c r="S23" s="43" t="s">
        <v>84</v>
      </c>
      <c r="T23" s="43" t="s">
        <v>641</v>
      </c>
      <c r="U23" s="43" t="s">
        <v>647</v>
      </c>
      <c r="V23" s="43" t="n">
        <v>19</v>
      </c>
      <c r="W23" s="43" t="n">
        <v>14</v>
      </c>
      <c r="X23" s="43" t="n">
        <v>33</v>
      </c>
      <c r="Y23" s="43" t="s">
        <v>635</v>
      </c>
      <c r="Z23" s="43" t="s">
        <v>636</v>
      </c>
    </row>
    <row r="24" customFormat="false" ht="15" hidden="false" customHeight="false" outlineLevel="0" collapsed="false">
      <c r="A24" s="43" t="n">
        <v>22</v>
      </c>
      <c r="B24" s="43" t="s">
        <v>655</v>
      </c>
      <c r="C24" s="43" t="s">
        <v>656</v>
      </c>
      <c r="D24" s="43" t="s">
        <v>656</v>
      </c>
      <c r="E24" s="43" t="s">
        <v>131</v>
      </c>
      <c r="F24" s="43" t="s">
        <v>48</v>
      </c>
      <c r="G24" s="43" t="n">
        <v>2023</v>
      </c>
      <c r="H24" s="44" t="n">
        <v>0</v>
      </c>
      <c r="I24" s="43" t="n">
        <v>2023</v>
      </c>
      <c r="J24" s="43" t="n">
        <v>5</v>
      </c>
      <c r="K24" s="44" t="n">
        <v>19271.57</v>
      </c>
      <c r="L24" s="43" t="n">
        <v>2023</v>
      </c>
      <c r="M24" s="43" t="n">
        <v>6</v>
      </c>
      <c r="N24" s="44" t="n">
        <v>19277</v>
      </c>
      <c r="O24" s="43" t="n">
        <v>2023</v>
      </c>
      <c r="P24" s="43" t="n">
        <v>6</v>
      </c>
      <c r="Q24" s="44" t="n">
        <v>18313.15</v>
      </c>
      <c r="R24" s="43" t="s">
        <v>640</v>
      </c>
      <c r="S24" s="43" t="s">
        <v>84</v>
      </c>
      <c r="T24" s="43" t="s">
        <v>641</v>
      </c>
      <c r="U24" s="43" t="s">
        <v>647</v>
      </c>
      <c r="V24" s="43" t="n">
        <v>11</v>
      </c>
      <c r="W24" s="43" t="n">
        <v>13</v>
      </c>
      <c r="X24" s="43" t="n">
        <v>24</v>
      </c>
      <c r="Y24" s="43" t="s">
        <v>635</v>
      </c>
      <c r="Z24" s="43" t="s">
        <v>636</v>
      </c>
    </row>
    <row r="25" customFormat="false" ht="15" hidden="false" customHeight="false" outlineLevel="0" collapsed="false">
      <c r="A25" s="43" t="n">
        <v>23</v>
      </c>
      <c r="B25" s="43" t="s">
        <v>655</v>
      </c>
      <c r="C25" s="43" t="s">
        <v>656</v>
      </c>
      <c r="D25" s="43" t="s">
        <v>656</v>
      </c>
      <c r="E25" s="43" t="s">
        <v>131</v>
      </c>
      <c r="F25" s="43" t="s">
        <v>48</v>
      </c>
      <c r="G25" s="43" t="n">
        <v>2023</v>
      </c>
      <c r="H25" s="44" t="n">
        <v>266974</v>
      </c>
      <c r="I25" s="43" t="n">
        <v>2023</v>
      </c>
      <c r="J25" s="43" t="n">
        <v>10</v>
      </c>
      <c r="K25" s="44" t="n">
        <v>58723</v>
      </c>
      <c r="L25" s="43" t="n">
        <v>2023</v>
      </c>
      <c r="M25" s="43" t="n">
        <v>11</v>
      </c>
      <c r="N25" s="44" t="n">
        <v>58723</v>
      </c>
      <c r="O25" s="43" t="n">
        <v>2023</v>
      </c>
      <c r="P25" s="43" t="n">
        <v>11</v>
      </c>
      <c r="Q25" s="44" t="n">
        <v>55786.85</v>
      </c>
      <c r="R25" s="43" t="s">
        <v>640</v>
      </c>
      <c r="S25" s="43" t="s">
        <v>84</v>
      </c>
      <c r="T25" s="43" t="s">
        <v>641</v>
      </c>
      <c r="U25" s="43" t="s">
        <v>647</v>
      </c>
      <c r="V25" s="43" t="n">
        <v>22</v>
      </c>
      <c r="W25" s="43" t="n">
        <v>10</v>
      </c>
      <c r="X25" s="43" t="n">
        <v>32</v>
      </c>
      <c r="Y25" s="43" t="s">
        <v>635</v>
      </c>
      <c r="Z25" s="43" t="s">
        <v>636</v>
      </c>
    </row>
    <row r="26" customFormat="false" ht="15" hidden="false" customHeight="false" outlineLevel="0" collapsed="false">
      <c r="A26" s="43" t="n">
        <v>24</v>
      </c>
      <c r="B26" s="43" t="s">
        <v>655</v>
      </c>
      <c r="C26" s="43" t="s">
        <v>656</v>
      </c>
      <c r="D26" s="43" t="s">
        <v>656</v>
      </c>
      <c r="E26" s="43" t="s">
        <v>131</v>
      </c>
      <c r="F26" s="43" t="s">
        <v>48</v>
      </c>
      <c r="G26" s="43" t="n">
        <v>2023</v>
      </c>
      <c r="H26" s="44" t="n">
        <v>83300.392</v>
      </c>
      <c r="I26" s="43" t="n">
        <v>2023</v>
      </c>
      <c r="J26" s="43" t="n">
        <v>11</v>
      </c>
      <c r="K26" s="44" t="n">
        <v>64612</v>
      </c>
      <c r="L26" s="43" t="n">
        <v>2023</v>
      </c>
      <c r="M26" s="43" t="n">
        <v>12</v>
      </c>
      <c r="N26" s="44" t="n">
        <v>64612</v>
      </c>
      <c r="O26" s="43" t="n">
        <v>2023</v>
      </c>
      <c r="P26" s="43" t="n">
        <v>12</v>
      </c>
      <c r="Q26" s="44" t="n">
        <v>61381.4</v>
      </c>
      <c r="R26" s="43" t="s">
        <v>640</v>
      </c>
      <c r="S26" s="43" t="s">
        <v>84</v>
      </c>
      <c r="T26" s="43" t="s">
        <v>641</v>
      </c>
      <c r="U26" s="43" t="s">
        <v>647</v>
      </c>
      <c r="V26" s="43" t="n">
        <v>17</v>
      </c>
      <c r="W26" s="43" t="n">
        <v>13</v>
      </c>
      <c r="X26" s="43" t="n">
        <v>30</v>
      </c>
      <c r="Y26" s="43" t="s">
        <v>635</v>
      </c>
      <c r="Z26" s="43" t="s">
        <v>636</v>
      </c>
    </row>
    <row r="27" customFormat="false" ht="15" hidden="false" customHeight="false" outlineLevel="0" collapsed="false">
      <c r="A27" s="43" t="n">
        <v>25</v>
      </c>
      <c r="B27" s="43" t="s">
        <v>655</v>
      </c>
      <c r="C27" s="43" t="s">
        <v>656</v>
      </c>
      <c r="D27" s="43" t="s">
        <v>656</v>
      </c>
      <c r="E27" s="43" t="s">
        <v>131</v>
      </c>
      <c r="F27" s="43" t="s">
        <v>48</v>
      </c>
      <c r="G27" s="43" t="n">
        <v>2023</v>
      </c>
      <c r="H27" s="44" t="n">
        <v>57455.592</v>
      </c>
      <c r="I27" s="43" t="n">
        <v>2023</v>
      </c>
      <c r="J27" s="43" t="n">
        <v>12</v>
      </c>
      <c r="K27" s="44" t="n">
        <v>63352</v>
      </c>
      <c r="L27" s="43" t="n">
        <v>2024</v>
      </c>
      <c r="M27" s="43" t="n">
        <v>1</v>
      </c>
      <c r="N27" s="44" t="n">
        <v>63352</v>
      </c>
      <c r="O27" s="43" t="n">
        <v>2024</v>
      </c>
      <c r="P27" s="43" t="n">
        <v>1</v>
      </c>
      <c r="Q27" s="44" t="n">
        <v>60184.4</v>
      </c>
      <c r="R27" s="43" t="s">
        <v>640</v>
      </c>
      <c r="S27" s="43" t="s">
        <v>84</v>
      </c>
      <c r="T27" s="43" t="s">
        <v>641</v>
      </c>
      <c r="U27" s="43" t="s">
        <v>647</v>
      </c>
      <c r="V27" s="43" t="n">
        <v>15</v>
      </c>
      <c r="W27" s="43" t="n">
        <v>14</v>
      </c>
      <c r="X27" s="43" t="n">
        <v>29</v>
      </c>
      <c r="Y27" s="43" t="s">
        <v>635</v>
      </c>
      <c r="Z27" s="43" t="s">
        <v>636</v>
      </c>
    </row>
    <row r="28" customFormat="false" ht="15" hidden="false" customHeight="false" outlineLevel="0" collapsed="false">
      <c r="A28" s="43" t="n">
        <v>26</v>
      </c>
      <c r="B28" s="43" t="s">
        <v>655</v>
      </c>
      <c r="C28" s="43" t="s">
        <v>656</v>
      </c>
      <c r="D28" s="43" t="s">
        <v>656</v>
      </c>
      <c r="E28" s="43" t="s">
        <v>131</v>
      </c>
      <c r="F28" s="43" t="s">
        <v>48</v>
      </c>
      <c r="G28" s="43" t="n">
        <v>2024</v>
      </c>
      <c r="H28" s="44" t="n">
        <v>0</v>
      </c>
      <c r="I28" s="43" t="n">
        <v>2024</v>
      </c>
      <c r="J28" s="43" t="n">
        <v>2</v>
      </c>
      <c r="K28" s="44" t="n">
        <v>11925</v>
      </c>
      <c r="L28" s="43" t="n">
        <v>2024</v>
      </c>
      <c r="M28" s="43" t="n">
        <v>4</v>
      </c>
      <c r="N28" s="44" t="n">
        <v>11925</v>
      </c>
      <c r="O28" s="43" t="n">
        <v>2024</v>
      </c>
      <c r="P28" s="43" t="n">
        <v>5</v>
      </c>
      <c r="Q28" s="44" t="n">
        <v>11328.75</v>
      </c>
      <c r="R28" s="43" t="s">
        <v>640</v>
      </c>
      <c r="S28" s="43" t="s">
        <v>84</v>
      </c>
      <c r="T28" s="43" t="s">
        <v>641</v>
      </c>
      <c r="U28" s="43" t="s">
        <v>647</v>
      </c>
      <c r="V28" s="43" t="n">
        <v>61</v>
      </c>
      <c r="W28" s="43" t="n">
        <v>30</v>
      </c>
      <c r="X28" s="43" t="n">
        <v>91</v>
      </c>
      <c r="Y28" s="43" t="s">
        <v>635</v>
      </c>
      <c r="Z28" s="43" t="s">
        <v>636</v>
      </c>
    </row>
    <row r="29" customFormat="false" ht="15" hidden="false" customHeight="false" outlineLevel="0" collapsed="false">
      <c r="A29" s="43" t="n">
        <v>27</v>
      </c>
      <c r="B29" s="43" t="s">
        <v>655</v>
      </c>
      <c r="C29" s="43" t="s">
        <v>656</v>
      </c>
      <c r="D29" s="43" t="s">
        <v>656</v>
      </c>
      <c r="E29" s="43" t="s">
        <v>131</v>
      </c>
      <c r="F29" s="43" t="s">
        <v>48</v>
      </c>
      <c r="G29" s="43" t="n">
        <v>2024</v>
      </c>
      <c r="H29" s="44" t="n">
        <v>0</v>
      </c>
      <c r="I29" s="43" t="n">
        <v>2024</v>
      </c>
      <c r="J29" s="43" t="n">
        <v>4</v>
      </c>
      <c r="K29" s="44" t="n">
        <v>37470</v>
      </c>
      <c r="L29" s="43" t="n">
        <v>2024</v>
      </c>
      <c r="M29" s="43" t="n">
        <v>7</v>
      </c>
      <c r="N29" s="44" t="n">
        <v>31084.1130676357</v>
      </c>
      <c r="O29" s="43" t="n">
        <v>2024</v>
      </c>
      <c r="P29" s="43" t="n">
        <v>8</v>
      </c>
      <c r="Q29" s="44" t="n">
        <v>29529.8</v>
      </c>
      <c r="R29" s="43" t="s">
        <v>640</v>
      </c>
      <c r="S29" s="43" t="s">
        <v>84</v>
      </c>
      <c r="T29" s="43" t="s">
        <v>641</v>
      </c>
      <c r="U29" s="43" t="s">
        <v>647</v>
      </c>
      <c r="V29" s="43" t="n">
        <v>90</v>
      </c>
      <c r="W29" s="43" t="n">
        <v>9</v>
      </c>
      <c r="X29" s="43" t="n">
        <v>99</v>
      </c>
      <c r="Y29" s="43" t="s">
        <v>635</v>
      </c>
      <c r="Z29" s="43" t="s">
        <v>636</v>
      </c>
    </row>
    <row r="30" customFormat="false" ht="15" hidden="false" customHeight="false" outlineLevel="0" collapsed="false">
      <c r="A30" s="43" t="n">
        <v>28</v>
      </c>
      <c r="B30" s="43" t="s">
        <v>655</v>
      </c>
      <c r="C30" s="43" t="s">
        <v>656</v>
      </c>
      <c r="D30" s="43" t="s">
        <v>656</v>
      </c>
      <c r="E30" s="43" t="s">
        <v>131</v>
      </c>
      <c r="F30" s="43" t="s">
        <v>48</v>
      </c>
      <c r="G30" s="43" t="n">
        <v>2024</v>
      </c>
      <c r="H30" s="44" t="n">
        <v>0</v>
      </c>
      <c r="I30" s="43" t="n">
        <v>2024</v>
      </c>
      <c r="J30" s="43" t="n">
        <v>9</v>
      </c>
      <c r="K30" s="44" t="n">
        <v>24846</v>
      </c>
      <c r="L30" s="43" t="n">
        <v>2024</v>
      </c>
      <c r="M30" s="43" t="n">
        <v>11</v>
      </c>
      <c r="N30" s="44" t="n">
        <v>24846</v>
      </c>
      <c r="O30" s="43" t="n">
        <v>2024</v>
      </c>
      <c r="P30" s="43" t="n">
        <v>11</v>
      </c>
      <c r="Q30" s="44" t="n">
        <v>23603.7</v>
      </c>
      <c r="R30" s="43" t="s">
        <v>640</v>
      </c>
      <c r="S30" s="43" t="s">
        <v>84</v>
      </c>
      <c r="T30" s="43" t="s">
        <v>641</v>
      </c>
      <c r="U30" s="43" t="s">
        <v>647</v>
      </c>
      <c r="V30" s="43" t="n">
        <v>42</v>
      </c>
      <c r="W30" s="43" t="n">
        <v>12</v>
      </c>
      <c r="X30" s="43" t="n">
        <v>54</v>
      </c>
      <c r="Y30" s="43" t="s">
        <v>635</v>
      </c>
      <c r="Z30" s="43" t="s">
        <v>636</v>
      </c>
    </row>
    <row r="31" customFormat="false" ht="15" hidden="false" customHeight="false" outlineLevel="0" collapsed="false">
      <c r="A31" s="43" t="n">
        <v>29</v>
      </c>
      <c r="B31" s="43" t="s">
        <v>657</v>
      </c>
      <c r="C31" s="43" t="s">
        <v>658</v>
      </c>
      <c r="D31" s="43" t="s">
        <v>658</v>
      </c>
      <c r="E31" s="43" t="s">
        <v>659</v>
      </c>
      <c r="F31" s="43" t="s">
        <v>61</v>
      </c>
      <c r="G31" s="43" t="n">
        <v>2025</v>
      </c>
      <c r="H31" s="44" t="n">
        <v>0</v>
      </c>
      <c r="I31" s="43" t="n">
        <v>2025</v>
      </c>
      <c r="J31" s="43" t="n">
        <v>9</v>
      </c>
      <c r="K31" s="44" t="n">
        <v>24440</v>
      </c>
      <c r="L31" s="43" t="n">
        <v>2025</v>
      </c>
      <c r="M31" s="43" t="n">
        <v>10</v>
      </c>
      <c r="N31" s="44" t="n">
        <v>24440</v>
      </c>
      <c r="O31" s="43" t="n">
        <v>2025</v>
      </c>
      <c r="P31" s="43" t="n">
        <v>11</v>
      </c>
      <c r="Q31" s="44" t="n">
        <v>22807</v>
      </c>
      <c r="R31" s="43" t="s">
        <v>646</v>
      </c>
      <c r="S31" s="43" t="s">
        <v>83</v>
      </c>
      <c r="T31" s="43" t="s">
        <v>641</v>
      </c>
      <c r="U31" s="43" t="s">
        <v>660</v>
      </c>
      <c r="V31" s="43" t="n">
        <v>28</v>
      </c>
      <c r="W31" s="43" t="n">
        <v>21</v>
      </c>
      <c r="X31" s="43" t="n">
        <v>49</v>
      </c>
      <c r="Y31" s="43" t="s">
        <v>635</v>
      </c>
      <c r="Z31" s="43" t="s">
        <v>636</v>
      </c>
    </row>
    <row r="32" customFormat="false" ht="15" hidden="false" customHeight="false" outlineLevel="0" collapsed="false">
      <c r="A32" s="43" t="n">
        <v>30</v>
      </c>
      <c r="B32" s="43" t="s">
        <v>661</v>
      </c>
      <c r="C32" s="43" t="s">
        <v>281</v>
      </c>
      <c r="D32" s="43" t="s">
        <v>281</v>
      </c>
      <c r="E32" s="43" t="s">
        <v>149</v>
      </c>
      <c r="F32" s="43" t="s">
        <v>61</v>
      </c>
      <c r="G32" s="43" t="n">
        <v>2025</v>
      </c>
      <c r="H32" s="44" t="n">
        <v>0</v>
      </c>
      <c r="I32" s="43" t="n">
        <v>2025</v>
      </c>
      <c r="J32" s="43" t="n">
        <v>7</v>
      </c>
      <c r="K32" s="44" t="n">
        <v>14455</v>
      </c>
      <c r="L32" s="43" t="n">
        <v>2025</v>
      </c>
      <c r="M32" s="43" t="n">
        <v>11</v>
      </c>
      <c r="N32" s="44" t="n">
        <v>14634</v>
      </c>
      <c r="O32" s="43" t="n">
        <v>2025</v>
      </c>
      <c r="P32" s="43" t="n">
        <v>12</v>
      </c>
      <c r="Q32" s="44" t="n">
        <v>14336</v>
      </c>
      <c r="R32" s="43" t="s">
        <v>646</v>
      </c>
      <c r="S32" s="43" t="s">
        <v>83</v>
      </c>
      <c r="T32" s="43" t="s">
        <v>641</v>
      </c>
      <c r="U32" s="43" t="s">
        <v>660</v>
      </c>
      <c r="V32" s="43" t="n">
        <v>115</v>
      </c>
      <c r="W32" s="43" t="n">
        <v>18</v>
      </c>
      <c r="X32" s="43" t="n">
        <v>133</v>
      </c>
      <c r="Y32" s="43" t="s">
        <v>635</v>
      </c>
      <c r="Z32" s="43" t="s">
        <v>636</v>
      </c>
    </row>
    <row r="33" customFormat="false" ht="15" hidden="false" customHeight="false" outlineLevel="0" collapsed="false">
      <c r="A33" s="43" t="n">
        <v>31</v>
      </c>
      <c r="B33" s="43" t="s">
        <v>661</v>
      </c>
      <c r="C33" s="43" t="s">
        <v>281</v>
      </c>
      <c r="D33" s="43" t="s">
        <v>281</v>
      </c>
      <c r="E33" s="43" t="s">
        <v>149</v>
      </c>
      <c r="F33" s="43" t="s">
        <v>61</v>
      </c>
      <c r="G33" s="43" t="n">
        <v>2025</v>
      </c>
      <c r="H33" s="44" t="n">
        <v>0</v>
      </c>
      <c r="I33" s="43" t="n">
        <v>2025</v>
      </c>
      <c r="J33" s="43" t="n">
        <v>8</v>
      </c>
      <c r="K33" s="44" t="n">
        <v>13779</v>
      </c>
      <c r="L33" s="43" t="n">
        <v>2025</v>
      </c>
      <c r="M33" s="43" t="n">
        <v>11</v>
      </c>
      <c r="N33" s="44" t="n">
        <v>13884</v>
      </c>
      <c r="O33" s="43" t="n">
        <v>2025</v>
      </c>
      <c r="P33" s="43" t="n">
        <v>12</v>
      </c>
      <c r="Q33" s="44" t="n">
        <v>13601</v>
      </c>
      <c r="R33" s="43" t="s">
        <v>646</v>
      </c>
      <c r="S33" s="43" t="s">
        <v>83</v>
      </c>
      <c r="T33" s="43" t="s">
        <v>641</v>
      </c>
      <c r="U33" s="43" t="s">
        <v>660</v>
      </c>
      <c r="V33" s="43" t="n">
        <v>80</v>
      </c>
      <c r="W33" s="43" t="n">
        <v>18</v>
      </c>
      <c r="X33" s="43" t="n">
        <v>98</v>
      </c>
      <c r="Y33" s="43" t="s">
        <v>635</v>
      </c>
      <c r="Z33" s="43" t="s">
        <v>636</v>
      </c>
    </row>
    <row r="34" customFormat="false" ht="15" hidden="false" customHeight="false" outlineLevel="0" collapsed="false">
      <c r="A34" s="43" t="n">
        <v>32</v>
      </c>
      <c r="B34" s="43" t="s">
        <v>661</v>
      </c>
      <c r="C34" s="43" t="s">
        <v>281</v>
      </c>
      <c r="D34" s="43" t="s">
        <v>281</v>
      </c>
      <c r="E34" s="43" t="s">
        <v>149</v>
      </c>
      <c r="F34" s="43" t="s">
        <v>61</v>
      </c>
      <c r="G34" s="43" t="n">
        <v>2025</v>
      </c>
      <c r="H34" s="44" t="n">
        <v>0</v>
      </c>
      <c r="I34" s="43" t="n">
        <v>2025</v>
      </c>
      <c r="J34" s="43" t="n">
        <v>9</v>
      </c>
      <c r="K34" s="44" t="n">
        <v>15554</v>
      </c>
      <c r="L34" s="43" t="n">
        <v>2025</v>
      </c>
      <c r="M34" s="43" t="n">
        <v>11</v>
      </c>
      <c r="N34" s="44" t="n">
        <v>15572</v>
      </c>
      <c r="O34" s="43" t="n">
        <v>2025</v>
      </c>
      <c r="P34" s="43" t="n">
        <v>12</v>
      </c>
      <c r="Q34" s="44" t="n">
        <v>15255</v>
      </c>
      <c r="R34" s="43" t="s">
        <v>646</v>
      </c>
      <c r="S34" s="43" t="s">
        <v>83</v>
      </c>
      <c r="T34" s="43" t="s">
        <v>641</v>
      </c>
      <c r="U34" s="43" t="s">
        <v>660</v>
      </c>
      <c r="V34" s="43" t="n">
        <v>48</v>
      </c>
      <c r="W34" s="43" t="n">
        <v>18</v>
      </c>
      <c r="X34" s="43" t="n">
        <v>66</v>
      </c>
      <c r="Y34" s="43" t="s">
        <v>635</v>
      </c>
      <c r="Z34" s="43" t="s">
        <v>636</v>
      </c>
    </row>
    <row r="35" customFormat="false" ht="15" hidden="false" customHeight="false" outlineLevel="0" collapsed="false">
      <c r="A35" s="43" t="n">
        <v>33</v>
      </c>
      <c r="B35" s="43" t="s">
        <v>661</v>
      </c>
      <c r="C35" s="43" t="s">
        <v>281</v>
      </c>
      <c r="D35" s="43" t="s">
        <v>281</v>
      </c>
      <c r="E35" s="43" t="s">
        <v>149</v>
      </c>
      <c r="F35" s="43" t="s">
        <v>61</v>
      </c>
      <c r="G35" s="43" t="n">
        <v>2025</v>
      </c>
      <c r="H35" s="44" t="n">
        <v>0</v>
      </c>
      <c r="I35" s="43" t="n">
        <v>2025</v>
      </c>
      <c r="J35" s="43" t="n">
        <v>10</v>
      </c>
      <c r="K35" s="44" t="n">
        <v>20205</v>
      </c>
      <c r="L35" s="43" t="n">
        <v>2025</v>
      </c>
      <c r="M35" s="43" t="n">
        <v>11</v>
      </c>
      <c r="N35" s="44" t="n">
        <v>20263</v>
      </c>
      <c r="O35" s="43" t="n">
        <v>2025</v>
      </c>
      <c r="P35" s="43" t="n">
        <v>12</v>
      </c>
      <c r="Q35" s="44" t="n">
        <v>19850</v>
      </c>
      <c r="R35" s="43" t="s">
        <v>646</v>
      </c>
      <c r="S35" s="43" t="s">
        <v>83</v>
      </c>
      <c r="T35" s="43" t="s">
        <v>641</v>
      </c>
      <c r="U35" s="43" t="s">
        <v>660</v>
      </c>
      <c r="V35" s="43" t="n">
        <v>24</v>
      </c>
      <c r="W35" s="43" t="n">
        <v>18</v>
      </c>
      <c r="X35" s="43" t="n">
        <v>42</v>
      </c>
      <c r="Y35" s="43" t="s">
        <v>635</v>
      </c>
      <c r="Z35" s="43" t="s">
        <v>636</v>
      </c>
    </row>
    <row r="36" customFormat="false" ht="15" hidden="false" customHeight="false" outlineLevel="0" collapsed="false">
      <c r="A36" s="43" t="n">
        <v>34</v>
      </c>
      <c r="B36" s="43" t="s">
        <v>661</v>
      </c>
      <c r="C36" s="43" t="s">
        <v>281</v>
      </c>
      <c r="D36" s="43" t="s">
        <v>281</v>
      </c>
      <c r="E36" s="43" t="s">
        <v>149</v>
      </c>
      <c r="F36" s="43" t="s">
        <v>61</v>
      </c>
      <c r="G36" s="43" t="n">
        <v>2025</v>
      </c>
      <c r="H36" s="44" t="n">
        <v>0</v>
      </c>
      <c r="I36" s="43" t="n">
        <v>2025</v>
      </c>
      <c r="J36" s="43" t="n">
        <v>11</v>
      </c>
      <c r="K36" s="44" t="n">
        <v>34300</v>
      </c>
      <c r="L36" s="43" t="n">
        <v>2026</v>
      </c>
      <c r="M36" s="43" t="n">
        <v>2</v>
      </c>
      <c r="N36" s="44" t="n">
        <v>34334</v>
      </c>
      <c r="O36" s="43" t="n">
        <v>2026</v>
      </c>
      <c r="P36" s="43" t="n">
        <v>3</v>
      </c>
      <c r="Q36" s="44" t="n">
        <v>34334</v>
      </c>
      <c r="R36" s="43" t="s">
        <v>646</v>
      </c>
      <c r="S36" s="43" t="s">
        <v>83</v>
      </c>
      <c r="T36" s="43" t="s">
        <v>641</v>
      </c>
      <c r="U36" s="43" t="s">
        <v>660</v>
      </c>
      <c r="V36" s="43" t="n">
        <v>77</v>
      </c>
      <c r="W36" s="43" t="n">
        <v>28</v>
      </c>
      <c r="X36" s="43" t="n">
        <v>105</v>
      </c>
      <c r="Y36" s="43" t="s">
        <v>635</v>
      </c>
      <c r="Z36" s="43" t="s">
        <v>636</v>
      </c>
    </row>
    <row r="37" customFormat="false" ht="15" hidden="false" customHeight="false" outlineLevel="0" collapsed="false">
      <c r="A37" s="43" t="n">
        <v>35</v>
      </c>
      <c r="B37" s="43" t="s">
        <v>661</v>
      </c>
      <c r="C37" s="43" t="s">
        <v>281</v>
      </c>
      <c r="D37" s="43" t="s">
        <v>281</v>
      </c>
      <c r="E37" s="43" t="s">
        <v>149</v>
      </c>
      <c r="F37" s="43" t="s">
        <v>61</v>
      </c>
      <c r="G37" s="43" t="n">
        <v>2025</v>
      </c>
      <c r="H37" s="44" t="n">
        <v>0</v>
      </c>
      <c r="I37" s="43" t="n">
        <v>2025</v>
      </c>
      <c r="J37" s="43" t="n">
        <v>12</v>
      </c>
      <c r="K37" s="44" t="n">
        <v>33020</v>
      </c>
      <c r="L37" s="43" t="n">
        <v>2026</v>
      </c>
      <c r="M37" s="43" t="n">
        <v>2</v>
      </c>
      <c r="N37" s="44" t="n">
        <v>33021</v>
      </c>
      <c r="O37" s="43" t="n">
        <v>2026</v>
      </c>
      <c r="P37" s="43" t="n">
        <v>2</v>
      </c>
      <c r="Q37" s="44" t="n">
        <v>28728.27</v>
      </c>
      <c r="R37" s="43" t="s">
        <v>646</v>
      </c>
      <c r="S37" s="43" t="s">
        <v>83</v>
      </c>
      <c r="T37" s="43" t="s">
        <v>641</v>
      </c>
      <c r="U37" s="43" t="s">
        <v>660</v>
      </c>
      <c r="V37" s="43" t="n">
        <v>49</v>
      </c>
      <c r="W37" s="43" t="n">
        <v>7</v>
      </c>
      <c r="X37" s="43" t="n">
        <v>56</v>
      </c>
      <c r="Y37" s="43" t="s">
        <v>635</v>
      </c>
      <c r="Z37" s="43" t="s">
        <v>636</v>
      </c>
    </row>
    <row r="38" customFormat="false" ht="15" hidden="false" customHeight="false" outlineLevel="0" collapsed="false">
      <c r="A38" s="43" t="n">
        <v>36</v>
      </c>
      <c r="B38" s="43" t="s">
        <v>661</v>
      </c>
      <c r="C38" s="43" t="s">
        <v>281</v>
      </c>
      <c r="D38" s="43" t="s">
        <v>281</v>
      </c>
      <c r="E38" s="43" t="s">
        <v>149</v>
      </c>
      <c r="F38" s="43" t="s">
        <v>61</v>
      </c>
      <c r="G38" s="43" t="n">
        <v>2026</v>
      </c>
      <c r="H38" s="44" t="n">
        <v>0</v>
      </c>
      <c r="I38" s="43" t="n">
        <v>2026</v>
      </c>
      <c r="J38" s="43" t="n">
        <v>1</v>
      </c>
      <c r="K38" s="44" t="n">
        <v>36078</v>
      </c>
      <c r="L38" s="43" t="n">
        <v>2026</v>
      </c>
      <c r="M38" s="43" t="n">
        <v>2</v>
      </c>
      <c r="N38" s="44" t="n">
        <v>36022</v>
      </c>
      <c r="O38" s="43" t="n">
        <v>2026</v>
      </c>
      <c r="P38" s="43" t="n">
        <v>2</v>
      </c>
      <c r="Q38" s="44" t="n">
        <v>31339.14</v>
      </c>
      <c r="R38" s="43" t="s">
        <v>646</v>
      </c>
      <c r="S38" s="43" t="s">
        <v>83</v>
      </c>
      <c r="T38" s="43" t="s">
        <v>641</v>
      </c>
      <c r="U38" s="43" t="s">
        <v>660</v>
      </c>
      <c r="V38" s="43" t="n">
        <v>16</v>
      </c>
      <c r="W38" s="43" t="n">
        <v>7</v>
      </c>
      <c r="X38" s="43" t="n">
        <v>23</v>
      </c>
      <c r="Y38" s="43" t="s">
        <v>635</v>
      </c>
      <c r="Z38" s="43" t="s">
        <v>636</v>
      </c>
    </row>
    <row r="39" customFormat="false" ht="15" hidden="false" customHeight="false" outlineLevel="0" collapsed="false">
      <c r="A39" s="43" t="n">
        <v>37</v>
      </c>
      <c r="B39" s="43" t="s">
        <v>661</v>
      </c>
      <c r="C39" s="43" t="s">
        <v>281</v>
      </c>
      <c r="D39" s="43" t="s">
        <v>281</v>
      </c>
      <c r="E39" s="43" t="s">
        <v>149</v>
      </c>
      <c r="F39" s="43" t="s">
        <v>61</v>
      </c>
      <c r="G39" s="43" t="n">
        <v>2026</v>
      </c>
      <c r="H39" s="44" t="n">
        <v>0</v>
      </c>
      <c r="I39" s="43" t="n">
        <v>2026</v>
      </c>
      <c r="J39" s="43" t="n">
        <v>2</v>
      </c>
      <c r="K39" s="44" t="n">
        <v>20228</v>
      </c>
      <c r="L39" s="43"/>
      <c r="M39" s="43"/>
      <c r="N39" s="44" t="n">
        <v>0</v>
      </c>
      <c r="O39" s="43"/>
      <c r="P39" s="43"/>
      <c r="Q39" s="44" t="n">
        <v>0</v>
      </c>
      <c r="R39" s="43" t="s">
        <v>646</v>
      </c>
      <c r="S39" s="43" t="s">
        <v>83</v>
      </c>
      <c r="T39" s="43" t="s">
        <v>641</v>
      </c>
      <c r="U39" s="43" t="s">
        <v>660</v>
      </c>
      <c r="V39" s="43"/>
      <c r="W39" s="43"/>
      <c r="X39" s="43"/>
      <c r="Y39" s="43" t="s">
        <v>635</v>
      </c>
      <c r="Z39" s="43" t="s">
        <v>636</v>
      </c>
    </row>
    <row r="40" customFormat="false" ht="15" hidden="false" customHeight="false" outlineLevel="0" collapsed="false">
      <c r="A40" s="43" t="n">
        <v>38</v>
      </c>
      <c r="B40" s="43" t="s">
        <v>662</v>
      </c>
      <c r="C40" s="43" t="s">
        <v>663</v>
      </c>
      <c r="D40" s="43" t="s">
        <v>663</v>
      </c>
      <c r="E40" s="43" t="s">
        <v>132</v>
      </c>
      <c r="F40" s="43" t="s">
        <v>48</v>
      </c>
      <c r="G40" s="43" t="n">
        <v>2024</v>
      </c>
      <c r="H40" s="44" t="n">
        <v>0</v>
      </c>
      <c r="I40" s="43" t="n">
        <v>2024</v>
      </c>
      <c r="J40" s="43" t="n">
        <v>3</v>
      </c>
      <c r="K40" s="44" t="n">
        <v>62048</v>
      </c>
      <c r="L40" s="43" t="n">
        <v>2024</v>
      </c>
      <c r="M40" s="43" t="n">
        <v>4</v>
      </c>
      <c r="N40" s="44" t="n">
        <v>62048</v>
      </c>
      <c r="O40" s="43" t="n">
        <v>2024</v>
      </c>
      <c r="P40" s="43" t="n">
        <v>4</v>
      </c>
      <c r="Q40" s="44" t="n">
        <v>62048</v>
      </c>
      <c r="R40" s="43" t="s">
        <v>651</v>
      </c>
      <c r="S40" s="43" t="s">
        <v>85</v>
      </c>
      <c r="T40" s="43" t="s">
        <v>633</v>
      </c>
      <c r="U40" s="43" t="s">
        <v>647</v>
      </c>
      <c r="V40" s="43" t="n">
        <v>23</v>
      </c>
      <c r="W40" s="43" t="n">
        <v>9</v>
      </c>
      <c r="X40" s="43" t="n">
        <v>32</v>
      </c>
      <c r="Y40" s="43" t="s">
        <v>635</v>
      </c>
      <c r="Z40" s="43" t="s">
        <v>636</v>
      </c>
    </row>
    <row r="41" customFormat="false" ht="15" hidden="false" customHeight="false" outlineLevel="0" collapsed="false">
      <c r="A41" s="43" t="n">
        <v>39</v>
      </c>
      <c r="B41" s="43" t="s">
        <v>662</v>
      </c>
      <c r="C41" s="43" t="s">
        <v>663</v>
      </c>
      <c r="D41" s="43" t="s">
        <v>663</v>
      </c>
      <c r="E41" s="43" t="s">
        <v>132</v>
      </c>
      <c r="F41" s="43" t="s">
        <v>48</v>
      </c>
      <c r="G41" s="43" t="n">
        <v>2024</v>
      </c>
      <c r="H41" s="44" t="n">
        <v>61813</v>
      </c>
      <c r="I41" s="43" t="n">
        <v>2024</v>
      </c>
      <c r="J41" s="43" t="n">
        <v>4</v>
      </c>
      <c r="K41" s="44" t="n">
        <v>44853</v>
      </c>
      <c r="L41" s="43" t="n">
        <v>2024</v>
      </c>
      <c r="M41" s="43" t="n">
        <v>5</v>
      </c>
      <c r="N41" s="44" t="n">
        <v>44853</v>
      </c>
      <c r="O41" s="43" t="n">
        <v>2024</v>
      </c>
      <c r="P41" s="43" t="n">
        <v>5</v>
      </c>
      <c r="Q41" s="44" t="n">
        <v>44853</v>
      </c>
      <c r="R41" s="43" t="s">
        <v>651</v>
      </c>
      <c r="S41" s="43" t="s">
        <v>85</v>
      </c>
      <c r="T41" s="43" t="s">
        <v>633</v>
      </c>
      <c r="U41" s="43" t="s">
        <v>647</v>
      </c>
      <c r="V41" s="43" t="n">
        <v>21</v>
      </c>
      <c r="W41" s="43" t="n">
        <v>15</v>
      </c>
      <c r="X41" s="43" t="n">
        <v>36</v>
      </c>
      <c r="Y41" s="43" t="s">
        <v>635</v>
      </c>
      <c r="Z41" s="43" t="s">
        <v>636</v>
      </c>
    </row>
    <row r="42" customFormat="false" ht="15" hidden="false" customHeight="false" outlineLevel="0" collapsed="false">
      <c r="A42" s="43" t="n">
        <v>40</v>
      </c>
      <c r="B42" s="43" t="s">
        <v>662</v>
      </c>
      <c r="C42" s="43" t="s">
        <v>663</v>
      </c>
      <c r="D42" s="43" t="s">
        <v>663</v>
      </c>
      <c r="E42" s="43" t="s">
        <v>132</v>
      </c>
      <c r="F42" s="43" t="s">
        <v>48</v>
      </c>
      <c r="G42" s="43" t="n">
        <v>2024</v>
      </c>
      <c r="H42" s="44" t="n">
        <v>118299.5</v>
      </c>
      <c r="I42" s="43" t="n">
        <v>2024</v>
      </c>
      <c r="J42" s="43" t="n">
        <v>5</v>
      </c>
      <c r="K42" s="44" t="n">
        <v>35250</v>
      </c>
      <c r="L42" s="43" t="n">
        <v>2024</v>
      </c>
      <c r="M42" s="43" t="n">
        <v>7</v>
      </c>
      <c r="N42" s="44" t="n">
        <v>35250</v>
      </c>
      <c r="O42" s="43" t="n">
        <v>2024</v>
      </c>
      <c r="P42" s="43" t="n">
        <v>7</v>
      </c>
      <c r="Q42" s="44" t="n">
        <v>35249.9994661257</v>
      </c>
      <c r="R42" s="43" t="s">
        <v>651</v>
      </c>
      <c r="S42" s="43" t="s">
        <v>85</v>
      </c>
      <c r="T42" s="43" t="s">
        <v>633</v>
      </c>
      <c r="U42" s="43" t="s">
        <v>647</v>
      </c>
      <c r="V42" s="43" t="n">
        <v>38</v>
      </c>
      <c r="W42" s="43" t="n">
        <v>7</v>
      </c>
      <c r="X42" s="43" t="n">
        <v>45</v>
      </c>
      <c r="Y42" s="43" t="s">
        <v>635</v>
      </c>
      <c r="Z42" s="43" t="s">
        <v>636</v>
      </c>
    </row>
    <row r="43" customFormat="false" ht="15" hidden="false" customHeight="false" outlineLevel="0" collapsed="false">
      <c r="A43" s="43" t="n">
        <v>41</v>
      </c>
      <c r="B43" s="43" t="s">
        <v>662</v>
      </c>
      <c r="C43" s="43" t="s">
        <v>663</v>
      </c>
      <c r="D43" s="43" t="s">
        <v>663</v>
      </c>
      <c r="E43" s="43" t="s">
        <v>132</v>
      </c>
      <c r="F43" s="43" t="s">
        <v>48</v>
      </c>
      <c r="G43" s="43" t="n">
        <v>2024</v>
      </c>
      <c r="H43" s="44" t="n">
        <v>83049.5</v>
      </c>
      <c r="I43" s="43" t="n">
        <v>2024</v>
      </c>
      <c r="J43" s="43" t="n">
        <v>6</v>
      </c>
      <c r="K43" s="44" t="n">
        <v>74540</v>
      </c>
      <c r="L43" s="43" t="n">
        <v>2024</v>
      </c>
      <c r="M43" s="43" t="n">
        <v>8</v>
      </c>
      <c r="N43" s="44" t="n">
        <v>74540</v>
      </c>
      <c r="O43" s="43" t="n">
        <v>2024</v>
      </c>
      <c r="P43" s="43" t="n">
        <v>8</v>
      </c>
      <c r="Q43" s="44" t="n">
        <v>75523.4742187248</v>
      </c>
      <c r="R43" s="43" t="s">
        <v>651</v>
      </c>
      <c r="S43" s="43" t="s">
        <v>85</v>
      </c>
      <c r="T43" s="43" t="s">
        <v>633</v>
      </c>
      <c r="U43" s="43" t="s">
        <v>647</v>
      </c>
      <c r="V43" s="43" t="n">
        <v>36</v>
      </c>
      <c r="W43" s="43" t="n">
        <v>8</v>
      </c>
      <c r="X43" s="43" t="n">
        <v>44</v>
      </c>
      <c r="Y43" s="43" t="s">
        <v>635</v>
      </c>
      <c r="Z43" s="43" t="s">
        <v>636</v>
      </c>
    </row>
    <row r="44" customFormat="false" ht="15" hidden="false" customHeight="false" outlineLevel="0" collapsed="false">
      <c r="A44" s="43" t="n">
        <v>42</v>
      </c>
      <c r="B44" s="43" t="s">
        <v>662</v>
      </c>
      <c r="C44" s="43" t="s">
        <v>663</v>
      </c>
      <c r="D44" s="43" t="s">
        <v>663</v>
      </c>
      <c r="E44" s="43" t="s">
        <v>132</v>
      </c>
      <c r="F44" s="43" t="s">
        <v>48</v>
      </c>
      <c r="G44" s="43" t="n">
        <v>2024</v>
      </c>
      <c r="H44" s="44" t="n">
        <v>0</v>
      </c>
      <c r="I44" s="43" t="n">
        <v>2024</v>
      </c>
      <c r="J44" s="43" t="n">
        <v>7</v>
      </c>
      <c r="K44" s="44" t="n">
        <v>8760</v>
      </c>
      <c r="L44" s="43" t="n">
        <v>2024</v>
      </c>
      <c r="M44" s="43" t="n">
        <v>8</v>
      </c>
      <c r="N44" s="44" t="n">
        <v>8759</v>
      </c>
      <c r="O44" s="43" t="n">
        <v>2024</v>
      </c>
      <c r="P44" s="43" t="n">
        <v>9</v>
      </c>
      <c r="Q44" s="44" t="n">
        <v>8759</v>
      </c>
      <c r="R44" s="43" t="s">
        <v>651</v>
      </c>
      <c r="S44" s="43" t="s">
        <v>85</v>
      </c>
      <c r="T44" s="43" t="s">
        <v>633</v>
      </c>
      <c r="U44" s="43" t="s">
        <v>647</v>
      </c>
      <c r="V44" s="43" t="n">
        <v>33</v>
      </c>
      <c r="W44" s="43" t="n">
        <v>31</v>
      </c>
      <c r="X44" s="43" t="n">
        <v>64</v>
      </c>
      <c r="Y44" s="43" t="s">
        <v>635</v>
      </c>
      <c r="Z44" s="43" t="s">
        <v>636</v>
      </c>
    </row>
    <row r="45" customFormat="false" ht="15" hidden="false" customHeight="false" outlineLevel="0" collapsed="false">
      <c r="A45" s="43" t="n">
        <v>43</v>
      </c>
      <c r="B45" s="43" t="s">
        <v>664</v>
      </c>
      <c r="C45" s="43" t="s">
        <v>665</v>
      </c>
      <c r="D45" s="43" t="s">
        <v>665</v>
      </c>
      <c r="E45" s="43" t="s">
        <v>132</v>
      </c>
      <c r="F45" s="43" t="s">
        <v>48</v>
      </c>
      <c r="G45" s="43" t="n">
        <v>2024</v>
      </c>
      <c r="H45" s="44" t="n">
        <v>0</v>
      </c>
      <c r="I45" s="43" t="n">
        <v>2024</v>
      </c>
      <c r="J45" s="43" t="n">
        <v>8</v>
      </c>
      <c r="K45" s="44" t="n">
        <v>34347</v>
      </c>
      <c r="L45" s="43" t="n">
        <v>2024</v>
      </c>
      <c r="M45" s="43" t="n">
        <v>10</v>
      </c>
      <c r="N45" s="44" t="n">
        <v>34347</v>
      </c>
      <c r="O45" s="43" t="n">
        <v>2024</v>
      </c>
      <c r="P45" s="43" t="n">
        <v>10</v>
      </c>
      <c r="Q45" s="44" t="n">
        <v>34347</v>
      </c>
      <c r="R45" s="43" t="s">
        <v>651</v>
      </c>
      <c r="S45" s="43" t="s">
        <v>85</v>
      </c>
      <c r="T45" s="43" t="s">
        <v>633</v>
      </c>
      <c r="U45" s="43" t="s">
        <v>647</v>
      </c>
      <c r="V45" s="43" t="n">
        <v>42</v>
      </c>
      <c r="W45" s="43" t="n">
        <v>8</v>
      </c>
      <c r="X45" s="43" t="n">
        <v>50</v>
      </c>
      <c r="Y45" s="43" t="s">
        <v>635</v>
      </c>
      <c r="Z45" s="43" t="s">
        <v>636</v>
      </c>
    </row>
    <row r="46" customFormat="false" ht="15" hidden="false" customHeight="false" outlineLevel="0" collapsed="false">
      <c r="A46" s="43" t="n">
        <v>44</v>
      </c>
      <c r="B46" s="43" t="s">
        <v>664</v>
      </c>
      <c r="C46" s="43" t="s">
        <v>665</v>
      </c>
      <c r="D46" s="43" t="s">
        <v>665</v>
      </c>
      <c r="E46" s="43" t="s">
        <v>132</v>
      </c>
      <c r="F46" s="43" t="s">
        <v>48</v>
      </c>
      <c r="G46" s="43" t="n">
        <v>2024</v>
      </c>
      <c r="H46" s="44" t="n">
        <v>0</v>
      </c>
      <c r="I46" s="43" t="n">
        <v>2024</v>
      </c>
      <c r="J46" s="43" t="n">
        <v>9</v>
      </c>
      <c r="K46" s="44" t="n">
        <v>18000</v>
      </c>
      <c r="L46" s="43" t="n">
        <v>2024</v>
      </c>
      <c r="M46" s="43" t="n">
        <v>10</v>
      </c>
      <c r="N46" s="44" t="n">
        <v>18000</v>
      </c>
      <c r="O46" s="43" t="n">
        <v>2024</v>
      </c>
      <c r="P46" s="43" t="n">
        <v>10</v>
      </c>
      <c r="Q46" s="44" t="n">
        <v>18000</v>
      </c>
      <c r="R46" s="43" t="s">
        <v>651</v>
      </c>
      <c r="S46" s="43" t="s">
        <v>85</v>
      </c>
      <c r="T46" s="43" t="s">
        <v>633</v>
      </c>
      <c r="U46" s="43" t="s">
        <v>647</v>
      </c>
      <c r="V46" s="43" t="n">
        <v>10</v>
      </c>
      <c r="W46" s="43" t="n">
        <v>8</v>
      </c>
      <c r="X46" s="43" t="n">
        <v>18</v>
      </c>
      <c r="Y46" s="43" t="s">
        <v>635</v>
      </c>
      <c r="Z46" s="43" t="s">
        <v>636</v>
      </c>
    </row>
    <row r="47" customFormat="false" ht="15" hidden="false" customHeight="false" outlineLevel="0" collapsed="false">
      <c r="A47" s="43" t="n">
        <v>45</v>
      </c>
      <c r="B47" s="43" t="s">
        <v>664</v>
      </c>
      <c r="C47" s="43" t="s">
        <v>665</v>
      </c>
      <c r="D47" s="43" t="s">
        <v>665</v>
      </c>
      <c r="E47" s="43" t="s">
        <v>132</v>
      </c>
      <c r="F47" s="43" t="s">
        <v>48</v>
      </c>
      <c r="G47" s="43" t="n">
        <v>2024</v>
      </c>
      <c r="H47" s="44" t="n">
        <v>0</v>
      </c>
      <c r="I47" s="43" t="n">
        <v>2024</v>
      </c>
      <c r="J47" s="43" t="n">
        <v>11</v>
      </c>
      <c r="K47" s="44" t="n">
        <v>11821</v>
      </c>
      <c r="L47" s="43" t="n">
        <v>2024</v>
      </c>
      <c r="M47" s="43" t="n">
        <v>12</v>
      </c>
      <c r="N47" s="44" t="n">
        <v>11821</v>
      </c>
      <c r="O47" s="43" t="n">
        <v>2024</v>
      </c>
      <c r="P47" s="43" t="n">
        <v>12</v>
      </c>
      <c r="Q47" s="44" t="n">
        <v>11821</v>
      </c>
      <c r="R47" s="43" t="s">
        <v>651</v>
      </c>
      <c r="S47" s="43" t="s">
        <v>85</v>
      </c>
      <c r="T47" s="43" t="s">
        <v>633</v>
      </c>
      <c r="U47" s="43" t="s">
        <v>647</v>
      </c>
      <c r="V47" s="43" t="n">
        <v>20</v>
      </c>
      <c r="W47" s="43" t="n">
        <v>8</v>
      </c>
      <c r="X47" s="43" t="n">
        <v>28</v>
      </c>
      <c r="Y47" s="43" t="s">
        <v>635</v>
      </c>
      <c r="Z47" s="43" t="s">
        <v>636</v>
      </c>
    </row>
    <row r="48" customFormat="false" ht="15" hidden="false" customHeight="false" outlineLevel="0" collapsed="false">
      <c r="A48" s="43" t="n">
        <v>46</v>
      </c>
      <c r="B48" s="43" t="s">
        <v>664</v>
      </c>
      <c r="C48" s="43" t="s">
        <v>665</v>
      </c>
      <c r="D48" s="43" t="s">
        <v>665</v>
      </c>
      <c r="E48" s="43" t="s">
        <v>132</v>
      </c>
      <c r="F48" s="43" t="s">
        <v>48</v>
      </c>
      <c r="G48" s="43" t="n">
        <v>2024</v>
      </c>
      <c r="H48" s="44" t="n">
        <v>0</v>
      </c>
      <c r="I48" s="43" t="n">
        <v>2024</v>
      </c>
      <c r="J48" s="43" t="n">
        <v>12</v>
      </c>
      <c r="K48" s="44" t="n">
        <v>12357</v>
      </c>
      <c r="L48" s="43" t="n">
        <v>2025</v>
      </c>
      <c r="M48" s="43" t="n">
        <v>1</v>
      </c>
      <c r="N48" s="44" t="n">
        <v>12357</v>
      </c>
      <c r="O48" s="43" t="n">
        <v>2025</v>
      </c>
      <c r="P48" s="43" t="n">
        <v>2</v>
      </c>
      <c r="Q48" s="44" t="n">
        <v>12823</v>
      </c>
      <c r="R48" s="43" t="s">
        <v>651</v>
      </c>
      <c r="S48" s="43" t="s">
        <v>85</v>
      </c>
      <c r="T48" s="43" t="s">
        <v>633</v>
      </c>
      <c r="U48" s="43" t="s">
        <v>647</v>
      </c>
      <c r="V48" s="43" t="n">
        <v>32</v>
      </c>
      <c r="W48" s="43" t="n">
        <v>11</v>
      </c>
      <c r="X48" s="43" t="n">
        <v>43</v>
      </c>
      <c r="Y48" s="43" t="s">
        <v>635</v>
      </c>
      <c r="Z48" s="43" t="s">
        <v>636</v>
      </c>
    </row>
    <row r="49" customFormat="false" ht="15" hidden="false" customHeight="false" outlineLevel="0" collapsed="false">
      <c r="A49" s="43" t="n">
        <v>47</v>
      </c>
      <c r="B49" s="43" t="s">
        <v>664</v>
      </c>
      <c r="C49" s="43" t="s">
        <v>665</v>
      </c>
      <c r="D49" s="43" t="s">
        <v>665</v>
      </c>
      <c r="E49" s="43" t="s">
        <v>132</v>
      </c>
      <c r="F49" s="43" t="s">
        <v>48</v>
      </c>
      <c r="G49" s="43" t="n">
        <v>2025</v>
      </c>
      <c r="H49" s="44" t="n">
        <v>0</v>
      </c>
      <c r="I49" s="43" t="n">
        <v>2025</v>
      </c>
      <c r="J49" s="43" t="n">
        <v>1</v>
      </c>
      <c r="K49" s="44" t="n">
        <v>7816</v>
      </c>
      <c r="L49" s="43" t="n">
        <v>2025</v>
      </c>
      <c r="M49" s="43" t="n">
        <v>2</v>
      </c>
      <c r="N49" s="44" t="n">
        <v>7816</v>
      </c>
      <c r="O49" s="43" t="n">
        <v>2025</v>
      </c>
      <c r="P49" s="43" t="n">
        <v>3</v>
      </c>
      <c r="Q49" s="44" t="n">
        <v>8110.6632</v>
      </c>
      <c r="R49" s="43" t="s">
        <v>651</v>
      </c>
      <c r="S49" s="43" t="s">
        <v>85</v>
      </c>
      <c r="T49" s="43" t="s">
        <v>633</v>
      </c>
      <c r="U49" s="43" t="s">
        <v>647</v>
      </c>
      <c r="V49" s="43" t="n">
        <v>25</v>
      </c>
      <c r="W49" s="43" t="n">
        <v>11</v>
      </c>
      <c r="X49" s="43" t="n">
        <v>36</v>
      </c>
      <c r="Y49" s="43" t="s">
        <v>635</v>
      </c>
      <c r="Z49" s="43" t="s">
        <v>636</v>
      </c>
    </row>
    <row r="50" customFormat="false" ht="15" hidden="false" customHeight="false" outlineLevel="0" collapsed="false">
      <c r="A50" s="43" t="n">
        <v>48</v>
      </c>
      <c r="B50" s="43" t="s">
        <v>664</v>
      </c>
      <c r="C50" s="43" t="s">
        <v>665</v>
      </c>
      <c r="D50" s="43" t="s">
        <v>665</v>
      </c>
      <c r="E50" s="43" t="s">
        <v>132</v>
      </c>
      <c r="F50" s="43" t="s">
        <v>48</v>
      </c>
      <c r="G50" s="43" t="n">
        <v>2025</v>
      </c>
      <c r="H50" s="44" t="n">
        <v>0</v>
      </c>
      <c r="I50" s="43" t="n">
        <v>2025</v>
      </c>
      <c r="J50" s="43" t="n">
        <v>2</v>
      </c>
      <c r="K50" s="44" t="n">
        <v>10739</v>
      </c>
      <c r="L50" s="43" t="n">
        <v>2025</v>
      </c>
      <c r="M50" s="43" t="n">
        <v>3</v>
      </c>
      <c r="N50" s="44" t="n">
        <v>10739</v>
      </c>
      <c r="O50" s="43" t="n">
        <v>2025</v>
      </c>
      <c r="P50" s="43" t="n">
        <v>4</v>
      </c>
      <c r="Q50" s="44" t="n">
        <v>11158</v>
      </c>
      <c r="R50" s="43" t="s">
        <v>651</v>
      </c>
      <c r="S50" s="43" t="s">
        <v>85</v>
      </c>
      <c r="T50" s="43" t="s">
        <v>633</v>
      </c>
      <c r="U50" s="43" t="s">
        <v>647</v>
      </c>
      <c r="V50" s="43" t="n">
        <v>24</v>
      </c>
      <c r="W50" s="43" t="n">
        <v>14</v>
      </c>
      <c r="X50" s="43" t="n">
        <v>38</v>
      </c>
      <c r="Y50" s="43" t="s">
        <v>635</v>
      </c>
      <c r="Z50" s="43" t="s">
        <v>636</v>
      </c>
    </row>
    <row r="51" customFormat="false" ht="15" hidden="false" customHeight="false" outlineLevel="0" collapsed="false">
      <c r="A51" s="43" t="n">
        <v>49</v>
      </c>
      <c r="B51" s="43" t="s">
        <v>664</v>
      </c>
      <c r="C51" s="43" t="s">
        <v>665</v>
      </c>
      <c r="D51" s="43" t="s">
        <v>665</v>
      </c>
      <c r="E51" s="43" t="s">
        <v>132</v>
      </c>
      <c r="F51" s="43" t="s">
        <v>48</v>
      </c>
      <c r="G51" s="43" t="n">
        <v>2025</v>
      </c>
      <c r="H51" s="44" t="n">
        <v>0</v>
      </c>
      <c r="I51" s="43" t="n">
        <v>2025</v>
      </c>
      <c r="J51" s="43" t="n">
        <v>3</v>
      </c>
      <c r="K51" s="44" t="n">
        <v>8828</v>
      </c>
      <c r="L51" s="43" t="n">
        <v>2025</v>
      </c>
      <c r="M51" s="43" t="n">
        <v>5</v>
      </c>
      <c r="N51" s="44" t="n">
        <v>8828</v>
      </c>
      <c r="O51" s="43" t="n">
        <v>2025</v>
      </c>
      <c r="P51" s="43" t="n">
        <v>5</v>
      </c>
      <c r="Q51" s="44" t="n">
        <v>8828</v>
      </c>
      <c r="R51" s="43" t="s">
        <v>651</v>
      </c>
      <c r="S51" s="43" t="s">
        <v>85</v>
      </c>
      <c r="T51" s="43" t="s">
        <v>633</v>
      </c>
      <c r="U51" s="43" t="s">
        <v>647</v>
      </c>
      <c r="V51" s="43" t="n">
        <v>35</v>
      </c>
      <c r="W51" s="43" t="n">
        <v>11</v>
      </c>
      <c r="X51" s="43" t="n">
        <v>46</v>
      </c>
      <c r="Y51" s="43" t="s">
        <v>635</v>
      </c>
      <c r="Z51" s="43" t="s">
        <v>636</v>
      </c>
    </row>
    <row r="52" customFormat="false" ht="15" hidden="false" customHeight="false" outlineLevel="0" collapsed="false">
      <c r="A52" s="43" t="n">
        <v>50</v>
      </c>
      <c r="B52" s="43" t="s">
        <v>664</v>
      </c>
      <c r="C52" s="43" t="s">
        <v>665</v>
      </c>
      <c r="D52" s="43" t="s">
        <v>665</v>
      </c>
      <c r="E52" s="43" t="s">
        <v>132</v>
      </c>
      <c r="F52" s="43" t="s">
        <v>48</v>
      </c>
      <c r="G52" s="43" t="n">
        <v>2025</v>
      </c>
      <c r="H52" s="44" t="n">
        <v>0</v>
      </c>
      <c r="I52" s="43" t="n">
        <v>2025</v>
      </c>
      <c r="J52" s="43" t="n">
        <v>4</v>
      </c>
      <c r="K52" s="44" t="n">
        <v>4263</v>
      </c>
      <c r="L52" s="43" t="n">
        <v>2025</v>
      </c>
      <c r="M52" s="43" t="n">
        <v>5</v>
      </c>
      <c r="N52" s="44" t="n">
        <v>4263</v>
      </c>
      <c r="O52" s="43" t="n">
        <v>2025</v>
      </c>
      <c r="P52" s="43" t="n">
        <v>5</v>
      </c>
      <c r="Q52" s="44" t="n">
        <v>4263</v>
      </c>
      <c r="R52" s="43" t="s">
        <v>651</v>
      </c>
      <c r="S52" s="43" t="s">
        <v>85</v>
      </c>
      <c r="T52" s="43" t="s">
        <v>633</v>
      </c>
      <c r="U52" s="43" t="s">
        <v>647</v>
      </c>
      <c r="V52" s="43" t="n">
        <v>6</v>
      </c>
      <c r="W52" s="43" t="n">
        <v>11</v>
      </c>
      <c r="X52" s="43" t="n">
        <v>17</v>
      </c>
      <c r="Y52" s="43" t="s">
        <v>635</v>
      </c>
      <c r="Z52" s="43" t="s">
        <v>636</v>
      </c>
    </row>
    <row r="53" customFormat="false" ht="15" hidden="false" customHeight="false" outlineLevel="0" collapsed="false">
      <c r="A53" s="43" t="n">
        <v>51</v>
      </c>
      <c r="B53" s="43" t="s">
        <v>666</v>
      </c>
      <c r="C53" s="43" t="s">
        <v>667</v>
      </c>
      <c r="D53" s="43" t="s">
        <v>667</v>
      </c>
      <c r="E53" s="43" t="s">
        <v>132</v>
      </c>
      <c r="F53" s="43" t="s">
        <v>48</v>
      </c>
      <c r="G53" s="43" t="n">
        <v>2024</v>
      </c>
      <c r="H53" s="44" t="n">
        <v>54990</v>
      </c>
      <c r="I53" s="43" t="n">
        <v>2024</v>
      </c>
      <c r="J53" s="43" t="n">
        <v>4</v>
      </c>
      <c r="K53" s="44" t="n">
        <v>31730</v>
      </c>
      <c r="L53" s="43" t="n">
        <v>2024</v>
      </c>
      <c r="M53" s="43" t="n">
        <v>5</v>
      </c>
      <c r="N53" s="44" t="n">
        <v>31730</v>
      </c>
      <c r="O53" s="43" t="n">
        <v>2024</v>
      </c>
      <c r="P53" s="43" t="n">
        <v>5</v>
      </c>
      <c r="Q53" s="44" t="n">
        <v>31730</v>
      </c>
      <c r="R53" s="43" t="s">
        <v>651</v>
      </c>
      <c r="S53" s="43" t="s">
        <v>85</v>
      </c>
      <c r="T53" s="43" t="s">
        <v>633</v>
      </c>
      <c r="U53" s="43" t="s">
        <v>647</v>
      </c>
      <c r="V53" s="43" t="n">
        <v>20</v>
      </c>
      <c r="W53" s="43" t="n">
        <v>9</v>
      </c>
      <c r="X53" s="43" t="n">
        <v>29</v>
      </c>
      <c r="Y53" s="43" t="s">
        <v>635</v>
      </c>
      <c r="Z53" s="43" t="s">
        <v>636</v>
      </c>
    </row>
    <row r="54" customFormat="false" ht="15" hidden="false" customHeight="false" outlineLevel="0" collapsed="false">
      <c r="A54" s="43" t="n">
        <v>52</v>
      </c>
      <c r="B54" s="43" t="s">
        <v>666</v>
      </c>
      <c r="C54" s="43" t="s">
        <v>667</v>
      </c>
      <c r="D54" s="43" t="s">
        <v>667</v>
      </c>
      <c r="E54" s="43" t="s">
        <v>132</v>
      </c>
      <c r="F54" s="43" t="s">
        <v>48</v>
      </c>
      <c r="G54" s="43" t="n">
        <v>2024</v>
      </c>
      <c r="H54" s="44" t="n">
        <v>33341.5</v>
      </c>
      <c r="I54" s="43" t="n">
        <v>2024</v>
      </c>
      <c r="J54" s="43" t="n">
        <v>6</v>
      </c>
      <c r="K54" s="44" t="n">
        <v>21884</v>
      </c>
      <c r="L54" s="43" t="n">
        <v>2024</v>
      </c>
      <c r="M54" s="43" t="n">
        <v>8</v>
      </c>
      <c r="N54" s="44" t="n">
        <v>21884</v>
      </c>
      <c r="O54" s="43" t="n">
        <v>2024</v>
      </c>
      <c r="P54" s="43" t="n">
        <v>8</v>
      </c>
      <c r="Q54" s="44" t="n">
        <v>24919.5042351501</v>
      </c>
      <c r="R54" s="43" t="s">
        <v>651</v>
      </c>
      <c r="S54" s="43" t="s">
        <v>85</v>
      </c>
      <c r="T54" s="43" t="s">
        <v>633</v>
      </c>
      <c r="U54" s="43" t="s">
        <v>647</v>
      </c>
      <c r="V54" s="43" t="n">
        <v>36</v>
      </c>
      <c r="W54" s="43" t="n">
        <v>8</v>
      </c>
      <c r="X54" s="43" t="n">
        <v>44</v>
      </c>
      <c r="Y54" s="43" t="s">
        <v>635</v>
      </c>
      <c r="Z54" s="43" t="s">
        <v>636</v>
      </c>
    </row>
    <row r="55" customFormat="false" ht="15" hidden="false" customHeight="false" outlineLevel="0" collapsed="false">
      <c r="A55" s="43" t="n">
        <v>53</v>
      </c>
      <c r="B55" s="43" t="s">
        <v>666</v>
      </c>
      <c r="C55" s="43" t="s">
        <v>667</v>
      </c>
      <c r="D55" s="43" t="s">
        <v>667</v>
      </c>
      <c r="E55" s="43" t="s">
        <v>132</v>
      </c>
      <c r="F55" s="43" t="s">
        <v>48</v>
      </c>
      <c r="G55" s="43" t="n">
        <v>2024</v>
      </c>
      <c r="H55" s="44" t="n">
        <v>0</v>
      </c>
      <c r="I55" s="43" t="n">
        <v>2024</v>
      </c>
      <c r="J55" s="43" t="n">
        <v>7</v>
      </c>
      <c r="K55" s="44" t="n">
        <v>15305</v>
      </c>
      <c r="L55" s="43" t="n">
        <v>2024</v>
      </c>
      <c r="M55" s="43" t="n">
        <v>8</v>
      </c>
      <c r="N55" s="44" t="n">
        <v>15305</v>
      </c>
      <c r="O55" s="43" t="n">
        <v>2024</v>
      </c>
      <c r="P55" s="43" t="n">
        <v>9</v>
      </c>
      <c r="Q55" s="44" t="n">
        <v>15305</v>
      </c>
      <c r="R55" s="43" t="s">
        <v>651</v>
      </c>
      <c r="S55" s="43" t="s">
        <v>85</v>
      </c>
      <c r="T55" s="43" t="s">
        <v>633</v>
      </c>
      <c r="U55" s="43" t="s">
        <v>647</v>
      </c>
      <c r="V55" s="43" t="n">
        <v>33</v>
      </c>
      <c r="W55" s="43" t="n">
        <v>31</v>
      </c>
      <c r="X55" s="43" t="n">
        <v>64</v>
      </c>
      <c r="Y55" s="43" t="s">
        <v>635</v>
      </c>
      <c r="Z55" s="43" t="s">
        <v>636</v>
      </c>
    </row>
    <row r="56" customFormat="false" ht="15" hidden="false" customHeight="false" outlineLevel="0" collapsed="false">
      <c r="A56" s="43" t="n">
        <v>54</v>
      </c>
      <c r="B56" s="43" t="s">
        <v>666</v>
      </c>
      <c r="C56" s="43" t="s">
        <v>667</v>
      </c>
      <c r="D56" s="43" t="s">
        <v>667</v>
      </c>
      <c r="E56" s="43" t="s">
        <v>132</v>
      </c>
      <c r="F56" s="43" t="s">
        <v>48</v>
      </c>
      <c r="G56" s="43" t="n">
        <v>2024</v>
      </c>
      <c r="H56" s="44" t="n">
        <v>0</v>
      </c>
      <c r="I56" s="43" t="n">
        <v>2024</v>
      </c>
      <c r="J56" s="43" t="n">
        <v>9</v>
      </c>
      <c r="K56" s="44" t="n">
        <v>19723</v>
      </c>
      <c r="L56" s="43" t="n">
        <v>2024</v>
      </c>
      <c r="M56" s="43" t="n">
        <v>10</v>
      </c>
      <c r="N56" s="44" t="n">
        <v>19723</v>
      </c>
      <c r="O56" s="43" t="n">
        <v>2024</v>
      </c>
      <c r="P56" s="43" t="n">
        <v>10</v>
      </c>
      <c r="Q56" s="44" t="n">
        <v>19723</v>
      </c>
      <c r="R56" s="43" t="s">
        <v>651</v>
      </c>
      <c r="S56" s="43" t="s">
        <v>85</v>
      </c>
      <c r="T56" s="43" t="s">
        <v>633</v>
      </c>
      <c r="U56" s="43" t="s">
        <v>647</v>
      </c>
      <c r="V56" s="43" t="n">
        <v>14</v>
      </c>
      <c r="W56" s="43" t="n">
        <v>4</v>
      </c>
      <c r="X56" s="43" t="n">
        <v>18</v>
      </c>
      <c r="Y56" s="43" t="s">
        <v>635</v>
      </c>
      <c r="Z56" s="43" t="s">
        <v>636</v>
      </c>
    </row>
    <row r="57" customFormat="false" ht="15" hidden="false" customHeight="false" outlineLevel="0" collapsed="false">
      <c r="A57" s="43" t="n">
        <v>55</v>
      </c>
      <c r="B57" s="43" t="s">
        <v>668</v>
      </c>
      <c r="C57" s="43" t="s">
        <v>275</v>
      </c>
      <c r="D57" s="43" t="s">
        <v>275</v>
      </c>
      <c r="E57" s="43" t="s">
        <v>132</v>
      </c>
      <c r="F57" s="43" t="s">
        <v>48</v>
      </c>
      <c r="G57" s="43" t="n">
        <v>2025</v>
      </c>
      <c r="H57" s="44" t="n">
        <v>0</v>
      </c>
      <c r="I57" s="43" t="n">
        <v>2025</v>
      </c>
      <c r="J57" s="43" t="n">
        <v>10</v>
      </c>
      <c r="K57" s="44" t="n">
        <v>54264</v>
      </c>
      <c r="L57" s="43" t="n">
        <v>2026</v>
      </c>
      <c r="M57" s="43" t="n">
        <v>1</v>
      </c>
      <c r="N57" s="44" t="n">
        <v>54264</v>
      </c>
      <c r="O57" s="43" t="n">
        <v>2026</v>
      </c>
      <c r="P57" s="43" t="n">
        <v>1</v>
      </c>
      <c r="Q57" s="44" t="n">
        <v>54264</v>
      </c>
      <c r="R57" s="43" t="s">
        <v>651</v>
      </c>
      <c r="S57" s="43" t="s">
        <v>85</v>
      </c>
      <c r="T57" s="43" t="s">
        <v>633</v>
      </c>
      <c r="U57" s="43" t="s">
        <v>669</v>
      </c>
      <c r="V57" s="43" t="n">
        <v>68</v>
      </c>
      <c r="W57" s="43" t="n">
        <v>10</v>
      </c>
      <c r="X57" s="43" t="n">
        <v>78</v>
      </c>
      <c r="Y57" s="43" t="s">
        <v>635</v>
      </c>
      <c r="Z57" s="43" t="s">
        <v>636</v>
      </c>
    </row>
    <row r="58" customFormat="false" ht="15" hidden="false" customHeight="false" outlineLevel="0" collapsed="false">
      <c r="A58" s="43" t="n">
        <v>56</v>
      </c>
      <c r="B58" s="43" t="s">
        <v>668</v>
      </c>
      <c r="C58" s="43" t="s">
        <v>275</v>
      </c>
      <c r="D58" s="43" t="s">
        <v>275</v>
      </c>
      <c r="E58" s="43" t="s">
        <v>132</v>
      </c>
      <c r="F58" s="43" t="s">
        <v>48</v>
      </c>
      <c r="G58" s="43" t="n">
        <v>2025</v>
      </c>
      <c r="H58" s="44" t="n">
        <v>0</v>
      </c>
      <c r="I58" s="43" t="n">
        <v>2026</v>
      </c>
      <c r="J58" s="43" t="n">
        <v>2</v>
      </c>
      <c r="K58" s="44" t="n">
        <v>25487</v>
      </c>
      <c r="L58" s="43" t="n">
        <v>2026</v>
      </c>
      <c r="M58" s="43" t="n">
        <v>2</v>
      </c>
      <c r="N58" s="44" t="n">
        <v>25487</v>
      </c>
      <c r="O58" s="43" t="n">
        <v>2026</v>
      </c>
      <c r="P58" s="43" t="n">
        <v>2</v>
      </c>
      <c r="Q58" s="44" t="n">
        <v>25487</v>
      </c>
      <c r="R58" s="43" t="s">
        <v>651</v>
      </c>
      <c r="S58" s="43" t="s">
        <v>85</v>
      </c>
      <c r="T58" s="43" t="s">
        <v>633</v>
      </c>
      <c r="U58" s="43" t="s">
        <v>669</v>
      </c>
      <c r="V58" s="43" t="n">
        <v>15</v>
      </c>
      <c r="W58" s="43" t="n">
        <v>10</v>
      </c>
      <c r="X58" s="43" t="n">
        <v>25</v>
      </c>
      <c r="Y58" s="43" t="s">
        <v>635</v>
      </c>
      <c r="Z58" s="43" t="s">
        <v>636</v>
      </c>
    </row>
    <row r="59" customFormat="false" ht="15" hidden="false" customHeight="false" outlineLevel="0" collapsed="false">
      <c r="A59" s="43" t="n">
        <v>57</v>
      </c>
      <c r="B59" s="43" t="s">
        <v>670</v>
      </c>
      <c r="C59" s="43" t="s">
        <v>671</v>
      </c>
      <c r="D59" s="43" t="s">
        <v>672</v>
      </c>
      <c r="E59" s="43" t="s">
        <v>132</v>
      </c>
      <c r="F59" s="43" t="s">
        <v>48</v>
      </c>
      <c r="G59" s="43" t="n">
        <v>2023</v>
      </c>
      <c r="H59" s="44" t="n">
        <v>0</v>
      </c>
      <c r="I59" s="43" t="n">
        <v>2023</v>
      </c>
      <c r="J59" s="43" t="n">
        <v>9</v>
      </c>
      <c r="K59" s="44" t="n">
        <v>30338</v>
      </c>
      <c r="L59" s="43" t="n">
        <v>2023</v>
      </c>
      <c r="M59" s="43" t="n">
        <v>10</v>
      </c>
      <c r="N59" s="44" t="n">
        <v>30338</v>
      </c>
      <c r="O59" s="43" t="n">
        <v>2023</v>
      </c>
      <c r="P59" s="43" t="n">
        <v>10</v>
      </c>
      <c r="Q59" s="44" t="n">
        <v>30338</v>
      </c>
      <c r="R59" s="43" t="s">
        <v>651</v>
      </c>
      <c r="S59" s="43" t="s">
        <v>85</v>
      </c>
      <c r="T59" s="43" t="s">
        <v>633</v>
      </c>
      <c r="U59" s="43" t="s">
        <v>669</v>
      </c>
      <c r="V59" s="43" t="n">
        <v>11</v>
      </c>
      <c r="W59" s="43" t="n">
        <v>14</v>
      </c>
      <c r="X59" s="43" t="n">
        <v>25</v>
      </c>
      <c r="Y59" s="43" t="s">
        <v>635</v>
      </c>
      <c r="Z59" s="43" t="s">
        <v>636</v>
      </c>
    </row>
    <row r="60" customFormat="false" ht="15" hidden="false" customHeight="false" outlineLevel="0" collapsed="false">
      <c r="A60" s="43" t="n">
        <v>58</v>
      </c>
      <c r="B60" s="43" t="s">
        <v>670</v>
      </c>
      <c r="C60" s="43" t="s">
        <v>671</v>
      </c>
      <c r="D60" s="43" t="s">
        <v>672</v>
      </c>
      <c r="E60" s="43" t="s">
        <v>132</v>
      </c>
      <c r="F60" s="43" t="s">
        <v>48</v>
      </c>
      <c r="G60" s="43" t="n">
        <v>2023</v>
      </c>
      <c r="H60" s="44" t="n">
        <v>40000</v>
      </c>
      <c r="I60" s="43" t="n">
        <v>2023</v>
      </c>
      <c r="J60" s="43" t="n">
        <v>10</v>
      </c>
      <c r="K60" s="44" t="n">
        <v>105098</v>
      </c>
      <c r="L60" s="43" t="n">
        <v>2023</v>
      </c>
      <c r="M60" s="43" t="n">
        <v>10</v>
      </c>
      <c r="N60" s="44" t="n">
        <v>105098</v>
      </c>
      <c r="O60" s="43" t="n">
        <v>2023</v>
      </c>
      <c r="P60" s="43" t="n">
        <v>11</v>
      </c>
      <c r="Q60" s="44" t="n">
        <v>105098</v>
      </c>
      <c r="R60" s="43" t="s">
        <v>651</v>
      </c>
      <c r="S60" s="43" t="s">
        <v>85</v>
      </c>
      <c r="T60" s="43" t="s">
        <v>633</v>
      </c>
      <c r="U60" s="43" t="s">
        <v>669</v>
      </c>
      <c r="V60" s="43" t="n">
        <v>2</v>
      </c>
      <c r="W60" s="43" t="n">
        <v>9</v>
      </c>
      <c r="X60" s="43" t="n">
        <v>11</v>
      </c>
      <c r="Y60" s="43" t="s">
        <v>635</v>
      </c>
      <c r="Z60" s="43" t="s">
        <v>636</v>
      </c>
    </row>
    <row r="61" customFormat="false" ht="15" hidden="false" customHeight="false" outlineLevel="0" collapsed="false">
      <c r="A61" s="43" t="n">
        <v>59</v>
      </c>
      <c r="B61" s="43" t="s">
        <v>670</v>
      </c>
      <c r="C61" s="43" t="s">
        <v>671</v>
      </c>
      <c r="D61" s="43" t="s">
        <v>672</v>
      </c>
      <c r="E61" s="43" t="s">
        <v>132</v>
      </c>
      <c r="F61" s="43" t="s">
        <v>48</v>
      </c>
      <c r="G61" s="43" t="n">
        <v>2023</v>
      </c>
      <c r="H61" s="44" t="n">
        <v>43769.1</v>
      </c>
      <c r="I61" s="43" t="n">
        <v>2023</v>
      </c>
      <c r="J61" s="43" t="n">
        <v>11</v>
      </c>
      <c r="K61" s="44" t="n">
        <v>60311</v>
      </c>
      <c r="L61" s="43" t="n">
        <v>2023</v>
      </c>
      <c r="M61" s="43" t="n">
        <v>12</v>
      </c>
      <c r="N61" s="44" t="n">
        <v>60311</v>
      </c>
      <c r="O61" s="43" t="n">
        <v>2023</v>
      </c>
      <c r="P61" s="43" t="n">
        <v>12</v>
      </c>
      <c r="Q61" s="44" t="n">
        <v>60311</v>
      </c>
      <c r="R61" s="43" t="s">
        <v>651</v>
      </c>
      <c r="S61" s="43" t="s">
        <v>85</v>
      </c>
      <c r="T61" s="43" t="s">
        <v>633</v>
      </c>
      <c r="U61" s="43" t="s">
        <v>669</v>
      </c>
      <c r="V61" s="43" t="n">
        <v>15</v>
      </c>
      <c r="W61" s="43" t="n">
        <v>10</v>
      </c>
      <c r="X61" s="43" t="n">
        <v>25</v>
      </c>
      <c r="Y61" s="43" t="s">
        <v>635</v>
      </c>
      <c r="Z61" s="43" t="s">
        <v>636</v>
      </c>
    </row>
    <row r="62" customFormat="false" ht="15" hidden="false" customHeight="false" outlineLevel="0" collapsed="false">
      <c r="A62" s="43" t="n">
        <v>60</v>
      </c>
      <c r="B62" s="43" t="s">
        <v>670</v>
      </c>
      <c r="C62" s="43" t="s">
        <v>671</v>
      </c>
      <c r="D62" s="43" t="s">
        <v>672</v>
      </c>
      <c r="E62" s="43" t="s">
        <v>132</v>
      </c>
      <c r="F62" s="43" t="s">
        <v>48</v>
      </c>
      <c r="G62" s="43" t="n">
        <v>2023</v>
      </c>
      <c r="H62" s="44" t="n">
        <v>172360</v>
      </c>
      <c r="I62" s="43" t="n">
        <v>2023</v>
      </c>
      <c r="J62" s="43" t="n">
        <v>12</v>
      </c>
      <c r="K62" s="44" t="n">
        <v>186082</v>
      </c>
      <c r="L62" s="43" t="n">
        <v>2023</v>
      </c>
      <c r="M62" s="43" t="n">
        <v>12</v>
      </c>
      <c r="N62" s="44" t="n">
        <v>186082</v>
      </c>
      <c r="O62" s="43" t="n">
        <v>2024</v>
      </c>
      <c r="P62" s="43" t="n">
        <v>1</v>
      </c>
      <c r="Q62" s="44" t="n">
        <v>186082</v>
      </c>
      <c r="R62" s="43" t="s">
        <v>651</v>
      </c>
      <c r="S62" s="43" t="s">
        <v>85</v>
      </c>
      <c r="T62" s="43" t="s">
        <v>633</v>
      </c>
      <c r="U62" s="43" t="s">
        <v>669</v>
      </c>
      <c r="V62" s="43" t="n">
        <v>8</v>
      </c>
      <c r="W62" s="43" t="n">
        <v>7</v>
      </c>
      <c r="X62" s="43" t="n">
        <v>15</v>
      </c>
      <c r="Y62" s="43" t="s">
        <v>635</v>
      </c>
      <c r="Z62" s="43" t="s">
        <v>636</v>
      </c>
    </row>
    <row r="63" customFormat="false" ht="15" hidden="false" customHeight="false" outlineLevel="0" collapsed="false">
      <c r="A63" s="43" t="n">
        <v>61</v>
      </c>
      <c r="B63" s="43" t="s">
        <v>670</v>
      </c>
      <c r="C63" s="43" t="s">
        <v>671</v>
      </c>
      <c r="D63" s="43" t="s">
        <v>672</v>
      </c>
      <c r="E63" s="43" t="s">
        <v>132</v>
      </c>
      <c r="F63" s="43" t="s">
        <v>48</v>
      </c>
      <c r="G63" s="43" t="n">
        <v>2023</v>
      </c>
      <c r="H63" s="44" t="n">
        <v>0</v>
      </c>
      <c r="I63" s="43" t="n">
        <v>2023</v>
      </c>
      <c r="J63" s="43" t="n">
        <v>12</v>
      </c>
      <c r="K63" s="44" t="n">
        <v>45403</v>
      </c>
      <c r="L63" s="43" t="n">
        <v>2023</v>
      </c>
      <c r="M63" s="43" t="n">
        <v>12</v>
      </c>
      <c r="N63" s="44" t="n">
        <v>45403</v>
      </c>
      <c r="O63" s="43" t="n">
        <v>2024</v>
      </c>
      <c r="P63" s="43" t="n">
        <v>1</v>
      </c>
      <c r="Q63" s="44" t="n">
        <v>45403</v>
      </c>
      <c r="R63" s="43" t="s">
        <v>651</v>
      </c>
      <c r="S63" s="43" t="s">
        <v>85</v>
      </c>
      <c r="T63" s="43" t="s">
        <v>633</v>
      </c>
      <c r="U63" s="43" t="s">
        <v>669</v>
      </c>
      <c r="V63" s="43" t="n">
        <v>1</v>
      </c>
      <c r="W63" s="43" t="n">
        <v>14</v>
      </c>
      <c r="X63" s="43" t="n">
        <v>15</v>
      </c>
      <c r="Y63" s="43" t="s">
        <v>635</v>
      </c>
      <c r="Z63" s="43" t="s">
        <v>636</v>
      </c>
    </row>
    <row r="64" customFormat="false" ht="15" hidden="false" customHeight="false" outlineLevel="0" collapsed="false">
      <c r="A64" s="43" t="n">
        <v>62</v>
      </c>
      <c r="B64" s="43" t="s">
        <v>673</v>
      </c>
      <c r="C64" s="43" t="s">
        <v>256</v>
      </c>
      <c r="D64" s="43" t="s">
        <v>256</v>
      </c>
      <c r="E64" s="43" t="s">
        <v>132</v>
      </c>
      <c r="F64" s="43" t="s">
        <v>48</v>
      </c>
      <c r="G64" s="43" t="n">
        <v>2025</v>
      </c>
      <c r="H64" s="44" t="n">
        <v>0</v>
      </c>
      <c r="I64" s="43" t="n">
        <v>2025</v>
      </c>
      <c r="J64" s="43" t="n">
        <v>12</v>
      </c>
      <c r="K64" s="44" t="n">
        <v>129692</v>
      </c>
      <c r="L64" s="43" t="n">
        <v>2026</v>
      </c>
      <c r="M64" s="43" t="n">
        <v>1</v>
      </c>
      <c r="N64" s="44" t="n">
        <v>129692</v>
      </c>
      <c r="O64" s="43" t="n">
        <v>2026</v>
      </c>
      <c r="P64" s="43" t="n">
        <v>1</v>
      </c>
      <c r="Q64" s="44" t="n">
        <v>129692</v>
      </c>
      <c r="R64" s="43" t="s">
        <v>646</v>
      </c>
      <c r="S64" s="43" t="s">
        <v>83</v>
      </c>
      <c r="T64" s="43" t="s">
        <v>641</v>
      </c>
      <c r="U64" s="43" t="s">
        <v>647</v>
      </c>
      <c r="V64" s="43" t="n">
        <v>13</v>
      </c>
      <c r="W64" s="43" t="n">
        <v>11</v>
      </c>
      <c r="X64" s="43" t="n">
        <v>24</v>
      </c>
      <c r="Y64" s="43" t="s">
        <v>635</v>
      </c>
      <c r="Z64" s="43" t="s">
        <v>636</v>
      </c>
    </row>
    <row r="65" customFormat="false" ht="15" hidden="false" customHeight="false" outlineLevel="0" collapsed="false">
      <c r="A65" s="43" t="n">
        <v>63</v>
      </c>
      <c r="B65" s="43" t="s">
        <v>673</v>
      </c>
      <c r="C65" s="43" t="s">
        <v>256</v>
      </c>
      <c r="D65" s="43" t="s">
        <v>256</v>
      </c>
      <c r="E65" s="43" t="s">
        <v>132</v>
      </c>
      <c r="F65" s="43" t="s">
        <v>48</v>
      </c>
      <c r="G65" s="43" t="n">
        <v>2026</v>
      </c>
      <c r="H65" s="44" t="n">
        <v>0</v>
      </c>
      <c r="I65" s="43" t="n">
        <v>2026</v>
      </c>
      <c r="J65" s="43" t="n">
        <v>2</v>
      </c>
      <c r="K65" s="44" t="n">
        <v>23913</v>
      </c>
      <c r="L65" s="43" t="n">
        <v>2026</v>
      </c>
      <c r="M65" s="43" t="n">
        <v>3</v>
      </c>
      <c r="N65" s="44" t="n">
        <v>23913</v>
      </c>
      <c r="O65" s="43" t="n">
        <v>2026</v>
      </c>
      <c r="P65" s="43" t="n">
        <v>4</v>
      </c>
      <c r="Q65" s="44" t="n">
        <v>23913</v>
      </c>
      <c r="R65" s="43" t="s">
        <v>646</v>
      </c>
      <c r="S65" s="43" t="s">
        <v>83</v>
      </c>
      <c r="T65" s="43" t="s">
        <v>641</v>
      </c>
      <c r="U65" s="43" t="s">
        <v>647</v>
      </c>
      <c r="V65" s="43" t="n">
        <v>55</v>
      </c>
      <c r="W65" s="43" t="n">
        <v>10</v>
      </c>
      <c r="X65" s="43" t="n">
        <v>65</v>
      </c>
      <c r="Y65" s="43" t="s">
        <v>635</v>
      </c>
      <c r="Z65" s="43" t="s">
        <v>636</v>
      </c>
    </row>
    <row r="66" customFormat="false" ht="15" hidden="false" customHeight="false" outlineLevel="0" collapsed="false">
      <c r="A66" s="43" t="n">
        <v>64</v>
      </c>
      <c r="B66" s="43" t="s">
        <v>674</v>
      </c>
      <c r="C66" s="43" t="s">
        <v>675</v>
      </c>
      <c r="D66" s="43" t="s">
        <v>675</v>
      </c>
      <c r="E66" s="43" t="s">
        <v>132</v>
      </c>
      <c r="F66" s="43" t="s">
        <v>48</v>
      </c>
      <c r="G66" s="43" t="n">
        <v>2025</v>
      </c>
      <c r="H66" s="44" t="n">
        <v>0</v>
      </c>
      <c r="I66" s="43" t="n">
        <v>2025</v>
      </c>
      <c r="J66" s="43" t="n">
        <v>2</v>
      </c>
      <c r="K66" s="44" t="n">
        <v>31900</v>
      </c>
      <c r="L66" s="43" t="n">
        <v>2025</v>
      </c>
      <c r="M66" s="43" t="n">
        <v>2</v>
      </c>
      <c r="N66" s="44" t="n">
        <v>31885</v>
      </c>
      <c r="O66" s="43" t="n">
        <v>2025</v>
      </c>
      <c r="P66" s="43" t="n">
        <v>3</v>
      </c>
      <c r="Q66" s="44" t="n">
        <v>33087.0645</v>
      </c>
      <c r="R66" s="43" t="s">
        <v>651</v>
      </c>
      <c r="S66" s="43" t="s">
        <v>85</v>
      </c>
      <c r="T66" s="43" t="s">
        <v>633</v>
      </c>
      <c r="U66" s="43" t="s">
        <v>647</v>
      </c>
      <c r="V66" s="43" t="n">
        <v>4</v>
      </c>
      <c r="W66" s="43" t="n">
        <v>11</v>
      </c>
      <c r="X66" s="43" t="n">
        <v>15</v>
      </c>
      <c r="Y66" s="43" t="s">
        <v>635</v>
      </c>
      <c r="Z66" s="43" t="s">
        <v>636</v>
      </c>
    </row>
    <row r="67" customFormat="false" ht="15" hidden="false" customHeight="false" outlineLevel="0" collapsed="false">
      <c r="A67" s="43" t="n">
        <v>65</v>
      </c>
      <c r="B67" s="43" t="s">
        <v>674</v>
      </c>
      <c r="C67" s="43" t="s">
        <v>675</v>
      </c>
      <c r="D67" s="43" t="s">
        <v>675</v>
      </c>
      <c r="E67" s="43" t="s">
        <v>132</v>
      </c>
      <c r="F67" s="43" t="s">
        <v>48</v>
      </c>
      <c r="G67" s="43" t="n">
        <v>2025</v>
      </c>
      <c r="H67" s="44" t="n">
        <v>0</v>
      </c>
      <c r="I67" s="43" t="n">
        <v>2025</v>
      </c>
      <c r="J67" s="43" t="n">
        <v>3</v>
      </c>
      <c r="K67" s="44" t="n">
        <v>32888</v>
      </c>
      <c r="L67" s="43" t="n">
        <v>2025</v>
      </c>
      <c r="M67" s="43" t="n">
        <v>4</v>
      </c>
      <c r="N67" s="44" t="n">
        <v>32888</v>
      </c>
      <c r="O67" s="43" t="n">
        <v>2025</v>
      </c>
      <c r="P67" s="43" t="n">
        <v>4</v>
      </c>
      <c r="Q67" s="44" t="n">
        <v>32888</v>
      </c>
      <c r="R67" s="43" t="s">
        <v>651</v>
      </c>
      <c r="S67" s="43" t="s">
        <v>85</v>
      </c>
      <c r="T67" s="43" t="s">
        <v>633</v>
      </c>
      <c r="U67" s="43" t="s">
        <v>647</v>
      </c>
      <c r="V67" s="43" t="n">
        <v>27</v>
      </c>
      <c r="W67" s="43" t="n">
        <v>9</v>
      </c>
      <c r="X67" s="43" t="n">
        <v>36</v>
      </c>
      <c r="Y67" s="43" t="s">
        <v>635</v>
      </c>
      <c r="Z67" s="43" t="s">
        <v>636</v>
      </c>
    </row>
    <row r="68" customFormat="false" ht="15" hidden="false" customHeight="false" outlineLevel="0" collapsed="false">
      <c r="A68" s="43" t="n">
        <v>66</v>
      </c>
      <c r="B68" s="43" t="s">
        <v>674</v>
      </c>
      <c r="C68" s="43" t="s">
        <v>675</v>
      </c>
      <c r="D68" s="43" t="s">
        <v>675</v>
      </c>
      <c r="E68" s="43" t="s">
        <v>132</v>
      </c>
      <c r="F68" s="43" t="s">
        <v>48</v>
      </c>
      <c r="G68" s="43" t="n">
        <v>2025</v>
      </c>
      <c r="H68" s="44" t="n">
        <v>0</v>
      </c>
      <c r="I68" s="43" t="n">
        <v>2025</v>
      </c>
      <c r="J68" s="43" t="n">
        <v>3</v>
      </c>
      <c r="K68" s="44" t="n">
        <v>30364.67</v>
      </c>
      <c r="L68" s="43" t="n">
        <v>2025</v>
      </c>
      <c r="M68" s="43" t="n">
        <v>4</v>
      </c>
      <c r="N68" s="44" t="n">
        <v>30365</v>
      </c>
      <c r="O68" s="43" t="n">
        <v>2025</v>
      </c>
      <c r="P68" s="43" t="n">
        <v>4</v>
      </c>
      <c r="Q68" s="44" t="n">
        <v>30365</v>
      </c>
      <c r="R68" s="43" t="s">
        <v>651</v>
      </c>
      <c r="S68" s="43" t="s">
        <v>85</v>
      </c>
      <c r="T68" s="43" t="s">
        <v>633</v>
      </c>
      <c r="U68" s="43" t="s">
        <v>647</v>
      </c>
      <c r="V68" s="43" t="n">
        <v>2</v>
      </c>
      <c r="W68" s="43" t="n">
        <v>9</v>
      </c>
      <c r="X68" s="43" t="n">
        <v>11</v>
      </c>
      <c r="Y68" s="43" t="s">
        <v>635</v>
      </c>
      <c r="Z68" s="43" t="s">
        <v>636</v>
      </c>
    </row>
    <row r="69" customFormat="false" ht="15" hidden="false" customHeight="false" outlineLevel="0" collapsed="false">
      <c r="A69" s="43" t="n">
        <v>67</v>
      </c>
      <c r="B69" s="43" t="s">
        <v>674</v>
      </c>
      <c r="C69" s="43" t="s">
        <v>675</v>
      </c>
      <c r="D69" s="43" t="s">
        <v>675</v>
      </c>
      <c r="E69" s="43" t="s">
        <v>132</v>
      </c>
      <c r="F69" s="43" t="s">
        <v>48</v>
      </c>
      <c r="G69" s="43" t="n">
        <v>2025</v>
      </c>
      <c r="H69" s="44" t="n">
        <v>0</v>
      </c>
      <c r="I69" s="43" t="n">
        <v>2025</v>
      </c>
      <c r="J69" s="43" t="n">
        <v>4</v>
      </c>
      <c r="K69" s="44" t="n">
        <v>39293</v>
      </c>
      <c r="L69" s="43" t="n">
        <v>2025</v>
      </c>
      <c r="M69" s="43" t="n">
        <v>7</v>
      </c>
      <c r="N69" s="44" t="n">
        <v>39293</v>
      </c>
      <c r="O69" s="43" t="n">
        <v>2025</v>
      </c>
      <c r="P69" s="43" t="n">
        <v>7</v>
      </c>
      <c r="Q69" s="44" t="n">
        <v>39293</v>
      </c>
      <c r="R69" s="43" t="s">
        <v>651</v>
      </c>
      <c r="S69" s="43" t="s">
        <v>85</v>
      </c>
      <c r="T69" s="43" t="s">
        <v>633</v>
      </c>
      <c r="U69" s="43" t="s">
        <v>647</v>
      </c>
      <c r="V69" s="43" t="n">
        <v>66</v>
      </c>
      <c r="W69" s="43" t="n">
        <v>14</v>
      </c>
      <c r="X69" s="43" t="n">
        <v>80</v>
      </c>
      <c r="Y69" s="43" t="s">
        <v>635</v>
      </c>
      <c r="Z69" s="43" t="s">
        <v>636</v>
      </c>
    </row>
    <row r="70" customFormat="false" ht="15" hidden="false" customHeight="false" outlineLevel="0" collapsed="false">
      <c r="A70" s="43" t="n">
        <v>68</v>
      </c>
      <c r="B70" s="43" t="s">
        <v>676</v>
      </c>
      <c r="C70" s="43" t="s">
        <v>677</v>
      </c>
      <c r="D70" s="43" t="s">
        <v>677</v>
      </c>
      <c r="E70" s="43" t="s">
        <v>138</v>
      </c>
      <c r="F70" s="43" t="s">
        <v>48</v>
      </c>
      <c r="G70" s="43" t="n">
        <v>2025</v>
      </c>
      <c r="H70" s="44" t="n">
        <v>0</v>
      </c>
      <c r="I70" s="43" t="n">
        <v>2025</v>
      </c>
      <c r="J70" s="43" t="n">
        <v>9</v>
      </c>
      <c r="K70" s="44" t="n">
        <v>26973</v>
      </c>
      <c r="L70" s="43" t="n">
        <v>2025</v>
      </c>
      <c r="M70" s="43" t="n">
        <v>12</v>
      </c>
      <c r="N70" s="44" t="n">
        <v>26973</v>
      </c>
      <c r="O70" s="43" t="n">
        <v>2025</v>
      </c>
      <c r="P70" s="43" t="n">
        <v>12</v>
      </c>
      <c r="Q70" s="44" t="n">
        <v>26973</v>
      </c>
      <c r="R70" s="43" t="s">
        <v>651</v>
      </c>
      <c r="S70" s="43" t="s">
        <v>85</v>
      </c>
      <c r="T70" s="43" t="s">
        <v>633</v>
      </c>
      <c r="U70" s="43" t="s">
        <v>647</v>
      </c>
      <c r="V70" s="43" t="n">
        <v>69</v>
      </c>
      <c r="W70" s="43" t="n">
        <v>26</v>
      </c>
      <c r="X70" s="43" t="n">
        <v>95</v>
      </c>
      <c r="Y70" s="43" t="s">
        <v>635</v>
      </c>
      <c r="Z70" s="43" t="s">
        <v>636</v>
      </c>
    </row>
    <row r="71" customFormat="false" ht="15" hidden="false" customHeight="false" outlineLevel="0" collapsed="false">
      <c r="A71" s="43" t="n">
        <v>69</v>
      </c>
      <c r="B71" s="43" t="s">
        <v>676</v>
      </c>
      <c r="C71" s="43" t="s">
        <v>677</v>
      </c>
      <c r="D71" s="43" t="s">
        <v>677</v>
      </c>
      <c r="E71" s="43" t="s">
        <v>138</v>
      </c>
      <c r="F71" s="43" t="s">
        <v>48</v>
      </c>
      <c r="G71" s="43" t="n">
        <v>2025</v>
      </c>
      <c r="H71" s="44" t="n">
        <v>0</v>
      </c>
      <c r="I71" s="43" t="n">
        <v>2025</v>
      </c>
      <c r="J71" s="43" t="n">
        <v>10</v>
      </c>
      <c r="K71" s="44" t="n">
        <v>51957</v>
      </c>
      <c r="L71" s="43" t="n">
        <v>2025</v>
      </c>
      <c r="M71" s="43" t="n">
        <v>12</v>
      </c>
      <c r="N71" s="44" t="n">
        <v>51957</v>
      </c>
      <c r="O71" s="43" t="n">
        <v>2025</v>
      </c>
      <c r="P71" s="43" t="n">
        <v>12</v>
      </c>
      <c r="Q71" s="44" t="n">
        <v>51957</v>
      </c>
      <c r="R71" s="43" t="s">
        <v>651</v>
      </c>
      <c r="S71" s="43" t="s">
        <v>85</v>
      </c>
      <c r="T71" s="43" t="s">
        <v>633</v>
      </c>
      <c r="U71" s="43" t="s">
        <v>647</v>
      </c>
      <c r="V71" s="43" t="n">
        <v>40</v>
      </c>
      <c r="W71" s="43" t="n">
        <v>26</v>
      </c>
      <c r="X71" s="43" t="n">
        <v>66</v>
      </c>
      <c r="Y71" s="43" t="s">
        <v>635</v>
      </c>
      <c r="Z71" s="43" t="s">
        <v>636</v>
      </c>
    </row>
    <row r="72" customFormat="false" ht="15" hidden="false" customHeight="false" outlineLevel="0" collapsed="false">
      <c r="A72" s="43" t="n">
        <v>70</v>
      </c>
      <c r="B72" s="43" t="s">
        <v>676</v>
      </c>
      <c r="C72" s="43" t="s">
        <v>677</v>
      </c>
      <c r="D72" s="43" t="s">
        <v>677</v>
      </c>
      <c r="E72" s="43" t="s">
        <v>138</v>
      </c>
      <c r="F72" s="43" t="s">
        <v>48</v>
      </c>
      <c r="G72" s="43" t="n">
        <v>2025</v>
      </c>
      <c r="H72" s="44" t="n">
        <v>0</v>
      </c>
      <c r="I72" s="43" t="n">
        <v>2025</v>
      </c>
      <c r="J72" s="43" t="n">
        <v>11</v>
      </c>
      <c r="K72" s="44" t="n">
        <v>5940</v>
      </c>
      <c r="L72" s="43" t="n">
        <v>2025</v>
      </c>
      <c r="M72" s="43" t="n">
        <v>12</v>
      </c>
      <c r="N72" s="44" t="n">
        <v>5940</v>
      </c>
      <c r="O72" s="43" t="n">
        <v>2026</v>
      </c>
      <c r="P72" s="43" t="n">
        <v>1</v>
      </c>
      <c r="Q72" s="44" t="n">
        <v>5940</v>
      </c>
      <c r="R72" s="43" t="s">
        <v>651</v>
      </c>
      <c r="S72" s="43" t="s">
        <v>85</v>
      </c>
      <c r="T72" s="43" t="s">
        <v>633</v>
      </c>
      <c r="U72" s="43" t="s">
        <v>647</v>
      </c>
      <c r="V72" s="43" t="n">
        <v>17</v>
      </c>
      <c r="W72" s="43" t="n">
        <v>35</v>
      </c>
      <c r="X72" s="43" t="n">
        <v>52</v>
      </c>
      <c r="Y72" s="43" t="s">
        <v>635</v>
      </c>
      <c r="Z72" s="43" t="s">
        <v>636</v>
      </c>
    </row>
    <row r="73" customFormat="false" ht="15" hidden="false" customHeight="false" outlineLevel="0" collapsed="false">
      <c r="A73" s="43" t="n">
        <v>71</v>
      </c>
      <c r="B73" s="43" t="s">
        <v>678</v>
      </c>
      <c r="C73" s="43" t="s">
        <v>679</v>
      </c>
      <c r="D73" s="43" t="s">
        <v>679</v>
      </c>
      <c r="E73" s="43" t="s">
        <v>138</v>
      </c>
      <c r="F73" s="43" t="s">
        <v>48</v>
      </c>
      <c r="G73" s="43" t="n">
        <v>2025</v>
      </c>
      <c r="H73" s="44" t="n">
        <v>0</v>
      </c>
      <c r="I73" s="43" t="n">
        <v>2025</v>
      </c>
      <c r="J73" s="43" t="n">
        <v>4</v>
      </c>
      <c r="K73" s="44" t="n">
        <v>62417</v>
      </c>
      <c r="L73" s="43" t="n">
        <v>2025</v>
      </c>
      <c r="M73" s="43" t="n">
        <v>7</v>
      </c>
      <c r="N73" s="44" t="n">
        <v>62417</v>
      </c>
      <c r="O73" s="43" t="n">
        <v>2025</v>
      </c>
      <c r="P73" s="43" t="n">
        <v>8</v>
      </c>
      <c r="Q73" s="44" t="n">
        <v>62417</v>
      </c>
      <c r="R73" s="43" t="s">
        <v>651</v>
      </c>
      <c r="S73" s="43" t="s">
        <v>85</v>
      </c>
      <c r="T73" s="43" t="s">
        <v>633</v>
      </c>
      <c r="U73" s="43" t="s">
        <v>647</v>
      </c>
      <c r="V73" s="43" t="n">
        <v>71</v>
      </c>
      <c r="W73" s="43" t="n">
        <v>29</v>
      </c>
      <c r="X73" s="43" t="n">
        <v>100</v>
      </c>
      <c r="Y73" s="43" t="s">
        <v>635</v>
      </c>
      <c r="Z73" s="43" t="s">
        <v>636</v>
      </c>
    </row>
    <row r="74" customFormat="false" ht="15" hidden="false" customHeight="false" outlineLevel="0" collapsed="false">
      <c r="A74" s="43" t="n">
        <v>72</v>
      </c>
      <c r="B74" s="43" t="s">
        <v>680</v>
      </c>
      <c r="C74" s="43" t="s">
        <v>681</v>
      </c>
      <c r="D74" s="43" t="s">
        <v>681</v>
      </c>
      <c r="E74" s="43" t="s">
        <v>138</v>
      </c>
      <c r="F74" s="43" t="s">
        <v>48</v>
      </c>
      <c r="G74" s="43" t="n">
        <v>2025</v>
      </c>
      <c r="H74" s="44" t="n">
        <v>0</v>
      </c>
      <c r="I74" s="43" t="n">
        <v>2025</v>
      </c>
      <c r="J74" s="43" t="n">
        <v>2</v>
      </c>
      <c r="K74" s="44" t="n">
        <v>5211</v>
      </c>
      <c r="L74" s="43" t="n">
        <v>2025</v>
      </c>
      <c r="M74" s="43" t="n">
        <v>2</v>
      </c>
      <c r="N74" s="44" t="n">
        <v>5211</v>
      </c>
      <c r="O74" s="43" t="n">
        <v>2025</v>
      </c>
      <c r="P74" s="43" t="n">
        <v>3</v>
      </c>
      <c r="Q74" s="44" t="n">
        <v>0</v>
      </c>
      <c r="R74" s="43" t="s">
        <v>640</v>
      </c>
      <c r="S74" s="43" t="s">
        <v>84</v>
      </c>
      <c r="T74" s="43" t="s">
        <v>641</v>
      </c>
      <c r="U74" s="43" t="s">
        <v>682</v>
      </c>
      <c r="V74" s="43" t="n">
        <v>8</v>
      </c>
      <c r="W74" s="43" t="n">
        <v>27</v>
      </c>
      <c r="X74" s="43" t="n">
        <v>35</v>
      </c>
      <c r="Y74" s="43" t="s">
        <v>635</v>
      </c>
      <c r="Z74" s="43" t="s">
        <v>636</v>
      </c>
    </row>
    <row r="75" customFormat="false" ht="15" hidden="false" customHeight="false" outlineLevel="0" collapsed="false">
      <c r="A75" s="43" t="n">
        <v>73</v>
      </c>
      <c r="B75" s="43" t="s">
        <v>680</v>
      </c>
      <c r="C75" s="43" t="s">
        <v>681</v>
      </c>
      <c r="D75" s="43" t="s">
        <v>681</v>
      </c>
      <c r="E75" s="43" t="s">
        <v>138</v>
      </c>
      <c r="F75" s="43" t="s">
        <v>48</v>
      </c>
      <c r="G75" s="43" t="n">
        <v>2025</v>
      </c>
      <c r="H75" s="44" t="n">
        <v>0</v>
      </c>
      <c r="I75" s="43" t="n">
        <v>2025</v>
      </c>
      <c r="J75" s="43" t="n">
        <v>3</v>
      </c>
      <c r="K75" s="44" t="n">
        <v>10435</v>
      </c>
      <c r="L75" s="43" t="n">
        <v>2025</v>
      </c>
      <c r="M75" s="43" t="n">
        <v>3</v>
      </c>
      <c r="N75" s="44" t="n">
        <v>10435</v>
      </c>
      <c r="O75" s="43" t="n">
        <v>2025</v>
      </c>
      <c r="P75" s="43" t="n">
        <v>4</v>
      </c>
      <c r="Q75" s="44" t="n">
        <v>0</v>
      </c>
      <c r="R75" s="43" t="s">
        <v>640</v>
      </c>
      <c r="S75" s="43" t="s">
        <v>84</v>
      </c>
      <c r="T75" s="43" t="s">
        <v>641</v>
      </c>
      <c r="U75" s="43" t="s">
        <v>682</v>
      </c>
      <c r="V75" s="43" t="n">
        <v>8</v>
      </c>
      <c r="W75" s="43" t="n">
        <v>27</v>
      </c>
      <c r="X75" s="43" t="n">
        <v>35</v>
      </c>
      <c r="Y75" s="43" t="s">
        <v>635</v>
      </c>
      <c r="Z75" s="43" t="s">
        <v>636</v>
      </c>
    </row>
    <row r="76" customFormat="false" ht="15" hidden="false" customHeight="false" outlineLevel="0" collapsed="false">
      <c r="A76" s="43" t="n">
        <v>74</v>
      </c>
      <c r="B76" s="43" t="s">
        <v>680</v>
      </c>
      <c r="C76" s="43" t="s">
        <v>681</v>
      </c>
      <c r="D76" s="43" t="s">
        <v>681</v>
      </c>
      <c r="E76" s="43" t="s">
        <v>138</v>
      </c>
      <c r="F76" s="43" t="s">
        <v>48</v>
      </c>
      <c r="G76" s="43" t="n">
        <v>2025</v>
      </c>
      <c r="H76" s="44" t="n">
        <v>0</v>
      </c>
      <c r="I76" s="43" t="n">
        <v>2025</v>
      </c>
      <c r="J76" s="43" t="n">
        <v>4</v>
      </c>
      <c r="K76" s="44" t="n">
        <v>38772.33</v>
      </c>
      <c r="L76" s="43" t="n">
        <v>2025</v>
      </c>
      <c r="M76" s="43" t="n">
        <v>4</v>
      </c>
      <c r="N76" s="44" t="n">
        <v>38772</v>
      </c>
      <c r="O76" s="43" t="n">
        <v>2025</v>
      </c>
      <c r="P76" s="43" t="n">
        <v>5</v>
      </c>
      <c r="Q76" s="44" t="n">
        <v>0</v>
      </c>
      <c r="R76" s="43" t="s">
        <v>640</v>
      </c>
      <c r="S76" s="43" t="s">
        <v>84</v>
      </c>
      <c r="T76" s="43" t="s">
        <v>641</v>
      </c>
      <c r="U76" s="43" t="s">
        <v>682</v>
      </c>
      <c r="V76" s="43" t="n">
        <v>1</v>
      </c>
      <c r="W76" s="43" t="n">
        <v>24</v>
      </c>
      <c r="X76" s="43" t="n">
        <v>25</v>
      </c>
      <c r="Y76" s="43" t="s">
        <v>635</v>
      </c>
      <c r="Z76" s="43" t="s">
        <v>636</v>
      </c>
    </row>
    <row r="77" customFormat="false" ht="15" hidden="false" customHeight="false" outlineLevel="0" collapsed="false">
      <c r="A77" s="43" t="n">
        <v>75</v>
      </c>
      <c r="B77" s="43" t="s">
        <v>680</v>
      </c>
      <c r="C77" s="43" t="s">
        <v>681</v>
      </c>
      <c r="D77" s="43" t="s">
        <v>681</v>
      </c>
      <c r="E77" s="43" t="s">
        <v>138</v>
      </c>
      <c r="F77" s="43" t="s">
        <v>48</v>
      </c>
      <c r="G77" s="43" t="n">
        <v>2025</v>
      </c>
      <c r="H77" s="44" t="n">
        <v>0</v>
      </c>
      <c r="I77" s="43" t="n">
        <v>2025</v>
      </c>
      <c r="J77" s="43" t="n">
        <v>5</v>
      </c>
      <c r="K77" s="44" t="n">
        <v>66963</v>
      </c>
      <c r="L77" s="43" t="n">
        <v>2025</v>
      </c>
      <c r="M77" s="43" t="n">
        <v>5</v>
      </c>
      <c r="N77" s="44" t="n">
        <v>66963</v>
      </c>
      <c r="O77" s="43" t="n">
        <v>2025</v>
      </c>
      <c r="P77" s="43" t="n">
        <v>7</v>
      </c>
      <c r="Q77" s="44" t="n">
        <v>0</v>
      </c>
      <c r="R77" s="43" t="s">
        <v>640</v>
      </c>
      <c r="S77" s="43" t="s">
        <v>84</v>
      </c>
      <c r="T77" s="43" t="s">
        <v>641</v>
      </c>
      <c r="U77" s="43" t="s">
        <v>682</v>
      </c>
      <c r="V77" s="43" t="n">
        <v>7</v>
      </c>
      <c r="W77" s="43" t="n">
        <v>35</v>
      </c>
      <c r="X77" s="43" t="n">
        <v>42</v>
      </c>
      <c r="Y77" s="43" t="s">
        <v>635</v>
      </c>
      <c r="Z77" s="43" t="s">
        <v>636</v>
      </c>
    </row>
    <row r="78" customFormat="false" ht="15" hidden="false" customHeight="false" outlineLevel="0" collapsed="false">
      <c r="A78" s="43" t="n">
        <v>76</v>
      </c>
      <c r="B78" s="43" t="s">
        <v>680</v>
      </c>
      <c r="C78" s="43" t="s">
        <v>681</v>
      </c>
      <c r="D78" s="43" t="s">
        <v>681</v>
      </c>
      <c r="E78" s="43" t="s">
        <v>138</v>
      </c>
      <c r="F78" s="43" t="s">
        <v>48</v>
      </c>
      <c r="G78" s="43" t="n">
        <v>2025</v>
      </c>
      <c r="H78" s="44" t="n">
        <v>0</v>
      </c>
      <c r="I78" s="43" t="n">
        <v>2025</v>
      </c>
      <c r="J78" s="43" t="n">
        <v>6</v>
      </c>
      <c r="K78" s="44" t="n">
        <v>17604</v>
      </c>
      <c r="L78" s="43" t="n">
        <v>2025</v>
      </c>
      <c r="M78" s="43" t="n">
        <v>7</v>
      </c>
      <c r="N78" s="44" t="n">
        <v>17604</v>
      </c>
      <c r="O78" s="43" t="n">
        <v>2025</v>
      </c>
      <c r="P78" s="43" t="n">
        <v>8</v>
      </c>
      <c r="Q78" s="44" t="n">
        <v>0</v>
      </c>
      <c r="R78" s="43" t="s">
        <v>640</v>
      </c>
      <c r="S78" s="43" t="s">
        <v>84</v>
      </c>
      <c r="T78" s="43" t="s">
        <v>641</v>
      </c>
      <c r="U78" s="43" t="s">
        <v>682</v>
      </c>
      <c r="V78" s="43" t="n">
        <v>18</v>
      </c>
      <c r="W78" s="43" t="n">
        <v>30</v>
      </c>
      <c r="X78" s="43" t="n">
        <v>48</v>
      </c>
      <c r="Y78" s="43" t="s">
        <v>635</v>
      </c>
      <c r="Z78" s="43" t="s">
        <v>636</v>
      </c>
    </row>
    <row r="79" customFormat="false" ht="15" hidden="false" customHeight="false" outlineLevel="0" collapsed="false">
      <c r="A79" s="43" t="n">
        <v>77</v>
      </c>
      <c r="B79" s="43" t="s">
        <v>680</v>
      </c>
      <c r="C79" s="43" t="s">
        <v>681</v>
      </c>
      <c r="D79" s="43" t="s">
        <v>681</v>
      </c>
      <c r="E79" s="43" t="s">
        <v>138</v>
      </c>
      <c r="F79" s="43" t="s">
        <v>48</v>
      </c>
      <c r="G79" s="43" t="n">
        <v>2025</v>
      </c>
      <c r="H79" s="44" t="n">
        <v>0</v>
      </c>
      <c r="I79" s="43" t="n">
        <v>2025</v>
      </c>
      <c r="J79" s="43" t="n">
        <v>7</v>
      </c>
      <c r="K79" s="44" t="n">
        <v>18605</v>
      </c>
      <c r="L79" s="43" t="n">
        <v>2025</v>
      </c>
      <c r="M79" s="43" t="n">
        <v>8</v>
      </c>
      <c r="N79" s="44" t="n">
        <v>18605</v>
      </c>
      <c r="O79" s="43" t="n">
        <v>2025</v>
      </c>
      <c r="P79" s="43" t="n">
        <v>8</v>
      </c>
      <c r="Q79" s="44" t="n">
        <v>0</v>
      </c>
      <c r="R79" s="43" t="s">
        <v>640</v>
      </c>
      <c r="S79" s="43" t="s">
        <v>84</v>
      </c>
      <c r="T79" s="43" t="s">
        <v>641</v>
      </c>
      <c r="U79" s="43" t="s">
        <v>682</v>
      </c>
      <c r="V79" s="43" t="n">
        <v>15</v>
      </c>
      <c r="W79" s="43" t="n">
        <v>24</v>
      </c>
      <c r="X79" s="43" t="n">
        <v>39</v>
      </c>
      <c r="Y79" s="43" t="s">
        <v>635</v>
      </c>
      <c r="Z79" s="43" t="s">
        <v>636</v>
      </c>
    </row>
    <row r="80" customFormat="false" ht="15" hidden="false" customHeight="false" outlineLevel="0" collapsed="false">
      <c r="A80" s="43" t="n">
        <v>78</v>
      </c>
      <c r="B80" s="43" t="s">
        <v>680</v>
      </c>
      <c r="C80" s="43" t="s">
        <v>681</v>
      </c>
      <c r="D80" s="43" t="s">
        <v>681</v>
      </c>
      <c r="E80" s="43" t="s">
        <v>138</v>
      </c>
      <c r="F80" s="43" t="s">
        <v>48</v>
      </c>
      <c r="G80" s="43" t="n">
        <v>2025</v>
      </c>
      <c r="H80" s="44" t="n">
        <v>0</v>
      </c>
      <c r="I80" s="43" t="n">
        <v>2025</v>
      </c>
      <c r="J80" s="43" t="n">
        <v>8</v>
      </c>
      <c r="K80" s="44" t="n">
        <v>3431</v>
      </c>
      <c r="L80" s="43" t="n">
        <v>2025</v>
      </c>
      <c r="M80" s="43" t="n">
        <v>8</v>
      </c>
      <c r="N80" s="44" t="n">
        <v>3431</v>
      </c>
      <c r="O80" s="43" t="n">
        <v>2025</v>
      </c>
      <c r="P80" s="43" t="n">
        <v>9</v>
      </c>
      <c r="Q80" s="44" t="n">
        <v>0</v>
      </c>
      <c r="R80" s="43" t="s">
        <v>640</v>
      </c>
      <c r="S80" s="43" t="s">
        <v>84</v>
      </c>
      <c r="T80" s="43" t="s">
        <v>641</v>
      </c>
      <c r="U80" s="43" t="s">
        <v>682</v>
      </c>
      <c r="V80" s="43" t="n">
        <v>7</v>
      </c>
      <c r="W80" s="43" t="n">
        <v>29</v>
      </c>
      <c r="X80" s="43" t="n">
        <v>36</v>
      </c>
      <c r="Y80" s="43" t="s">
        <v>635</v>
      </c>
      <c r="Z80" s="43" t="s">
        <v>636</v>
      </c>
    </row>
    <row r="81" customFormat="false" ht="15" hidden="false" customHeight="false" outlineLevel="0" collapsed="false">
      <c r="A81" s="43" t="n">
        <v>79</v>
      </c>
      <c r="B81" s="43" t="s">
        <v>680</v>
      </c>
      <c r="C81" s="43" t="s">
        <v>681</v>
      </c>
      <c r="D81" s="43" t="s">
        <v>681</v>
      </c>
      <c r="E81" s="43" t="s">
        <v>138</v>
      </c>
      <c r="F81" s="43" t="s">
        <v>48</v>
      </c>
      <c r="G81" s="43" t="n">
        <v>2025</v>
      </c>
      <c r="H81" s="44" t="n">
        <v>0</v>
      </c>
      <c r="I81" s="43" t="n">
        <v>2025</v>
      </c>
      <c r="J81" s="43" t="n">
        <v>9</v>
      </c>
      <c r="K81" s="44" t="n">
        <v>22409</v>
      </c>
      <c r="L81" s="43"/>
      <c r="M81" s="43"/>
      <c r="N81" s="44" t="n">
        <v>0</v>
      </c>
      <c r="O81" s="43"/>
      <c r="P81" s="43"/>
      <c r="Q81" s="44" t="n">
        <v>0</v>
      </c>
      <c r="R81" s="43" t="s">
        <v>640</v>
      </c>
      <c r="S81" s="43" t="s">
        <v>84</v>
      </c>
      <c r="T81" s="43" t="s">
        <v>641</v>
      </c>
      <c r="U81" s="43" t="s">
        <v>682</v>
      </c>
      <c r="V81" s="43"/>
      <c r="W81" s="43"/>
      <c r="X81" s="43"/>
      <c r="Y81" s="43" t="s">
        <v>635</v>
      </c>
      <c r="Z81" s="43" t="s">
        <v>636</v>
      </c>
    </row>
    <row r="82" customFormat="false" ht="15" hidden="false" customHeight="false" outlineLevel="0" collapsed="false">
      <c r="A82" s="43" t="n">
        <v>80</v>
      </c>
      <c r="B82" s="43" t="s">
        <v>680</v>
      </c>
      <c r="C82" s="43" t="s">
        <v>681</v>
      </c>
      <c r="D82" s="43" t="s">
        <v>681</v>
      </c>
      <c r="E82" s="43" t="s">
        <v>138</v>
      </c>
      <c r="F82" s="43" t="s">
        <v>48</v>
      </c>
      <c r="G82" s="43" t="n">
        <v>2025</v>
      </c>
      <c r="H82" s="44" t="n">
        <v>0</v>
      </c>
      <c r="I82" s="43" t="n">
        <v>2025</v>
      </c>
      <c r="J82" s="43" t="n">
        <v>10</v>
      </c>
      <c r="K82" s="44" t="n">
        <v>9954</v>
      </c>
      <c r="L82" s="43"/>
      <c r="M82" s="43"/>
      <c r="N82" s="44" t="n">
        <v>0</v>
      </c>
      <c r="O82" s="43"/>
      <c r="P82" s="43"/>
      <c r="Q82" s="44" t="n">
        <v>0</v>
      </c>
      <c r="R82" s="43" t="s">
        <v>640</v>
      </c>
      <c r="S82" s="43" t="s">
        <v>84</v>
      </c>
      <c r="T82" s="43" t="s">
        <v>641</v>
      </c>
      <c r="U82" s="43" t="s">
        <v>682</v>
      </c>
      <c r="V82" s="43"/>
      <c r="W82" s="43"/>
      <c r="X82" s="43"/>
      <c r="Y82" s="43" t="s">
        <v>635</v>
      </c>
      <c r="Z82" s="43" t="s">
        <v>636</v>
      </c>
    </row>
    <row r="83" customFormat="false" ht="15" hidden="false" customHeight="false" outlineLevel="0" collapsed="false">
      <c r="A83" s="43" t="n">
        <v>81</v>
      </c>
      <c r="B83" s="43" t="s">
        <v>683</v>
      </c>
      <c r="C83" s="43" t="s">
        <v>258</v>
      </c>
      <c r="D83" s="43" t="s">
        <v>258</v>
      </c>
      <c r="E83" s="43" t="s">
        <v>177</v>
      </c>
      <c r="F83" s="43" t="s">
        <v>76</v>
      </c>
      <c r="G83" s="43" t="n">
        <v>2026</v>
      </c>
      <c r="H83" s="44" t="n">
        <v>27078.7124695699</v>
      </c>
      <c r="I83" s="43" t="n">
        <v>2026</v>
      </c>
      <c r="J83" s="43" t="n">
        <v>3</v>
      </c>
      <c r="K83" s="44" t="n">
        <v>15000</v>
      </c>
      <c r="L83" s="43" t="n">
        <v>2026</v>
      </c>
      <c r="M83" s="43" t="n">
        <v>3</v>
      </c>
      <c r="N83" s="44" t="n">
        <v>15000</v>
      </c>
      <c r="O83" s="43" t="n">
        <v>2026</v>
      </c>
      <c r="P83" s="43" t="n">
        <v>4</v>
      </c>
      <c r="Q83" s="44" t="n">
        <v>15000</v>
      </c>
      <c r="R83" s="43" t="s">
        <v>646</v>
      </c>
      <c r="S83" s="43" t="s">
        <v>83</v>
      </c>
      <c r="T83" s="43" t="s">
        <v>641</v>
      </c>
      <c r="U83" s="43" t="s">
        <v>642</v>
      </c>
      <c r="V83" s="43" t="n">
        <v>0</v>
      </c>
      <c r="W83" s="43" t="n">
        <v>31</v>
      </c>
      <c r="X83" s="43" t="n">
        <v>31</v>
      </c>
      <c r="Y83" s="43" t="s">
        <v>635</v>
      </c>
      <c r="Z83" s="43" t="s">
        <v>636</v>
      </c>
    </row>
    <row r="84" customFormat="false" ht="15" hidden="false" customHeight="false" outlineLevel="0" collapsed="false">
      <c r="A84" s="43" t="n">
        <v>82</v>
      </c>
      <c r="B84" s="43" t="s">
        <v>684</v>
      </c>
      <c r="C84" s="43" t="s">
        <v>685</v>
      </c>
      <c r="D84" s="43" t="s">
        <v>685</v>
      </c>
      <c r="E84" s="43" t="s">
        <v>155</v>
      </c>
      <c r="F84" s="43" t="s">
        <v>62</v>
      </c>
      <c r="G84" s="43" t="n">
        <v>2025</v>
      </c>
      <c r="H84" s="44" t="n">
        <v>0</v>
      </c>
      <c r="I84" s="43" t="n">
        <v>2025</v>
      </c>
      <c r="J84" s="43" t="n">
        <v>1</v>
      </c>
      <c r="K84" s="44" t="n">
        <v>54144</v>
      </c>
      <c r="L84" s="43" t="n">
        <v>2025</v>
      </c>
      <c r="M84" s="43" t="n">
        <v>1</v>
      </c>
      <c r="N84" s="44" t="n">
        <v>52931</v>
      </c>
      <c r="O84" s="43" t="n">
        <v>2025</v>
      </c>
      <c r="P84" s="43" t="n">
        <v>3</v>
      </c>
      <c r="Q84" s="44" t="n">
        <v>52931.26</v>
      </c>
      <c r="R84" s="43" t="s">
        <v>646</v>
      </c>
      <c r="S84" s="43" t="s">
        <v>83</v>
      </c>
      <c r="T84" s="43" t="s">
        <v>641</v>
      </c>
      <c r="U84" s="43" t="s">
        <v>669</v>
      </c>
      <c r="V84" s="43" t="n">
        <v>6</v>
      </c>
      <c r="W84" s="43" t="n">
        <v>37</v>
      </c>
      <c r="X84" s="43" t="n">
        <v>43</v>
      </c>
      <c r="Y84" s="43" t="s">
        <v>635</v>
      </c>
      <c r="Z84" s="43" t="s">
        <v>636</v>
      </c>
    </row>
    <row r="85" customFormat="false" ht="15" hidden="false" customHeight="false" outlineLevel="0" collapsed="false">
      <c r="A85" s="43" t="n">
        <v>83</v>
      </c>
      <c r="B85" s="43" t="s">
        <v>684</v>
      </c>
      <c r="C85" s="43" t="s">
        <v>685</v>
      </c>
      <c r="D85" s="43" t="s">
        <v>685</v>
      </c>
      <c r="E85" s="43" t="s">
        <v>155</v>
      </c>
      <c r="F85" s="43" t="s">
        <v>62</v>
      </c>
      <c r="G85" s="43" t="n">
        <v>2025</v>
      </c>
      <c r="H85" s="44" t="n">
        <v>0</v>
      </c>
      <c r="I85" s="43" t="n">
        <v>2025</v>
      </c>
      <c r="J85" s="43" t="n">
        <v>2</v>
      </c>
      <c r="K85" s="44" t="n">
        <v>58804</v>
      </c>
      <c r="L85" s="43" t="n">
        <v>2025</v>
      </c>
      <c r="M85" s="43" t="n">
        <v>3</v>
      </c>
      <c r="N85" s="44" t="n">
        <v>54268</v>
      </c>
      <c r="O85" s="43" t="n">
        <v>2025</v>
      </c>
      <c r="P85" s="43" t="n">
        <v>4</v>
      </c>
      <c r="Q85" s="44" t="n">
        <v>54268</v>
      </c>
      <c r="R85" s="43" t="s">
        <v>646</v>
      </c>
      <c r="S85" s="43" t="s">
        <v>83</v>
      </c>
      <c r="T85" s="43" t="s">
        <v>641</v>
      </c>
      <c r="U85" s="43" t="s">
        <v>669</v>
      </c>
      <c r="V85" s="43" t="n">
        <v>18</v>
      </c>
      <c r="W85" s="43" t="n">
        <v>42</v>
      </c>
      <c r="X85" s="43" t="n">
        <v>60</v>
      </c>
      <c r="Y85" s="43" t="s">
        <v>635</v>
      </c>
      <c r="Z85" s="43" t="s">
        <v>636</v>
      </c>
    </row>
    <row r="86" customFormat="false" ht="15" hidden="false" customHeight="false" outlineLevel="0" collapsed="false">
      <c r="A86" s="43" t="n">
        <v>84</v>
      </c>
      <c r="B86" s="43" t="s">
        <v>684</v>
      </c>
      <c r="C86" s="43" t="s">
        <v>685</v>
      </c>
      <c r="D86" s="43" t="s">
        <v>685</v>
      </c>
      <c r="E86" s="43" t="s">
        <v>155</v>
      </c>
      <c r="F86" s="43" t="s">
        <v>62</v>
      </c>
      <c r="G86" s="43" t="n">
        <v>2025</v>
      </c>
      <c r="H86" s="44" t="n">
        <v>0</v>
      </c>
      <c r="I86" s="43" t="n">
        <v>2025</v>
      </c>
      <c r="J86" s="43" t="n">
        <v>3</v>
      </c>
      <c r="K86" s="44" t="n">
        <v>20260.62</v>
      </c>
      <c r="L86" s="43" t="n">
        <v>2025</v>
      </c>
      <c r="M86" s="43" t="n">
        <v>3</v>
      </c>
      <c r="N86" s="44" t="n">
        <v>28982</v>
      </c>
      <c r="O86" s="43" t="n">
        <v>2025</v>
      </c>
      <c r="P86" s="43" t="n">
        <v>5</v>
      </c>
      <c r="Q86" s="44" t="n">
        <v>28982</v>
      </c>
      <c r="R86" s="43" t="s">
        <v>646</v>
      </c>
      <c r="S86" s="43" t="s">
        <v>83</v>
      </c>
      <c r="T86" s="43" t="s">
        <v>641</v>
      </c>
      <c r="U86" s="43" t="s">
        <v>669</v>
      </c>
      <c r="V86" s="43" t="n">
        <v>3</v>
      </c>
      <c r="W86" s="43" t="n">
        <v>57</v>
      </c>
      <c r="X86" s="43" t="n">
        <v>60</v>
      </c>
      <c r="Y86" s="43" t="s">
        <v>635</v>
      </c>
      <c r="Z86" s="43" t="s">
        <v>636</v>
      </c>
    </row>
    <row r="87" customFormat="false" ht="15" hidden="false" customHeight="false" outlineLevel="0" collapsed="false">
      <c r="A87" s="43" t="n">
        <v>85</v>
      </c>
      <c r="B87" s="43" t="s">
        <v>684</v>
      </c>
      <c r="C87" s="43" t="s">
        <v>685</v>
      </c>
      <c r="D87" s="43" t="s">
        <v>685</v>
      </c>
      <c r="E87" s="43" t="s">
        <v>155</v>
      </c>
      <c r="F87" s="43" t="s">
        <v>62</v>
      </c>
      <c r="G87" s="43" t="n">
        <v>2025</v>
      </c>
      <c r="H87" s="44" t="n">
        <v>0</v>
      </c>
      <c r="I87" s="43" t="n">
        <v>2025</v>
      </c>
      <c r="J87" s="43" t="n">
        <v>4</v>
      </c>
      <c r="K87" s="44" t="n">
        <v>46562</v>
      </c>
      <c r="L87" s="43" t="n">
        <v>2025</v>
      </c>
      <c r="M87" s="43" t="n">
        <v>5</v>
      </c>
      <c r="N87" s="44" t="n">
        <v>41295</v>
      </c>
      <c r="O87" s="43" t="n">
        <v>2025</v>
      </c>
      <c r="P87" s="43" t="n">
        <v>6</v>
      </c>
      <c r="Q87" s="44" t="n">
        <v>41295</v>
      </c>
      <c r="R87" s="43" t="s">
        <v>646</v>
      </c>
      <c r="S87" s="43" t="s">
        <v>83</v>
      </c>
      <c r="T87" s="43" t="s">
        <v>641</v>
      </c>
      <c r="U87" s="43" t="s">
        <v>669</v>
      </c>
      <c r="V87" s="43" t="n">
        <v>18</v>
      </c>
      <c r="W87" s="43" t="n">
        <v>42</v>
      </c>
      <c r="X87" s="43" t="n">
        <v>60</v>
      </c>
      <c r="Y87" s="43" t="s">
        <v>635</v>
      </c>
      <c r="Z87" s="43" t="s">
        <v>636</v>
      </c>
    </row>
    <row r="88" customFormat="false" ht="15" hidden="false" customHeight="false" outlineLevel="0" collapsed="false">
      <c r="A88" s="43" t="n">
        <v>86</v>
      </c>
      <c r="B88" s="43" t="s">
        <v>684</v>
      </c>
      <c r="C88" s="43" t="s">
        <v>685</v>
      </c>
      <c r="D88" s="43" t="s">
        <v>685</v>
      </c>
      <c r="E88" s="43" t="s">
        <v>155</v>
      </c>
      <c r="F88" s="43" t="s">
        <v>62</v>
      </c>
      <c r="G88" s="43" t="n">
        <v>2025</v>
      </c>
      <c r="H88" s="44" t="n">
        <v>0</v>
      </c>
      <c r="I88" s="43" t="n">
        <v>2025</v>
      </c>
      <c r="J88" s="43" t="n">
        <v>5</v>
      </c>
      <c r="K88" s="44" t="n">
        <v>23599</v>
      </c>
      <c r="L88" s="43" t="n">
        <v>2025</v>
      </c>
      <c r="M88" s="43" t="n">
        <v>7</v>
      </c>
      <c r="N88" s="44" t="n">
        <v>21546.13</v>
      </c>
      <c r="O88" s="43" t="n">
        <v>2025</v>
      </c>
      <c r="P88" s="43" t="n">
        <v>7</v>
      </c>
      <c r="Q88" s="44" t="n">
        <v>21546.13</v>
      </c>
      <c r="R88" s="43" t="s">
        <v>646</v>
      </c>
      <c r="S88" s="43" t="s">
        <v>83</v>
      </c>
      <c r="T88" s="43" t="s">
        <v>641</v>
      </c>
      <c r="U88" s="43" t="s">
        <v>669</v>
      </c>
      <c r="V88" s="43" t="n">
        <v>54</v>
      </c>
      <c r="W88" s="43" t="n">
        <v>11</v>
      </c>
      <c r="X88" s="43" t="n">
        <v>65</v>
      </c>
      <c r="Y88" s="43" t="s">
        <v>635</v>
      </c>
      <c r="Z88" s="43" t="s">
        <v>636</v>
      </c>
    </row>
    <row r="89" customFormat="false" ht="15" hidden="false" customHeight="false" outlineLevel="0" collapsed="false">
      <c r="A89" s="43" t="n">
        <v>87</v>
      </c>
      <c r="B89" s="43" t="s">
        <v>684</v>
      </c>
      <c r="C89" s="43" t="s">
        <v>685</v>
      </c>
      <c r="D89" s="43" t="s">
        <v>685</v>
      </c>
      <c r="E89" s="43" t="s">
        <v>155</v>
      </c>
      <c r="F89" s="43" t="s">
        <v>62</v>
      </c>
      <c r="G89" s="43" t="n">
        <v>2025</v>
      </c>
      <c r="H89" s="44" t="n">
        <v>0</v>
      </c>
      <c r="I89" s="43" t="n">
        <v>2025</v>
      </c>
      <c r="J89" s="43" t="n">
        <v>6</v>
      </c>
      <c r="K89" s="44" t="n">
        <v>30544</v>
      </c>
      <c r="L89" s="43" t="n">
        <v>2025</v>
      </c>
      <c r="M89" s="43" t="n">
        <v>7</v>
      </c>
      <c r="N89" s="44" t="n">
        <v>25680.84</v>
      </c>
      <c r="O89" s="43" t="n">
        <v>2025</v>
      </c>
      <c r="P89" s="43" t="n">
        <v>7</v>
      </c>
      <c r="Q89" s="44" t="n">
        <v>25680.84</v>
      </c>
      <c r="R89" s="43" t="s">
        <v>646</v>
      </c>
      <c r="S89" s="43" t="s">
        <v>83</v>
      </c>
      <c r="T89" s="43" t="s">
        <v>641</v>
      </c>
      <c r="U89" s="43" t="s">
        <v>669</v>
      </c>
      <c r="V89" s="43" t="n">
        <v>23</v>
      </c>
      <c r="W89" s="43" t="n">
        <v>11</v>
      </c>
      <c r="X89" s="43" t="n">
        <v>34</v>
      </c>
      <c r="Y89" s="43" t="s">
        <v>635</v>
      </c>
      <c r="Z89" s="43" t="s">
        <v>636</v>
      </c>
    </row>
    <row r="90" customFormat="false" ht="15" hidden="false" customHeight="false" outlineLevel="0" collapsed="false">
      <c r="A90" s="43" t="n">
        <v>88</v>
      </c>
      <c r="B90" s="43" t="s">
        <v>684</v>
      </c>
      <c r="C90" s="43" t="s">
        <v>685</v>
      </c>
      <c r="D90" s="43" t="s">
        <v>685</v>
      </c>
      <c r="E90" s="43" t="s">
        <v>155</v>
      </c>
      <c r="F90" s="43" t="s">
        <v>62</v>
      </c>
      <c r="G90" s="43" t="n">
        <v>2025</v>
      </c>
      <c r="H90" s="44" t="n">
        <v>0</v>
      </c>
      <c r="I90" s="43" t="n">
        <v>2025</v>
      </c>
      <c r="J90" s="43" t="n">
        <v>7</v>
      </c>
      <c r="K90" s="44" t="n">
        <v>29078</v>
      </c>
      <c r="L90" s="43" t="n">
        <v>2025</v>
      </c>
      <c r="M90" s="43" t="n">
        <v>8</v>
      </c>
      <c r="N90" s="44" t="n">
        <v>28239</v>
      </c>
      <c r="O90" s="43" t="n">
        <v>2025</v>
      </c>
      <c r="P90" s="43" t="n">
        <v>9</v>
      </c>
      <c r="Q90" s="44" t="n">
        <v>28549</v>
      </c>
      <c r="R90" s="43" t="s">
        <v>646</v>
      </c>
      <c r="S90" s="43" t="s">
        <v>83</v>
      </c>
      <c r="T90" s="43" t="s">
        <v>641</v>
      </c>
      <c r="U90" s="43" t="s">
        <v>669</v>
      </c>
      <c r="V90" s="43" t="n">
        <v>15</v>
      </c>
      <c r="W90" s="43" t="n">
        <v>31</v>
      </c>
      <c r="X90" s="43" t="n">
        <v>46</v>
      </c>
      <c r="Y90" s="43" t="s">
        <v>635</v>
      </c>
      <c r="Z90" s="43" t="s">
        <v>636</v>
      </c>
    </row>
    <row r="91" customFormat="false" ht="15" hidden="false" customHeight="false" outlineLevel="0" collapsed="false">
      <c r="A91" s="43" t="n">
        <v>89</v>
      </c>
      <c r="B91" s="43" t="s">
        <v>684</v>
      </c>
      <c r="C91" s="43" t="s">
        <v>685</v>
      </c>
      <c r="D91" s="43" t="s">
        <v>685</v>
      </c>
      <c r="E91" s="43" t="s">
        <v>155</v>
      </c>
      <c r="F91" s="43" t="s">
        <v>62</v>
      </c>
      <c r="G91" s="43" t="n">
        <v>2025</v>
      </c>
      <c r="H91" s="44" t="n">
        <v>0</v>
      </c>
      <c r="I91" s="43" t="n">
        <v>2025</v>
      </c>
      <c r="J91" s="43" t="n">
        <v>8</v>
      </c>
      <c r="K91" s="44" t="n">
        <v>19194</v>
      </c>
      <c r="L91" s="43" t="n">
        <v>2025</v>
      </c>
      <c r="M91" s="43" t="n">
        <v>9</v>
      </c>
      <c r="N91" s="44" t="n">
        <v>20203</v>
      </c>
      <c r="O91" s="43" t="n">
        <v>2025</v>
      </c>
      <c r="P91" s="43" t="n">
        <v>10</v>
      </c>
      <c r="Q91" s="44" t="n">
        <v>19014.2592592593</v>
      </c>
      <c r="R91" s="43" t="s">
        <v>646</v>
      </c>
      <c r="S91" s="43" t="s">
        <v>83</v>
      </c>
      <c r="T91" s="43" t="s">
        <v>641</v>
      </c>
      <c r="U91" s="43" t="s">
        <v>669</v>
      </c>
      <c r="V91" s="43" t="n">
        <v>16</v>
      </c>
      <c r="W91" s="43" t="n">
        <v>45</v>
      </c>
      <c r="X91" s="43" t="n">
        <v>61</v>
      </c>
      <c r="Y91" s="43" t="s">
        <v>635</v>
      </c>
      <c r="Z91" s="43" t="s">
        <v>636</v>
      </c>
    </row>
    <row r="92" customFormat="false" ht="15" hidden="false" customHeight="false" outlineLevel="0" collapsed="false">
      <c r="A92" s="43" t="n">
        <v>90</v>
      </c>
      <c r="B92" s="43" t="s">
        <v>684</v>
      </c>
      <c r="C92" s="43" t="s">
        <v>685</v>
      </c>
      <c r="D92" s="43" t="s">
        <v>685</v>
      </c>
      <c r="E92" s="43" t="s">
        <v>155</v>
      </c>
      <c r="F92" s="43" t="s">
        <v>62</v>
      </c>
      <c r="G92" s="43" t="n">
        <v>2025</v>
      </c>
      <c r="H92" s="44" t="n">
        <v>0</v>
      </c>
      <c r="I92" s="43" t="n">
        <v>2025</v>
      </c>
      <c r="J92" s="43" t="n">
        <v>9</v>
      </c>
      <c r="K92" s="44" t="n">
        <v>16193</v>
      </c>
      <c r="L92" s="43" t="n">
        <v>2025</v>
      </c>
      <c r="M92" s="43" t="n">
        <v>10</v>
      </c>
      <c r="N92" s="44" t="n">
        <v>17271</v>
      </c>
      <c r="O92" s="43" t="n">
        <v>2025</v>
      </c>
      <c r="P92" s="43" t="n">
        <v>11</v>
      </c>
      <c r="Q92" s="44" t="n">
        <v>16041</v>
      </c>
      <c r="R92" s="43" t="s">
        <v>646</v>
      </c>
      <c r="S92" s="43" t="s">
        <v>83</v>
      </c>
      <c r="T92" s="43" t="s">
        <v>641</v>
      </c>
      <c r="U92" s="43" t="s">
        <v>669</v>
      </c>
      <c r="V92" s="43" t="n">
        <v>21</v>
      </c>
      <c r="W92" s="43" t="n">
        <v>30</v>
      </c>
      <c r="X92" s="43" t="n">
        <v>51</v>
      </c>
      <c r="Y92" s="43" t="s">
        <v>635</v>
      </c>
      <c r="Z92" s="43" t="s">
        <v>636</v>
      </c>
    </row>
    <row r="93" customFormat="false" ht="15" hidden="false" customHeight="false" outlineLevel="0" collapsed="false">
      <c r="A93" s="43" t="n">
        <v>91</v>
      </c>
      <c r="B93" s="43" t="s">
        <v>684</v>
      </c>
      <c r="C93" s="43" t="s">
        <v>685</v>
      </c>
      <c r="D93" s="43" t="s">
        <v>685</v>
      </c>
      <c r="E93" s="43" t="s">
        <v>155</v>
      </c>
      <c r="F93" s="43" t="s">
        <v>62</v>
      </c>
      <c r="G93" s="43" t="n">
        <v>2025</v>
      </c>
      <c r="H93" s="44" t="n">
        <v>0</v>
      </c>
      <c r="I93" s="43" t="n">
        <v>2025</v>
      </c>
      <c r="J93" s="43" t="n">
        <v>10</v>
      </c>
      <c r="K93" s="44" t="n">
        <v>11621</v>
      </c>
      <c r="L93" s="43" t="n">
        <v>2025</v>
      </c>
      <c r="M93" s="43" t="n">
        <v>11</v>
      </c>
      <c r="N93" s="44" t="n">
        <v>9828</v>
      </c>
      <c r="O93" s="43" t="n">
        <v>2025</v>
      </c>
      <c r="P93" s="43" t="n">
        <v>12</v>
      </c>
      <c r="Q93" s="44" t="n">
        <v>9828</v>
      </c>
      <c r="R93" s="43" t="s">
        <v>646</v>
      </c>
      <c r="S93" s="43" t="s">
        <v>83</v>
      </c>
      <c r="T93" s="43" t="s">
        <v>641</v>
      </c>
      <c r="U93" s="43" t="s">
        <v>669</v>
      </c>
      <c r="V93" s="43" t="n">
        <v>29</v>
      </c>
      <c r="W93" s="43" t="n">
        <v>37</v>
      </c>
      <c r="X93" s="43" t="n">
        <v>66</v>
      </c>
      <c r="Y93" s="43" t="s">
        <v>635</v>
      </c>
      <c r="Z93" s="43" t="s">
        <v>636</v>
      </c>
    </row>
    <row r="94" customFormat="false" ht="15" hidden="false" customHeight="false" outlineLevel="0" collapsed="false">
      <c r="A94" s="43" t="n">
        <v>92</v>
      </c>
      <c r="B94" s="43" t="s">
        <v>686</v>
      </c>
      <c r="C94" s="43" t="s">
        <v>250</v>
      </c>
      <c r="D94" s="43" t="s">
        <v>250</v>
      </c>
      <c r="E94" s="43" t="s">
        <v>155</v>
      </c>
      <c r="F94" s="43" t="s">
        <v>62</v>
      </c>
      <c r="G94" s="43" t="n">
        <v>2025</v>
      </c>
      <c r="H94" s="44" t="n">
        <v>0</v>
      </c>
      <c r="I94" s="43" t="n">
        <v>2025</v>
      </c>
      <c r="J94" s="43" t="n">
        <v>11</v>
      </c>
      <c r="K94" s="44" t="n">
        <v>8652</v>
      </c>
      <c r="L94" s="43" t="n">
        <v>2025</v>
      </c>
      <c r="M94" s="43" t="n">
        <v>12</v>
      </c>
      <c r="N94" s="44" t="n">
        <v>8654.67729831144</v>
      </c>
      <c r="O94" s="43" t="n">
        <v>2026</v>
      </c>
      <c r="P94" s="43" t="n">
        <v>1</v>
      </c>
      <c r="Q94" s="44" t="n">
        <v>8310</v>
      </c>
      <c r="R94" s="43" t="s">
        <v>687</v>
      </c>
      <c r="S94" s="43" t="s">
        <v>83</v>
      </c>
      <c r="T94" s="43" t="s">
        <v>641</v>
      </c>
      <c r="U94" s="43" t="s">
        <v>642</v>
      </c>
      <c r="V94" s="43" t="n">
        <v>20</v>
      </c>
      <c r="W94" s="43" t="n">
        <v>31</v>
      </c>
      <c r="X94" s="43" t="n">
        <v>51</v>
      </c>
      <c r="Y94" s="43" t="s">
        <v>635</v>
      </c>
      <c r="Z94" s="43" t="s">
        <v>636</v>
      </c>
    </row>
    <row r="95" customFormat="false" ht="15" hidden="false" customHeight="false" outlineLevel="0" collapsed="false">
      <c r="A95" s="43" t="n">
        <v>93</v>
      </c>
      <c r="B95" s="43" t="s">
        <v>686</v>
      </c>
      <c r="C95" s="43" t="s">
        <v>250</v>
      </c>
      <c r="D95" s="43" t="s">
        <v>250</v>
      </c>
      <c r="E95" s="43" t="s">
        <v>155</v>
      </c>
      <c r="F95" s="43" t="s">
        <v>62</v>
      </c>
      <c r="G95" s="43" t="n">
        <v>2025</v>
      </c>
      <c r="H95" s="44" t="n">
        <v>0</v>
      </c>
      <c r="I95" s="43" t="n">
        <v>2025</v>
      </c>
      <c r="J95" s="43" t="n">
        <v>12</v>
      </c>
      <c r="K95" s="44" t="n">
        <v>23872</v>
      </c>
      <c r="L95" s="43" t="n">
        <v>2025</v>
      </c>
      <c r="M95" s="43" t="n">
        <v>12</v>
      </c>
      <c r="N95" s="44" t="n">
        <v>23872</v>
      </c>
      <c r="O95" s="43" t="n">
        <v>2026</v>
      </c>
      <c r="P95" s="43" t="n">
        <v>2</v>
      </c>
      <c r="Q95" s="44" t="n">
        <v>23622</v>
      </c>
      <c r="R95" s="43" t="s">
        <v>687</v>
      </c>
      <c r="S95" s="43" t="s">
        <v>83</v>
      </c>
      <c r="T95" s="43" t="s">
        <v>641</v>
      </c>
      <c r="U95" s="43" t="s">
        <v>642</v>
      </c>
      <c r="V95" s="43" t="n">
        <v>8</v>
      </c>
      <c r="W95" s="43" t="n">
        <v>44</v>
      </c>
      <c r="X95" s="43" t="n">
        <v>52</v>
      </c>
      <c r="Y95" s="43" t="s">
        <v>635</v>
      </c>
      <c r="Z95" s="43" t="s">
        <v>636</v>
      </c>
    </row>
    <row r="96" customFormat="false" ht="15" hidden="false" customHeight="false" outlineLevel="0" collapsed="false">
      <c r="A96" s="43" t="n">
        <v>94</v>
      </c>
      <c r="B96" s="43" t="s">
        <v>686</v>
      </c>
      <c r="C96" s="43" t="s">
        <v>250</v>
      </c>
      <c r="D96" s="43" t="s">
        <v>250</v>
      </c>
      <c r="E96" s="43" t="s">
        <v>155</v>
      </c>
      <c r="F96" s="43" t="s">
        <v>62</v>
      </c>
      <c r="G96" s="43" t="n">
        <v>2026</v>
      </c>
      <c r="H96" s="44" t="n">
        <v>0</v>
      </c>
      <c r="I96" s="43" t="n">
        <v>2026</v>
      </c>
      <c r="J96" s="43" t="n">
        <v>1</v>
      </c>
      <c r="K96" s="44" t="n">
        <v>15152</v>
      </c>
      <c r="L96" s="43" t="n">
        <v>2026</v>
      </c>
      <c r="M96" s="43" t="n">
        <v>1</v>
      </c>
      <c r="N96" s="44" t="n">
        <v>15376.9673704415</v>
      </c>
      <c r="O96" s="43" t="n">
        <v>2026</v>
      </c>
      <c r="P96" s="43" t="n">
        <v>3</v>
      </c>
      <c r="Q96" s="44" t="n">
        <v>14431.28</v>
      </c>
      <c r="R96" s="43" t="s">
        <v>687</v>
      </c>
      <c r="S96" s="43" t="s">
        <v>83</v>
      </c>
      <c r="T96" s="43" t="s">
        <v>641</v>
      </c>
      <c r="U96" s="43" t="s">
        <v>642</v>
      </c>
      <c r="V96" s="43" t="n">
        <v>8</v>
      </c>
      <c r="W96" s="43" t="n">
        <v>36</v>
      </c>
      <c r="X96" s="43" t="n">
        <v>44</v>
      </c>
      <c r="Y96" s="43" t="s">
        <v>635</v>
      </c>
      <c r="Z96" s="43" t="s">
        <v>636</v>
      </c>
    </row>
    <row r="97" customFormat="false" ht="15" hidden="false" customHeight="false" outlineLevel="0" collapsed="false">
      <c r="A97" s="43" t="n">
        <v>95</v>
      </c>
      <c r="B97" s="43" t="s">
        <v>686</v>
      </c>
      <c r="C97" s="43" t="s">
        <v>250</v>
      </c>
      <c r="D97" s="43" t="s">
        <v>250</v>
      </c>
      <c r="E97" s="43" t="s">
        <v>155</v>
      </c>
      <c r="F97" s="43" t="s">
        <v>62</v>
      </c>
      <c r="G97" s="43" t="n">
        <v>2026</v>
      </c>
      <c r="H97" s="44" t="n">
        <v>75316</v>
      </c>
      <c r="I97" s="43" t="n">
        <v>2026</v>
      </c>
      <c r="J97" s="43" t="n">
        <v>2</v>
      </c>
      <c r="K97" s="44" t="n">
        <v>69222</v>
      </c>
      <c r="L97" s="43" t="n">
        <v>2026</v>
      </c>
      <c r="M97" s="43" t="n">
        <v>2</v>
      </c>
      <c r="N97" s="44" t="n">
        <v>68348</v>
      </c>
      <c r="O97" s="43" t="n">
        <v>2026</v>
      </c>
      <c r="P97" s="43" t="n">
        <v>4</v>
      </c>
      <c r="Q97" s="44" t="n">
        <v>64144.7216890595</v>
      </c>
      <c r="R97" s="43" t="s">
        <v>687</v>
      </c>
      <c r="S97" s="43" t="s">
        <v>83</v>
      </c>
      <c r="T97" s="43" t="s">
        <v>641</v>
      </c>
      <c r="U97" s="43" t="s">
        <v>642</v>
      </c>
      <c r="V97" s="43" t="n">
        <v>7</v>
      </c>
      <c r="W97" s="43" t="n">
        <v>42</v>
      </c>
      <c r="X97" s="43" t="n">
        <v>49</v>
      </c>
      <c r="Y97" s="43" t="s">
        <v>635</v>
      </c>
      <c r="Z97" s="43" t="s">
        <v>636</v>
      </c>
    </row>
    <row r="98" customFormat="false" ht="15" hidden="false" customHeight="false" outlineLevel="0" collapsed="false">
      <c r="A98" s="43" t="n">
        <v>96</v>
      </c>
      <c r="B98" s="43" t="s">
        <v>686</v>
      </c>
      <c r="C98" s="43" t="s">
        <v>250</v>
      </c>
      <c r="D98" s="43" t="s">
        <v>250</v>
      </c>
      <c r="E98" s="43" t="s">
        <v>155</v>
      </c>
      <c r="F98" s="43" t="s">
        <v>62</v>
      </c>
      <c r="G98" s="43" t="n">
        <v>2026</v>
      </c>
      <c r="H98" s="44" t="n">
        <v>60000</v>
      </c>
      <c r="I98" s="43" t="n">
        <v>2026</v>
      </c>
      <c r="J98" s="43" t="n">
        <v>3</v>
      </c>
      <c r="K98" s="44" t="n">
        <v>61931.2</v>
      </c>
      <c r="L98" s="43" t="n">
        <v>2026</v>
      </c>
      <c r="M98" s="43" t="n">
        <v>3</v>
      </c>
      <c r="N98" s="44" t="n">
        <v>61931.2</v>
      </c>
      <c r="O98" s="43" t="n">
        <v>2026</v>
      </c>
      <c r="P98" s="43" t="n">
        <v>5</v>
      </c>
      <c r="Q98" s="44" t="n">
        <v>62020.9349593496</v>
      </c>
      <c r="R98" s="43" t="s">
        <v>687</v>
      </c>
      <c r="S98" s="43" t="s">
        <v>83</v>
      </c>
      <c r="T98" s="43" t="s">
        <v>641</v>
      </c>
      <c r="U98" s="43" t="s">
        <v>642</v>
      </c>
      <c r="V98" s="43" t="n">
        <v>9</v>
      </c>
      <c r="W98" s="43" t="n">
        <v>41</v>
      </c>
      <c r="X98" s="43" t="n">
        <v>50</v>
      </c>
      <c r="Y98" s="43" t="s">
        <v>635</v>
      </c>
      <c r="Z98" s="43" t="s">
        <v>636</v>
      </c>
    </row>
    <row r="99" customFormat="false" ht="15" hidden="false" customHeight="false" outlineLevel="0" collapsed="false">
      <c r="A99" s="43" t="n">
        <v>97</v>
      </c>
      <c r="B99" s="43" t="s">
        <v>686</v>
      </c>
      <c r="C99" s="43" t="s">
        <v>250</v>
      </c>
      <c r="D99" s="43" t="s">
        <v>250</v>
      </c>
      <c r="E99" s="43" t="s">
        <v>155</v>
      </c>
      <c r="F99" s="43" t="s">
        <v>62</v>
      </c>
      <c r="G99" s="43" t="n">
        <v>2026</v>
      </c>
      <c r="H99" s="44" t="n">
        <v>0</v>
      </c>
      <c r="I99" s="43" t="n">
        <v>2026</v>
      </c>
      <c r="J99" s="43" t="n">
        <v>5</v>
      </c>
      <c r="K99" s="44" t="n">
        <v>13253</v>
      </c>
      <c r="L99" s="43" t="n">
        <v>2026</v>
      </c>
      <c r="M99" s="43" t="n">
        <v>5</v>
      </c>
      <c r="N99" s="44" t="n">
        <v>12558</v>
      </c>
      <c r="O99" s="43" t="n">
        <v>2026</v>
      </c>
      <c r="P99" s="43" t="n">
        <v>6</v>
      </c>
      <c r="Q99" s="44" t="n">
        <v>0</v>
      </c>
      <c r="R99" s="43" t="s">
        <v>687</v>
      </c>
      <c r="S99" s="43" t="s">
        <v>83</v>
      </c>
      <c r="T99" s="43" t="s">
        <v>641</v>
      </c>
      <c r="U99" s="43" t="s">
        <v>642</v>
      </c>
      <c r="V99" s="43" t="n">
        <v>3</v>
      </c>
      <c r="W99" s="43" t="n">
        <v>48</v>
      </c>
      <c r="X99" s="43" t="n">
        <v>51</v>
      </c>
      <c r="Y99" s="43" t="s">
        <v>635</v>
      </c>
      <c r="Z99" s="43" t="s">
        <v>636</v>
      </c>
    </row>
    <row r="100" customFormat="false" ht="15" hidden="false" customHeight="false" outlineLevel="0" collapsed="false">
      <c r="A100" s="43" t="n">
        <v>98</v>
      </c>
      <c r="B100" s="43" t="s">
        <v>688</v>
      </c>
      <c r="C100" s="43" t="s">
        <v>689</v>
      </c>
      <c r="D100" s="43" t="s">
        <v>689</v>
      </c>
      <c r="E100" s="43" t="s">
        <v>147</v>
      </c>
      <c r="F100" s="43" t="s">
        <v>61</v>
      </c>
      <c r="G100" s="43" t="n">
        <v>2024</v>
      </c>
      <c r="H100" s="44" t="n">
        <v>13340</v>
      </c>
      <c r="I100" s="43" t="n">
        <v>2024</v>
      </c>
      <c r="J100" s="43" t="n">
        <v>6</v>
      </c>
      <c r="K100" s="44" t="n">
        <v>88166</v>
      </c>
      <c r="L100" s="43" t="n">
        <v>2024</v>
      </c>
      <c r="M100" s="43" t="n">
        <v>6</v>
      </c>
      <c r="N100" s="44" t="n">
        <v>88166</v>
      </c>
      <c r="O100" s="43" t="n">
        <v>2024</v>
      </c>
      <c r="P100" s="43" t="n">
        <v>6</v>
      </c>
      <c r="Q100" s="44" t="n">
        <v>88166</v>
      </c>
      <c r="R100" s="43" t="s">
        <v>651</v>
      </c>
      <c r="S100" s="43" t="s">
        <v>85</v>
      </c>
      <c r="T100" s="43" t="s">
        <v>633</v>
      </c>
      <c r="U100" s="43" t="s">
        <v>647</v>
      </c>
      <c r="V100" s="43" t="n">
        <v>0</v>
      </c>
      <c r="W100" s="43" t="n">
        <v>3</v>
      </c>
      <c r="X100" s="43" t="n">
        <v>3</v>
      </c>
      <c r="Y100" s="43" t="s">
        <v>635</v>
      </c>
      <c r="Z100" s="43" t="s">
        <v>636</v>
      </c>
    </row>
    <row r="101" customFormat="false" ht="15" hidden="false" customHeight="false" outlineLevel="0" collapsed="false">
      <c r="A101" s="43" t="n">
        <v>99</v>
      </c>
      <c r="B101" s="43" t="s">
        <v>690</v>
      </c>
      <c r="C101" s="43" t="s">
        <v>691</v>
      </c>
      <c r="D101" s="43" t="s">
        <v>691</v>
      </c>
      <c r="E101" s="43" t="s">
        <v>692</v>
      </c>
      <c r="F101" s="43" t="s">
        <v>48</v>
      </c>
      <c r="G101" s="43" t="n">
        <v>2026</v>
      </c>
      <c r="H101" s="44" t="n">
        <v>0</v>
      </c>
      <c r="I101" s="43" t="n">
        <v>2026</v>
      </c>
      <c r="J101" s="43" t="n">
        <v>4</v>
      </c>
      <c r="K101" s="44" t="n">
        <v>52750</v>
      </c>
      <c r="L101" s="43"/>
      <c r="M101" s="43"/>
      <c r="N101" s="44" t="n">
        <v>0</v>
      </c>
      <c r="O101" s="43"/>
      <c r="P101" s="43"/>
      <c r="Q101" s="44" t="n">
        <v>0</v>
      </c>
      <c r="R101" s="43" t="s">
        <v>651</v>
      </c>
      <c r="S101" s="43" t="s">
        <v>85</v>
      </c>
      <c r="T101" s="43" t="s">
        <v>633</v>
      </c>
      <c r="U101" s="43" t="s">
        <v>647</v>
      </c>
      <c r="V101" s="43"/>
      <c r="W101" s="43"/>
      <c r="X101" s="43"/>
      <c r="Y101" s="43" t="s">
        <v>635</v>
      </c>
      <c r="Z101" s="43" t="s">
        <v>636</v>
      </c>
    </row>
    <row r="102" customFormat="false" ht="15" hidden="false" customHeight="false" outlineLevel="0" collapsed="false">
      <c r="A102" s="43" t="n">
        <v>100</v>
      </c>
      <c r="B102" s="43" t="s">
        <v>690</v>
      </c>
      <c r="C102" s="43" t="s">
        <v>691</v>
      </c>
      <c r="D102" s="43" t="s">
        <v>691</v>
      </c>
      <c r="E102" s="43" t="s">
        <v>692</v>
      </c>
      <c r="F102" s="43" t="s">
        <v>48</v>
      </c>
      <c r="G102" s="43" t="n">
        <v>2026</v>
      </c>
      <c r="H102" s="44" t="n">
        <v>0</v>
      </c>
      <c r="I102" s="43" t="n">
        <v>2026</v>
      </c>
      <c r="J102" s="43" t="n">
        <v>5</v>
      </c>
      <c r="K102" s="44" t="n">
        <v>25350</v>
      </c>
      <c r="L102" s="43"/>
      <c r="M102" s="43"/>
      <c r="N102" s="44" t="n">
        <v>0</v>
      </c>
      <c r="O102" s="43"/>
      <c r="P102" s="43"/>
      <c r="Q102" s="44" t="n">
        <v>0</v>
      </c>
      <c r="R102" s="43" t="s">
        <v>651</v>
      </c>
      <c r="S102" s="43" t="s">
        <v>85</v>
      </c>
      <c r="T102" s="43" t="s">
        <v>633</v>
      </c>
      <c r="U102" s="43" t="s">
        <v>647</v>
      </c>
      <c r="V102" s="43"/>
      <c r="W102" s="43"/>
      <c r="X102" s="43"/>
      <c r="Y102" s="43" t="s">
        <v>635</v>
      </c>
      <c r="Z102" s="43" t="s">
        <v>636</v>
      </c>
    </row>
    <row r="103" customFormat="false" ht="15" hidden="false" customHeight="false" outlineLevel="0" collapsed="false">
      <c r="A103" s="43" t="n">
        <v>101</v>
      </c>
      <c r="B103" s="43" t="s">
        <v>693</v>
      </c>
      <c r="C103" s="43" t="s">
        <v>694</v>
      </c>
      <c r="D103" s="43" t="s">
        <v>694</v>
      </c>
      <c r="E103" s="43" t="s">
        <v>133</v>
      </c>
      <c r="F103" s="43" t="s">
        <v>48</v>
      </c>
      <c r="G103" s="43" t="n">
        <v>2025</v>
      </c>
      <c r="H103" s="44" t="n">
        <v>0</v>
      </c>
      <c r="I103" s="43" t="n">
        <v>2025</v>
      </c>
      <c r="J103" s="43" t="n">
        <v>2</v>
      </c>
      <c r="K103" s="44" t="n">
        <v>29950</v>
      </c>
      <c r="L103" s="43" t="n">
        <v>2025</v>
      </c>
      <c r="M103" s="43" t="n">
        <v>3</v>
      </c>
      <c r="N103" s="44" t="n">
        <v>29950</v>
      </c>
      <c r="O103" s="43" t="n">
        <v>2025</v>
      </c>
      <c r="P103" s="43" t="n">
        <v>3</v>
      </c>
      <c r="Q103" s="44" t="n">
        <v>31079.115</v>
      </c>
      <c r="R103" s="43" t="s">
        <v>651</v>
      </c>
      <c r="S103" s="43" t="s">
        <v>85</v>
      </c>
      <c r="T103" s="43" t="s">
        <v>633</v>
      </c>
      <c r="U103" s="43" t="s">
        <v>647</v>
      </c>
      <c r="V103" s="43" t="n">
        <v>15</v>
      </c>
      <c r="W103" s="43" t="n">
        <v>7</v>
      </c>
      <c r="X103" s="43" t="n">
        <v>22</v>
      </c>
      <c r="Y103" s="43" t="s">
        <v>635</v>
      </c>
      <c r="Z103" s="43" t="s">
        <v>636</v>
      </c>
    </row>
    <row r="104" customFormat="false" ht="15" hidden="false" customHeight="false" outlineLevel="0" collapsed="false">
      <c r="A104" s="43" t="n">
        <v>102</v>
      </c>
      <c r="B104" s="43" t="s">
        <v>693</v>
      </c>
      <c r="C104" s="43" t="s">
        <v>694</v>
      </c>
      <c r="D104" s="43" t="s">
        <v>694</v>
      </c>
      <c r="E104" s="43" t="s">
        <v>133</v>
      </c>
      <c r="F104" s="43" t="s">
        <v>48</v>
      </c>
      <c r="G104" s="43" t="n">
        <v>2025</v>
      </c>
      <c r="H104" s="44" t="n">
        <v>0</v>
      </c>
      <c r="I104" s="43" t="n">
        <v>2025</v>
      </c>
      <c r="J104" s="43" t="n">
        <v>4</v>
      </c>
      <c r="K104" s="44" t="n">
        <v>11230</v>
      </c>
      <c r="L104" s="43" t="n">
        <v>2025</v>
      </c>
      <c r="M104" s="43" t="n">
        <v>5</v>
      </c>
      <c r="N104" s="44" t="n">
        <v>11230</v>
      </c>
      <c r="O104" s="43" t="n">
        <v>2025</v>
      </c>
      <c r="P104" s="43" t="n">
        <v>6</v>
      </c>
      <c r="Q104" s="44" t="n">
        <v>11230</v>
      </c>
      <c r="R104" s="43" t="s">
        <v>651</v>
      </c>
      <c r="S104" s="43" t="s">
        <v>85</v>
      </c>
      <c r="T104" s="43" t="s">
        <v>633</v>
      </c>
      <c r="U104" s="43" t="s">
        <v>647</v>
      </c>
      <c r="V104" s="43" t="n">
        <v>47</v>
      </c>
      <c r="W104" s="43" t="n">
        <v>31</v>
      </c>
      <c r="X104" s="43" t="n">
        <v>78</v>
      </c>
      <c r="Y104" s="43" t="s">
        <v>635</v>
      </c>
      <c r="Z104" s="43" t="s">
        <v>636</v>
      </c>
    </row>
    <row r="105" customFormat="false" ht="15" hidden="false" customHeight="false" outlineLevel="0" collapsed="false">
      <c r="A105" s="43" t="n">
        <v>103</v>
      </c>
      <c r="B105" s="43" t="s">
        <v>693</v>
      </c>
      <c r="C105" s="43" t="s">
        <v>694</v>
      </c>
      <c r="D105" s="43" t="s">
        <v>694</v>
      </c>
      <c r="E105" s="43" t="s">
        <v>133</v>
      </c>
      <c r="F105" s="43" t="s">
        <v>48</v>
      </c>
      <c r="G105" s="43" t="n">
        <v>2025</v>
      </c>
      <c r="H105" s="44" t="n">
        <v>0</v>
      </c>
      <c r="I105" s="43" t="n">
        <v>2025</v>
      </c>
      <c r="J105" s="43" t="n">
        <v>5</v>
      </c>
      <c r="K105" s="44" t="n">
        <v>6410</v>
      </c>
      <c r="L105" s="43" t="n">
        <v>2025</v>
      </c>
      <c r="M105" s="43" t="n">
        <v>6</v>
      </c>
      <c r="N105" s="44" t="n">
        <v>6410</v>
      </c>
      <c r="O105" s="43" t="n">
        <v>2025</v>
      </c>
      <c r="P105" s="43" t="n">
        <v>6</v>
      </c>
      <c r="Q105" s="44" t="n">
        <v>6410</v>
      </c>
      <c r="R105" s="43" t="s">
        <v>651</v>
      </c>
      <c r="S105" s="43" t="s">
        <v>85</v>
      </c>
      <c r="T105" s="43" t="s">
        <v>633</v>
      </c>
      <c r="U105" s="43" t="s">
        <v>647</v>
      </c>
      <c r="V105" s="43" t="n">
        <v>10</v>
      </c>
      <c r="W105" s="43" t="n">
        <v>7</v>
      </c>
      <c r="X105" s="43" t="n">
        <v>17</v>
      </c>
      <c r="Y105" s="43" t="s">
        <v>635</v>
      </c>
      <c r="Z105" s="43" t="s">
        <v>636</v>
      </c>
    </row>
    <row r="106" customFormat="false" ht="15" hidden="false" customHeight="false" outlineLevel="0" collapsed="false">
      <c r="A106" s="43" t="n">
        <v>104</v>
      </c>
      <c r="B106" s="43" t="s">
        <v>695</v>
      </c>
      <c r="C106" s="43" t="s">
        <v>696</v>
      </c>
      <c r="D106" s="43" t="s">
        <v>696</v>
      </c>
      <c r="E106" s="43" t="s">
        <v>133</v>
      </c>
      <c r="F106" s="43" t="s">
        <v>48</v>
      </c>
      <c r="G106" s="43" t="n">
        <v>2025</v>
      </c>
      <c r="H106" s="44" t="n">
        <v>0</v>
      </c>
      <c r="I106" s="43" t="n">
        <v>2025</v>
      </c>
      <c r="J106" s="43" t="n">
        <v>1</v>
      </c>
      <c r="K106" s="44" t="n">
        <v>81369</v>
      </c>
      <c r="L106" s="43" t="n">
        <v>2025</v>
      </c>
      <c r="M106" s="43" t="n">
        <v>3</v>
      </c>
      <c r="N106" s="44" t="n">
        <v>81369</v>
      </c>
      <c r="O106" s="43" t="n">
        <v>2025</v>
      </c>
      <c r="P106" s="43" t="n">
        <v>3</v>
      </c>
      <c r="Q106" s="44" t="n">
        <v>84436.6113</v>
      </c>
      <c r="R106" s="43" t="s">
        <v>646</v>
      </c>
      <c r="S106" s="43" t="s">
        <v>83</v>
      </c>
      <c r="T106" s="43" t="s">
        <v>641</v>
      </c>
      <c r="U106" s="43" t="s">
        <v>647</v>
      </c>
      <c r="V106" s="43" t="n">
        <v>48</v>
      </c>
      <c r="W106" s="43" t="n">
        <v>7</v>
      </c>
      <c r="X106" s="43" t="n">
        <v>55</v>
      </c>
      <c r="Y106" s="43" t="s">
        <v>635</v>
      </c>
      <c r="Z106" s="43" t="s">
        <v>636</v>
      </c>
    </row>
    <row r="107" customFormat="false" ht="15" hidden="false" customHeight="false" outlineLevel="0" collapsed="false">
      <c r="A107" s="43" t="n">
        <v>105</v>
      </c>
      <c r="B107" s="43" t="s">
        <v>695</v>
      </c>
      <c r="C107" s="43" t="s">
        <v>696</v>
      </c>
      <c r="D107" s="43" t="s">
        <v>696</v>
      </c>
      <c r="E107" s="43" t="s">
        <v>133</v>
      </c>
      <c r="F107" s="43" t="s">
        <v>48</v>
      </c>
      <c r="G107" s="43" t="n">
        <v>2025</v>
      </c>
      <c r="H107" s="44" t="n">
        <v>0</v>
      </c>
      <c r="I107" s="43" t="n">
        <v>2025</v>
      </c>
      <c r="J107" s="43" t="n">
        <v>2</v>
      </c>
      <c r="K107" s="44" t="n">
        <v>127260</v>
      </c>
      <c r="L107" s="43" t="n">
        <v>2025</v>
      </c>
      <c r="M107" s="43" t="n">
        <v>3</v>
      </c>
      <c r="N107" s="44" t="n">
        <v>127249.49</v>
      </c>
      <c r="O107" s="43" t="n">
        <v>2025</v>
      </c>
      <c r="P107" s="43" t="n">
        <v>3</v>
      </c>
      <c r="Q107" s="44" t="n">
        <v>132046.2873</v>
      </c>
      <c r="R107" s="43" t="s">
        <v>646</v>
      </c>
      <c r="S107" s="43" t="s">
        <v>83</v>
      </c>
      <c r="T107" s="43" t="s">
        <v>641</v>
      </c>
      <c r="U107" s="43" t="s">
        <v>647</v>
      </c>
      <c r="V107" s="43" t="n">
        <v>25</v>
      </c>
      <c r="W107" s="43" t="n">
        <v>7</v>
      </c>
      <c r="X107" s="43" t="n">
        <v>32</v>
      </c>
      <c r="Y107" s="43" t="s">
        <v>635</v>
      </c>
      <c r="Z107" s="43" t="s">
        <v>636</v>
      </c>
    </row>
    <row r="108" customFormat="false" ht="15" hidden="false" customHeight="false" outlineLevel="0" collapsed="false">
      <c r="A108" s="43" t="n">
        <v>106</v>
      </c>
      <c r="B108" s="43" t="s">
        <v>695</v>
      </c>
      <c r="C108" s="43" t="s">
        <v>696</v>
      </c>
      <c r="D108" s="43" t="s">
        <v>696</v>
      </c>
      <c r="E108" s="43" t="s">
        <v>133</v>
      </c>
      <c r="F108" s="43" t="s">
        <v>48</v>
      </c>
      <c r="G108" s="43" t="n">
        <v>2025</v>
      </c>
      <c r="H108" s="44" t="n">
        <v>0</v>
      </c>
      <c r="I108" s="43" t="n">
        <v>2025</v>
      </c>
      <c r="J108" s="43" t="n">
        <v>3</v>
      </c>
      <c r="K108" s="44" t="n">
        <v>87736</v>
      </c>
      <c r="L108" s="43" t="n">
        <v>2025</v>
      </c>
      <c r="M108" s="43" t="n">
        <v>4</v>
      </c>
      <c r="N108" s="44" t="n">
        <v>87736</v>
      </c>
      <c r="O108" s="43" t="n">
        <v>2025</v>
      </c>
      <c r="P108" s="43" t="n">
        <v>5</v>
      </c>
      <c r="Q108" s="44" t="n">
        <v>87736</v>
      </c>
      <c r="R108" s="43" t="s">
        <v>646</v>
      </c>
      <c r="S108" s="43" t="s">
        <v>83</v>
      </c>
      <c r="T108" s="43" t="s">
        <v>641</v>
      </c>
      <c r="U108" s="43" t="s">
        <v>647</v>
      </c>
      <c r="V108" s="43" t="n">
        <v>37</v>
      </c>
      <c r="W108" s="43" t="n">
        <v>8</v>
      </c>
      <c r="X108" s="43" t="n">
        <v>45</v>
      </c>
      <c r="Y108" s="43" t="s">
        <v>635</v>
      </c>
      <c r="Z108" s="43" t="s">
        <v>636</v>
      </c>
    </row>
    <row r="109" customFormat="false" ht="15" hidden="false" customHeight="false" outlineLevel="0" collapsed="false">
      <c r="A109" s="43" t="n">
        <v>107</v>
      </c>
      <c r="B109" s="43" t="s">
        <v>695</v>
      </c>
      <c r="C109" s="43" t="s">
        <v>696</v>
      </c>
      <c r="D109" s="43" t="s">
        <v>696</v>
      </c>
      <c r="E109" s="43" t="s">
        <v>133</v>
      </c>
      <c r="F109" s="43" t="s">
        <v>48</v>
      </c>
      <c r="G109" s="43" t="n">
        <v>2025</v>
      </c>
      <c r="H109" s="44" t="n">
        <v>0</v>
      </c>
      <c r="I109" s="43" t="n">
        <v>2025</v>
      </c>
      <c r="J109" s="43" t="n">
        <v>4</v>
      </c>
      <c r="K109" s="44" t="n">
        <v>70761</v>
      </c>
      <c r="L109" s="43" t="n">
        <v>2025</v>
      </c>
      <c r="M109" s="43" t="n">
        <v>5</v>
      </c>
      <c r="N109" s="44" t="n">
        <v>70761</v>
      </c>
      <c r="O109" s="43" t="n">
        <v>2025</v>
      </c>
      <c r="P109" s="43" t="n">
        <v>6</v>
      </c>
      <c r="Q109" s="44" t="n">
        <v>70761</v>
      </c>
      <c r="R109" s="43" t="s">
        <v>646</v>
      </c>
      <c r="S109" s="43" t="s">
        <v>83</v>
      </c>
      <c r="T109" s="43" t="s">
        <v>641</v>
      </c>
      <c r="U109" s="43" t="s">
        <v>647</v>
      </c>
      <c r="V109" s="43" t="n">
        <v>34</v>
      </c>
      <c r="W109" s="43" t="n">
        <v>7</v>
      </c>
      <c r="X109" s="43" t="n">
        <v>41</v>
      </c>
      <c r="Y109" s="43" t="s">
        <v>635</v>
      </c>
      <c r="Z109" s="43" t="s">
        <v>636</v>
      </c>
    </row>
    <row r="110" customFormat="false" ht="15" hidden="false" customHeight="false" outlineLevel="0" collapsed="false">
      <c r="A110" s="43" t="n">
        <v>108</v>
      </c>
      <c r="B110" s="43" t="s">
        <v>695</v>
      </c>
      <c r="C110" s="43" t="s">
        <v>696</v>
      </c>
      <c r="D110" s="43" t="s">
        <v>696</v>
      </c>
      <c r="E110" s="43" t="s">
        <v>133</v>
      </c>
      <c r="F110" s="43" t="s">
        <v>48</v>
      </c>
      <c r="G110" s="43" t="n">
        <v>2025</v>
      </c>
      <c r="H110" s="44" t="n">
        <v>0</v>
      </c>
      <c r="I110" s="43" t="n">
        <v>2025</v>
      </c>
      <c r="J110" s="43" t="n">
        <v>5</v>
      </c>
      <c r="K110" s="44" t="n">
        <v>196358</v>
      </c>
      <c r="L110" s="43" t="n">
        <v>2025</v>
      </c>
      <c r="M110" s="43" t="n">
        <v>7</v>
      </c>
      <c r="N110" s="44" t="n">
        <v>196358</v>
      </c>
      <c r="O110" s="43" t="n">
        <v>2025</v>
      </c>
      <c r="P110" s="43" t="n">
        <v>7</v>
      </c>
      <c r="Q110" s="44" t="n">
        <v>196358</v>
      </c>
      <c r="R110" s="43" t="s">
        <v>646</v>
      </c>
      <c r="S110" s="43" t="s">
        <v>83</v>
      </c>
      <c r="T110" s="43" t="s">
        <v>641</v>
      </c>
      <c r="U110" s="43" t="s">
        <v>647</v>
      </c>
      <c r="V110" s="43" t="n">
        <v>43</v>
      </c>
      <c r="W110" s="43" t="n">
        <v>7</v>
      </c>
      <c r="X110" s="43" t="n">
        <v>50</v>
      </c>
      <c r="Y110" s="43" t="s">
        <v>635</v>
      </c>
      <c r="Z110" s="43" t="s">
        <v>636</v>
      </c>
    </row>
    <row r="111" customFormat="false" ht="15" hidden="false" customHeight="false" outlineLevel="0" collapsed="false">
      <c r="A111" s="43" t="n">
        <v>109</v>
      </c>
      <c r="B111" s="43" t="s">
        <v>695</v>
      </c>
      <c r="C111" s="43" t="s">
        <v>696</v>
      </c>
      <c r="D111" s="43" t="s">
        <v>696</v>
      </c>
      <c r="E111" s="43" t="s">
        <v>133</v>
      </c>
      <c r="F111" s="43" t="s">
        <v>48</v>
      </c>
      <c r="G111" s="43" t="n">
        <v>2025</v>
      </c>
      <c r="H111" s="44" t="n">
        <v>0</v>
      </c>
      <c r="I111" s="43" t="n">
        <v>2025</v>
      </c>
      <c r="J111" s="43" t="n">
        <v>6</v>
      </c>
      <c r="K111" s="44" t="n">
        <v>137233</v>
      </c>
      <c r="L111" s="43" t="n">
        <v>2025</v>
      </c>
      <c r="M111" s="43" t="n">
        <v>7</v>
      </c>
      <c r="N111" s="44" t="n">
        <v>137233</v>
      </c>
      <c r="O111" s="43" t="n">
        <v>2025</v>
      </c>
      <c r="P111" s="43" t="n">
        <v>7</v>
      </c>
      <c r="Q111" s="44" t="n">
        <v>137233</v>
      </c>
      <c r="R111" s="43" t="s">
        <v>646</v>
      </c>
      <c r="S111" s="43" t="s">
        <v>83</v>
      </c>
      <c r="T111" s="43" t="s">
        <v>641</v>
      </c>
      <c r="U111" s="43" t="s">
        <v>647</v>
      </c>
      <c r="V111" s="43" t="n">
        <v>28</v>
      </c>
      <c r="W111" s="43" t="n">
        <v>7</v>
      </c>
      <c r="X111" s="43" t="n">
        <v>35</v>
      </c>
      <c r="Y111" s="43" t="s">
        <v>635</v>
      </c>
      <c r="Z111" s="43" t="s">
        <v>636</v>
      </c>
    </row>
    <row r="112" customFormat="false" ht="15" hidden="false" customHeight="false" outlineLevel="0" collapsed="false">
      <c r="A112" s="43" t="n">
        <v>110</v>
      </c>
      <c r="B112" s="43" t="s">
        <v>695</v>
      </c>
      <c r="C112" s="43" t="s">
        <v>696</v>
      </c>
      <c r="D112" s="43" t="s">
        <v>696</v>
      </c>
      <c r="E112" s="43" t="s">
        <v>133</v>
      </c>
      <c r="F112" s="43" t="s">
        <v>48</v>
      </c>
      <c r="G112" s="43" t="n">
        <v>2025</v>
      </c>
      <c r="H112" s="44" t="n">
        <v>0</v>
      </c>
      <c r="I112" s="43" t="n">
        <v>2025</v>
      </c>
      <c r="J112" s="43" t="n">
        <v>7</v>
      </c>
      <c r="K112" s="44" t="n">
        <v>159375.44</v>
      </c>
      <c r="L112" s="43" t="n">
        <v>2025</v>
      </c>
      <c r="M112" s="43" t="n">
        <v>9</v>
      </c>
      <c r="N112" s="44" t="n">
        <v>159375.44</v>
      </c>
      <c r="O112" s="43" t="n">
        <v>2025</v>
      </c>
      <c r="P112" s="43" t="n">
        <v>9</v>
      </c>
      <c r="Q112" s="44" t="n">
        <v>159375.44</v>
      </c>
      <c r="R112" s="43" t="s">
        <v>646</v>
      </c>
      <c r="S112" s="43" t="s">
        <v>83</v>
      </c>
      <c r="T112" s="43" t="s">
        <v>641</v>
      </c>
      <c r="U112" s="43" t="s">
        <v>647</v>
      </c>
      <c r="V112" s="43" t="n">
        <v>44</v>
      </c>
      <c r="W112" s="43" t="n">
        <v>7</v>
      </c>
      <c r="X112" s="43" t="n">
        <v>51</v>
      </c>
      <c r="Y112" s="43" t="s">
        <v>635</v>
      </c>
      <c r="Z112" s="43" t="s">
        <v>636</v>
      </c>
    </row>
    <row r="113" customFormat="false" ht="15" hidden="false" customHeight="false" outlineLevel="0" collapsed="false">
      <c r="A113" s="43" t="n">
        <v>111</v>
      </c>
      <c r="B113" s="43" t="s">
        <v>695</v>
      </c>
      <c r="C113" s="43" t="s">
        <v>696</v>
      </c>
      <c r="D113" s="43" t="s">
        <v>696</v>
      </c>
      <c r="E113" s="43" t="s">
        <v>133</v>
      </c>
      <c r="F113" s="43" t="s">
        <v>48</v>
      </c>
      <c r="G113" s="43" t="n">
        <v>2025</v>
      </c>
      <c r="H113" s="44" t="n">
        <v>0</v>
      </c>
      <c r="I113" s="43" t="n">
        <v>2025</v>
      </c>
      <c r="J113" s="43" t="n">
        <v>8</v>
      </c>
      <c r="K113" s="44" t="n">
        <v>4640</v>
      </c>
      <c r="L113" s="43" t="n">
        <v>2025</v>
      </c>
      <c r="M113" s="43" t="n">
        <v>10</v>
      </c>
      <c r="N113" s="44" t="n">
        <v>4640</v>
      </c>
      <c r="O113" s="43" t="n">
        <v>2025</v>
      </c>
      <c r="P113" s="43" t="n">
        <v>11</v>
      </c>
      <c r="Q113" s="44" t="n">
        <v>4640</v>
      </c>
      <c r="R113" s="43" t="s">
        <v>646</v>
      </c>
      <c r="S113" s="43" t="s">
        <v>83</v>
      </c>
      <c r="T113" s="43" t="s">
        <v>641</v>
      </c>
      <c r="U113" s="43" t="s">
        <v>647</v>
      </c>
      <c r="V113" s="43" t="n">
        <v>71</v>
      </c>
      <c r="W113" s="43" t="n">
        <v>7</v>
      </c>
      <c r="X113" s="43" t="n">
        <v>78</v>
      </c>
      <c r="Y113" s="43" t="s">
        <v>635</v>
      </c>
      <c r="Z113" s="43" t="s">
        <v>636</v>
      </c>
    </row>
    <row r="114" customFormat="false" ht="15" hidden="false" customHeight="false" outlineLevel="0" collapsed="false">
      <c r="A114" s="43" t="n">
        <v>112</v>
      </c>
      <c r="B114" s="43" t="s">
        <v>695</v>
      </c>
      <c r="C114" s="43" t="s">
        <v>696</v>
      </c>
      <c r="D114" s="43" t="s">
        <v>696</v>
      </c>
      <c r="E114" s="43" t="s">
        <v>133</v>
      </c>
      <c r="F114" s="43" t="s">
        <v>48</v>
      </c>
      <c r="G114" s="43" t="n">
        <v>2025</v>
      </c>
      <c r="H114" s="44" t="n">
        <v>0</v>
      </c>
      <c r="I114" s="43" t="n">
        <v>2025</v>
      </c>
      <c r="J114" s="43" t="n">
        <v>9</v>
      </c>
      <c r="K114" s="44" t="n">
        <v>40120</v>
      </c>
      <c r="L114" s="43" t="n">
        <v>2025</v>
      </c>
      <c r="M114" s="43" t="n">
        <v>10</v>
      </c>
      <c r="N114" s="44" t="n">
        <v>38602</v>
      </c>
      <c r="O114" s="43" t="n">
        <v>2025</v>
      </c>
      <c r="P114" s="43" t="n">
        <v>11</v>
      </c>
      <c r="Q114" s="44" t="n">
        <v>38602</v>
      </c>
      <c r="R114" s="43" t="s">
        <v>646</v>
      </c>
      <c r="S114" s="43" t="s">
        <v>83</v>
      </c>
      <c r="T114" s="43" t="s">
        <v>641</v>
      </c>
      <c r="U114" s="43" t="s">
        <v>647</v>
      </c>
      <c r="V114" s="43" t="n">
        <v>35</v>
      </c>
      <c r="W114" s="43" t="n">
        <v>11</v>
      </c>
      <c r="X114" s="43" t="n">
        <v>46</v>
      </c>
      <c r="Y114" s="43" t="s">
        <v>635</v>
      </c>
      <c r="Z114" s="43" t="s">
        <v>636</v>
      </c>
    </row>
    <row r="115" customFormat="false" ht="15" hidden="false" customHeight="false" outlineLevel="0" collapsed="false">
      <c r="A115" s="43" t="n">
        <v>113</v>
      </c>
      <c r="B115" s="43" t="s">
        <v>697</v>
      </c>
      <c r="C115" s="43" t="s">
        <v>698</v>
      </c>
      <c r="D115" s="43" t="s">
        <v>698</v>
      </c>
      <c r="E115" s="43" t="s">
        <v>133</v>
      </c>
      <c r="F115" s="43" t="s">
        <v>48</v>
      </c>
      <c r="G115" s="43" t="n">
        <v>2024</v>
      </c>
      <c r="H115" s="44" t="n">
        <v>0</v>
      </c>
      <c r="I115" s="43" t="n">
        <v>2024</v>
      </c>
      <c r="J115" s="43" t="n">
        <v>8</v>
      </c>
      <c r="K115" s="44" t="n">
        <v>24680</v>
      </c>
      <c r="L115" s="43" t="n">
        <v>2024</v>
      </c>
      <c r="M115" s="43" t="n">
        <v>9</v>
      </c>
      <c r="N115" s="44" t="n">
        <v>24680</v>
      </c>
      <c r="O115" s="43" t="n">
        <v>2024</v>
      </c>
      <c r="P115" s="43" t="n">
        <v>9</v>
      </c>
      <c r="Q115" s="44" t="n">
        <v>24680</v>
      </c>
      <c r="R115" s="43" t="s">
        <v>646</v>
      </c>
      <c r="S115" s="43" t="s">
        <v>83</v>
      </c>
      <c r="T115" s="43" t="s">
        <v>641</v>
      </c>
      <c r="U115" s="43" t="s">
        <v>647</v>
      </c>
      <c r="V115" s="43" t="n">
        <v>14</v>
      </c>
      <c r="W115" s="43" t="n">
        <v>6</v>
      </c>
      <c r="X115" s="43" t="n">
        <v>20</v>
      </c>
      <c r="Y115" s="43" t="s">
        <v>635</v>
      </c>
      <c r="Z115" s="43" t="s">
        <v>636</v>
      </c>
    </row>
    <row r="116" customFormat="false" ht="15" hidden="false" customHeight="false" outlineLevel="0" collapsed="false">
      <c r="A116" s="43" t="n">
        <v>114</v>
      </c>
      <c r="B116" s="43" t="s">
        <v>697</v>
      </c>
      <c r="C116" s="43" t="s">
        <v>698</v>
      </c>
      <c r="D116" s="43" t="s">
        <v>698</v>
      </c>
      <c r="E116" s="43" t="s">
        <v>133</v>
      </c>
      <c r="F116" s="43" t="s">
        <v>48</v>
      </c>
      <c r="G116" s="43" t="n">
        <v>2024</v>
      </c>
      <c r="H116" s="44" t="n">
        <v>0</v>
      </c>
      <c r="I116" s="43" t="n">
        <v>2024</v>
      </c>
      <c r="J116" s="43" t="n">
        <v>9</v>
      </c>
      <c r="K116" s="44" t="n">
        <v>13842</v>
      </c>
      <c r="L116" s="43" t="n">
        <v>2024</v>
      </c>
      <c r="M116" s="43" t="n">
        <v>10</v>
      </c>
      <c r="N116" s="44" t="n">
        <v>13842</v>
      </c>
      <c r="O116" s="43" t="n">
        <v>2024</v>
      </c>
      <c r="P116" s="43" t="n">
        <v>10</v>
      </c>
      <c r="Q116" s="44" t="n">
        <v>13842</v>
      </c>
      <c r="R116" s="43" t="s">
        <v>646</v>
      </c>
      <c r="S116" s="43" t="s">
        <v>83</v>
      </c>
      <c r="T116" s="43" t="s">
        <v>641</v>
      </c>
      <c r="U116" s="43" t="s">
        <v>647</v>
      </c>
      <c r="V116" s="43" t="n">
        <v>18</v>
      </c>
      <c r="W116" s="43" t="n">
        <v>7</v>
      </c>
      <c r="X116" s="43" t="n">
        <v>25</v>
      </c>
      <c r="Y116" s="43" t="s">
        <v>635</v>
      </c>
      <c r="Z116" s="43" t="s">
        <v>636</v>
      </c>
    </row>
    <row r="117" customFormat="false" ht="15" hidden="false" customHeight="false" outlineLevel="0" collapsed="false">
      <c r="A117" s="43" t="n">
        <v>115</v>
      </c>
      <c r="B117" s="43" t="s">
        <v>697</v>
      </c>
      <c r="C117" s="43" t="s">
        <v>698</v>
      </c>
      <c r="D117" s="43" t="s">
        <v>698</v>
      </c>
      <c r="E117" s="43" t="s">
        <v>133</v>
      </c>
      <c r="F117" s="43" t="s">
        <v>48</v>
      </c>
      <c r="G117" s="43" t="n">
        <v>2024</v>
      </c>
      <c r="H117" s="44" t="n">
        <v>0</v>
      </c>
      <c r="I117" s="43" t="n">
        <v>2024</v>
      </c>
      <c r="J117" s="43" t="n">
        <v>10</v>
      </c>
      <c r="K117" s="44" t="n">
        <v>7683</v>
      </c>
      <c r="L117" s="43" t="n">
        <v>2024</v>
      </c>
      <c r="M117" s="43" t="n">
        <v>11</v>
      </c>
      <c r="N117" s="44" t="n">
        <v>7683</v>
      </c>
      <c r="O117" s="43" t="n">
        <v>2024</v>
      </c>
      <c r="P117" s="43" t="n">
        <v>12</v>
      </c>
      <c r="Q117" s="44" t="n">
        <v>7683</v>
      </c>
      <c r="R117" s="43" t="s">
        <v>646</v>
      </c>
      <c r="S117" s="43" t="s">
        <v>83</v>
      </c>
      <c r="T117" s="43" t="s">
        <v>641</v>
      </c>
      <c r="U117" s="43" t="s">
        <v>647</v>
      </c>
      <c r="V117" s="43" t="n">
        <v>34</v>
      </c>
      <c r="W117" s="43" t="n">
        <v>7</v>
      </c>
      <c r="X117" s="43" t="n">
        <v>41</v>
      </c>
      <c r="Y117" s="43" t="s">
        <v>635</v>
      </c>
      <c r="Z117" s="43" t="s">
        <v>636</v>
      </c>
    </row>
    <row r="118" customFormat="false" ht="15" hidden="false" customHeight="false" outlineLevel="0" collapsed="false">
      <c r="A118" s="43" t="n">
        <v>116</v>
      </c>
      <c r="B118" s="43" t="s">
        <v>699</v>
      </c>
      <c r="C118" s="43" t="s">
        <v>700</v>
      </c>
      <c r="D118" s="43" t="s">
        <v>700</v>
      </c>
      <c r="E118" s="43" t="s">
        <v>133</v>
      </c>
      <c r="F118" s="43" t="s">
        <v>48</v>
      </c>
      <c r="G118" s="43" t="n">
        <v>2025</v>
      </c>
      <c r="H118" s="44" t="n">
        <v>0</v>
      </c>
      <c r="I118" s="43" t="n">
        <v>2025</v>
      </c>
      <c r="J118" s="43" t="n">
        <v>2</v>
      </c>
      <c r="K118" s="44" t="n">
        <v>37400</v>
      </c>
      <c r="L118" s="43" t="n">
        <v>2025</v>
      </c>
      <c r="M118" s="43" t="n">
        <v>3</v>
      </c>
      <c r="N118" s="44" t="n">
        <v>37400</v>
      </c>
      <c r="O118" s="43" t="n">
        <v>2025</v>
      </c>
      <c r="P118" s="43" t="n">
        <v>3</v>
      </c>
      <c r="Q118" s="44" t="n">
        <v>38176.983</v>
      </c>
      <c r="R118" s="43" t="s">
        <v>651</v>
      </c>
      <c r="S118" s="43" t="s">
        <v>85</v>
      </c>
      <c r="T118" s="43" t="s">
        <v>633</v>
      </c>
      <c r="U118" s="43" t="s">
        <v>647</v>
      </c>
      <c r="V118" s="43" t="n">
        <v>23</v>
      </c>
      <c r="W118" s="43" t="n">
        <v>7</v>
      </c>
      <c r="X118" s="43" t="n">
        <v>30</v>
      </c>
      <c r="Y118" s="43" t="s">
        <v>635</v>
      </c>
      <c r="Z118" s="43" t="s">
        <v>636</v>
      </c>
    </row>
    <row r="119" customFormat="false" ht="15" hidden="false" customHeight="false" outlineLevel="0" collapsed="false">
      <c r="A119" s="43" t="n">
        <v>117</v>
      </c>
      <c r="B119" s="43" t="s">
        <v>701</v>
      </c>
      <c r="C119" s="43" t="s">
        <v>702</v>
      </c>
      <c r="D119" s="43" t="s">
        <v>702</v>
      </c>
      <c r="E119" s="43" t="s">
        <v>133</v>
      </c>
      <c r="F119" s="43" t="s">
        <v>48</v>
      </c>
      <c r="G119" s="43" t="n">
        <v>2024</v>
      </c>
      <c r="H119" s="44" t="n">
        <v>0</v>
      </c>
      <c r="I119" s="43" t="n">
        <v>2024</v>
      </c>
      <c r="J119" s="43" t="n">
        <v>5</v>
      </c>
      <c r="K119" s="44" t="n">
        <v>35036</v>
      </c>
      <c r="L119" s="43" t="n">
        <v>2025</v>
      </c>
      <c r="M119" s="43" t="n">
        <v>4</v>
      </c>
      <c r="N119" s="44" t="n">
        <v>35036</v>
      </c>
      <c r="O119" s="43" t="n">
        <v>2025</v>
      </c>
      <c r="P119" s="43" t="n">
        <v>5</v>
      </c>
      <c r="Q119" s="44" t="n">
        <v>35036</v>
      </c>
      <c r="R119" s="43" t="s">
        <v>703</v>
      </c>
      <c r="S119" s="43" t="s">
        <v>83</v>
      </c>
      <c r="T119" s="43" t="s">
        <v>641</v>
      </c>
      <c r="U119" s="43" t="s">
        <v>647</v>
      </c>
      <c r="V119" s="43" t="n">
        <v>336</v>
      </c>
      <c r="W119" s="43" t="n">
        <v>8</v>
      </c>
      <c r="X119" s="43" t="n">
        <v>344</v>
      </c>
      <c r="Y119" s="43" t="s">
        <v>635</v>
      </c>
      <c r="Z119" s="43" t="s">
        <v>636</v>
      </c>
    </row>
    <row r="120" customFormat="false" ht="15" hidden="false" customHeight="false" outlineLevel="0" collapsed="false">
      <c r="A120" s="43" t="n">
        <v>118</v>
      </c>
      <c r="B120" s="43" t="s">
        <v>701</v>
      </c>
      <c r="C120" s="43" t="s">
        <v>702</v>
      </c>
      <c r="D120" s="43" t="s">
        <v>702</v>
      </c>
      <c r="E120" s="43" t="s">
        <v>133</v>
      </c>
      <c r="F120" s="43" t="s">
        <v>48</v>
      </c>
      <c r="G120" s="43" t="n">
        <v>2025</v>
      </c>
      <c r="H120" s="44" t="n">
        <v>0</v>
      </c>
      <c r="I120" s="43" t="n">
        <v>2025</v>
      </c>
      <c r="J120" s="43" t="n">
        <v>4</v>
      </c>
      <c r="K120" s="44" t="n">
        <v>48790</v>
      </c>
      <c r="L120" s="43" t="n">
        <v>2025</v>
      </c>
      <c r="M120" s="43" t="n">
        <v>5</v>
      </c>
      <c r="N120" s="44" t="n">
        <v>48790</v>
      </c>
      <c r="O120" s="43" t="n">
        <v>2025</v>
      </c>
      <c r="P120" s="43" t="n">
        <v>5</v>
      </c>
      <c r="Q120" s="44" t="n">
        <v>48790</v>
      </c>
      <c r="R120" s="43" t="s">
        <v>703</v>
      </c>
      <c r="S120" s="43" t="s">
        <v>83</v>
      </c>
      <c r="T120" s="43" t="s">
        <v>641</v>
      </c>
      <c r="U120" s="43" t="s">
        <v>647</v>
      </c>
      <c r="V120" s="43" t="n">
        <v>7</v>
      </c>
      <c r="W120" s="43" t="n">
        <v>7</v>
      </c>
      <c r="X120" s="43" t="n">
        <v>14</v>
      </c>
      <c r="Y120" s="43" t="s">
        <v>635</v>
      </c>
      <c r="Z120" s="43" t="s">
        <v>636</v>
      </c>
    </row>
    <row r="121" customFormat="false" ht="15" hidden="false" customHeight="false" outlineLevel="0" collapsed="false">
      <c r="A121" s="43" t="n">
        <v>119</v>
      </c>
      <c r="B121" s="43" t="s">
        <v>701</v>
      </c>
      <c r="C121" s="43" t="s">
        <v>702</v>
      </c>
      <c r="D121" s="43" t="s">
        <v>702</v>
      </c>
      <c r="E121" s="43" t="s">
        <v>133</v>
      </c>
      <c r="F121" s="43" t="s">
        <v>48</v>
      </c>
      <c r="G121" s="43" t="n">
        <v>2025</v>
      </c>
      <c r="H121" s="44" t="n">
        <v>0</v>
      </c>
      <c r="I121" s="43" t="n">
        <v>2025</v>
      </c>
      <c r="J121" s="43" t="n">
        <v>5</v>
      </c>
      <c r="K121" s="44" t="n">
        <v>32748</v>
      </c>
      <c r="L121" s="43" t="n">
        <v>2025</v>
      </c>
      <c r="M121" s="43" t="n">
        <v>6</v>
      </c>
      <c r="N121" s="44" t="n">
        <v>32748</v>
      </c>
      <c r="O121" s="43" t="n">
        <v>2025</v>
      </c>
      <c r="P121" s="43" t="n">
        <v>6</v>
      </c>
      <c r="Q121" s="44" t="n">
        <v>32748</v>
      </c>
      <c r="R121" s="43" t="s">
        <v>703</v>
      </c>
      <c r="S121" s="43" t="s">
        <v>83</v>
      </c>
      <c r="T121" s="43" t="s">
        <v>641</v>
      </c>
      <c r="U121" s="43" t="s">
        <v>647</v>
      </c>
      <c r="V121" s="43" t="n">
        <v>9</v>
      </c>
      <c r="W121" s="43" t="n">
        <v>7</v>
      </c>
      <c r="X121" s="43" t="n">
        <v>16</v>
      </c>
      <c r="Y121" s="43" t="s">
        <v>635</v>
      </c>
      <c r="Z121" s="43" t="s">
        <v>636</v>
      </c>
    </row>
    <row r="122" customFormat="false" ht="15" hidden="false" customHeight="false" outlineLevel="0" collapsed="false">
      <c r="A122" s="43" t="n">
        <v>120</v>
      </c>
      <c r="B122" s="43" t="s">
        <v>701</v>
      </c>
      <c r="C122" s="43" t="s">
        <v>702</v>
      </c>
      <c r="D122" s="43" t="s">
        <v>702</v>
      </c>
      <c r="E122" s="43" t="s">
        <v>133</v>
      </c>
      <c r="F122" s="43" t="s">
        <v>48</v>
      </c>
      <c r="G122" s="43" t="n">
        <v>2025</v>
      </c>
      <c r="H122" s="44" t="n">
        <v>0</v>
      </c>
      <c r="I122" s="43" t="n">
        <v>2025</v>
      </c>
      <c r="J122" s="43" t="n">
        <v>6</v>
      </c>
      <c r="K122" s="44" t="n">
        <v>40426</v>
      </c>
      <c r="L122" s="43" t="n">
        <v>2025</v>
      </c>
      <c r="M122" s="43" t="n">
        <v>7</v>
      </c>
      <c r="N122" s="44" t="n">
        <v>40426</v>
      </c>
      <c r="O122" s="43" t="n">
        <v>2025</v>
      </c>
      <c r="P122" s="43" t="n">
        <v>7</v>
      </c>
      <c r="Q122" s="44" t="n">
        <v>40426</v>
      </c>
      <c r="R122" s="43" t="s">
        <v>703</v>
      </c>
      <c r="S122" s="43" t="s">
        <v>83</v>
      </c>
      <c r="T122" s="43" t="s">
        <v>641</v>
      </c>
      <c r="U122" s="43" t="s">
        <v>647</v>
      </c>
      <c r="V122" s="43" t="n">
        <v>8</v>
      </c>
      <c r="W122" s="43" t="n">
        <v>7</v>
      </c>
      <c r="X122" s="43" t="n">
        <v>15</v>
      </c>
      <c r="Y122" s="43" t="s">
        <v>635</v>
      </c>
      <c r="Z122" s="43" t="s">
        <v>636</v>
      </c>
    </row>
    <row r="123" customFormat="false" ht="15" hidden="false" customHeight="false" outlineLevel="0" collapsed="false">
      <c r="A123" s="43" t="n">
        <v>121</v>
      </c>
      <c r="B123" s="43" t="s">
        <v>701</v>
      </c>
      <c r="C123" s="43" t="s">
        <v>702</v>
      </c>
      <c r="D123" s="43" t="s">
        <v>702</v>
      </c>
      <c r="E123" s="43" t="s">
        <v>133</v>
      </c>
      <c r="F123" s="43" t="s">
        <v>48</v>
      </c>
      <c r="G123" s="43" t="n">
        <v>2025</v>
      </c>
      <c r="H123" s="44" t="n">
        <v>0</v>
      </c>
      <c r="I123" s="43" t="n">
        <v>2025</v>
      </c>
      <c r="J123" s="43" t="n">
        <v>7</v>
      </c>
      <c r="K123" s="44" t="n">
        <v>30025</v>
      </c>
      <c r="L123" s="43" t="n">
        <v>2025</v>
      </c>
      <c r="M123" s="43" t="n">
        <v>8</v>
      </c>
      <c r="N123" s="44" t="n">
        <v>30025</v>
      </c>
      <c r="O123" s="43" t="n">
        <v>2025</v>
      </c>
      <c r="P123" s="43" t="n">
        <v>8</v>
      </c>
      <c r="Q123" s="44" t="n">
        <v>30025</v>
      </c>
      <c r="R123" s="43" t="s">
        <v>703</v>
      </c>
      <c r="S123" s="43" t="s">
        <v>83</v>
      </c>
      <c r="T123" s="43" t="s">
        <v>641</v>
      </c>
      <c r="U123" s="43" t="s">
        <v>647</v>
      </c>
      <c r="V123" s="43" t="n">
        <v>13</v>
      </c>
      <c r="W123" s="43" t="n">
        <v>6</v>
      </c>
      <c r="X123" s="43" t="n">
        <v>19</v>
      </c>
      <c r="Y123" s="43" t="s">
        <v>635</v>
      </c>
      <c r="Z123" s="43" t="s">
        <v>636</v>
      </c>
    </row>
    <row r="124" customFormat="false" ht="15" hidden="false" customHeight="false" outlineLevel="0" collapsed="false">
      <c r="A124" s="43" t="n">
        <v>122</v>
      </c>
      <c r="B124" s="43" t="s">
        <v>701</v>
      </c>
      <c r="C124" s="43" t="s">
        <v>702</v>
      </c>
      <c r="D124" s="43" t="s">
        <v>702</v>
      </c>
      <c r="E124" s="43" t="s">
        <v>133</v>
      </c>
      <c r="F124" s="43" t="s">
        <v>48</v>
      </c>
      <c r="G124" s="43" t="n">
        <v>2025</v>
      </c>
      <c r="H124" s="44" t="n">
        <v>0</v>
      </c>
      <c r="I124" s="43" t="n">
        <v>2025</v>
      </c>
      <c r="J124" s="43" t="n">
        <v>8</v>
      </c>
      <c r="K124" s="44" t="n">
        <v>11895</v>
      </c>
      <c r="L124" s="43" t="n">
        <v>2025</v>
      </c>
      <c r="M124" s="43" t="n">
        <v>9</v>
      </c>
      <c r="N124" s="44" t="n">
        <v>11895</v>
      </c>
      <c r="O124" s="43" t="n">
        <v>2025</v>
      </c>
      <c r="P124" s="43" t="n">
        <v>9</v>
      </c>
      <c r="Q124" s="44" t="n">
        <v>11895</v>
      </c>
      <c r="R124" s="43" t="s">
        <v>703</v>
      </c>
      <c r="S124" s="43" t="s">
        <v>83</v>
      </c>
      <c r="T124" s="43" t="s">
        <v>641</v>
      </c>
      <c r="U124" s="43" t="s">
        <v>647</v>
      </c>
      <c r="V124" s="43" t="n">
        <v>14</v>
      </c>
      <c r="W124" s="43" t="n">
        <v>7</v>
      </c>
      <c r="X124" s="43" t="n">
        <v>21</v>
      </c>
      <c r="Y124" s="43" t="s">
        <v>635</v>
      </c>
      <c r="Z124" s="43" t="s">
        <v>636</v>
      </c>
    </row>
    <row r="125" customFormat="false" ht="15" hidden="false" customHeight="false" outlineLevel="0" collapsed="false">
      <c r="A125" s="43" t="n">
        <v>123</v>
      </c>
      <c r="B125" s="43" t="s">
        <v>704</v>
      </c>
      <c r="C125" s="43" t="s">
        <v>705</v>
      </c>
      <c r="D125" s="43" t="s">
        <v>705</v>
      </c>
      <c r="E125" s="43" t="s">
        <v>706</v>
      </c>
      <c r="F125" s="43" t="s">
        <v>48</v>
      </c>
      <c r="G125" s="43" t="n">
        <v>2024</v>
      </c>
      <c r="H125" s="44" t="n">
        <v>50000</v>
      </c>
      <c r="I125" s="43" t="n">
        <v>2024</v>
      </c>
      <c r="J125" s="43" t="n">
        <v>3</v>
      </c>
      <c r="K125" s="44" t="n">
        <v>54706</v>
      </c>
      <c r="L125" s="43" t="n">
        <v>2024</v>
      </c>
      <c r="M125" s="43" t="n">
        <v>3</v>
      </c>
      <c r="N125" s="44" t="n">
        <v>54706</v>
      </c>
      <c r="O125" s="43" t="n">
        <v>2024</v>
      </c>
      <c r="P125" s="43" t="n">
        <v>4</v>
      </c>
      <c r="Q125" s="44" t="n">
        <v>54706</v>
      </c>
      <c r="R125" s="43" t="s">
        <v>651</v>
      </c>
      <c r="S125" s="43" t="s">
        <v>85</v>
      </c>
      <c r="T125" s="43" t="s">
        <v>633</v>
      </c>
      <c r="U125" s="43" t="s">
        <v>647</v>
      </c>
      <c r="V125" s="43" t="n">
        <v>14</v>
      </c>
      <c r="W125" s="43" t="n">
        <v>29</v>
      </c>
      <c r="X125" s="43" t="n">
        <v>43</v>
      </c>
      <c r="Y125" s="43" t="s">
        <v>635</v>
      </c>
      <c r="Z125" s="43" t="s">
        <v>636</v>
      </c>
    </row>
    <row r="126" customFormat="false" ht="15" hidden="false" customHeight="false" outlineLevel="0" collapsed="false">
      <c r="A126" s="43" t="n">
        <v>124</v>
      </c>
      <c r="B126" s="43" t="s">
        <v>707</v>
      </c>
      <c r="C126" s="43" t="s">
        <v>708</v>
      </c>
      <c r="D126" s="43" t="s">
        <v>708</v>
      </c>
      <c r="E126" s="43" t="s">
        <v>706</v>
      </c>
      <c r="F126" s="43" t="s">
        <v>48</v>
      </c>
      <c r="G126" s="43" t="n">
        <v>2024</v>
      </c>
      <c r="H126" s="44" t="n">
        <v>0</v>
      </c>
      <c r="I126" s="43" t="n">
        <v>2024</v>
      </c>
      <c r="J126" s="43" t="n">
        <v>7</v>
      </c>
      <c r="K126" s="44" t="n">
        <v>40000</v>
      </c>
      <c r="L126" s="43" t="n">
        <v>2024</v>
      </c>
      <c r="M126" s="43" t="n">
        <v>9</v>
      </c>
      <c r="N126" s="44" t="n">
        <v>40000</v>
      </c>
      <c r="O126" s="43" t="n">
        <v>2024</v>
      </c>
      <c r="P126" s="43" t="n">
        <v>10</v>
      </c>
      <c r="Q126" s="44" t="n">
        <v>40000</v>
      </c>
      <c r="R126" s="43" t="s">
        <v>651</v>
      </c>
      <c r="S126" s="43" t="s">
        <v>85</v>
      </c>
      <c r="T126" s="43" t="s">
        <v>633</v>
      </c>
      <c r="U126" s="43" t="s">
        <v>647</v>
      </c>
      <c r="V126" s="43" t="n">
        <v>46</v>
      </c>
      <c r="W126" s="43" t="n">
        <v>35</v>
      </c>
      <c r="X126" s="43" t="n">
        <v>81</v>
      </c>
      <c r="Y126" s="43" t="s">
        <v>635</v>
      </c>
      <c r="Z126" s="43" t="s">
        <v>636</v>
      </c>
    </row>
    <row r="127" customFormat="false" ht="15" hidden="false" customHeight="false" outlineLevel="0" collapsed="false">
      <c r="A127" s="43" t="n">
        <v>125</v>
      </c>
      <c r="B127" s="43" t="s">
        <v>709</v>
      </c>
      <c r="C127" s="43" t="s">
        <v>710</v>
      </c>
      <c r="D127" s="43" t="s">
        <v>711</v>
      </c>
      <c r="E127" s="43" t="s">
        <v>135</v>
      </c>
      <c r="F127" s="43" t="s">
        <v>48</v>
      </c>
      <c r="G127" s="43" t="n">
        <v>2023</v>
      </c>
      <c r="H127" s="44" t="n">
        <v>0</v>
      </c>
      <c r="I127" s="43" t="n">
        <v>2023</v>
      </c>
      <c r="J127" s="43" t="n">
        <v>3</v>
      </c>
      <c r="K127" s="44" t="n">
        <v>88780</v>
      </c>
      <c r="L127" s="43" t="n">
        <v>2023</v>
      </c>
      <c r="M127" s="43" t="n">
        <v>5</v>
      </c>
      <c r="N127" s="44" t="n">
        <v>90837</v>
      </c>
      <c r="O127" s="43" t="n">
        <v>2023</v>
      </c>
      <c r="P127" s="43" t="n">
        <v>6</v>
      </c>
      <c r="Q127" s="44" t="n">
        <v>90837</v>
      </c>
      <c r="R127" s="43" t="s">
        <v>651</v>
      </c>
      <c r="S127" s="43" t="s">
        <v>85</v>
      </c>
      <c r="T127" s="43" t="s">
        <v>633</v>
      </c>
      <c r="U127" s="43" t="s">
        <v>669</v>
      </c>
      <c r="V127" s="43" t="n">
        <v>52</v>
      </c>
      <c r="W127" s="43" t="n">
        <v>28</v>
      </c>
      <c r="X127" s="43" t="n">
        <v>80</v>
      </c>
      <c r="Y127" s="43" t="s">
        <v>635</v>
      </c>
      <c r="Z127" s="43" t="s">
        <v>636</v>
      </c>
    </row>
    <row r="128" customFormat="false" ht="15" hidden="false" customHeight="false" outlineLevel="0" collapsed="false">
      <c r="A128" s="43" t="n">
        <v>126</v>
      </c>
      <c r="B128" s="43" t="s">
        <v>709</v>
      </c>
      <c r="C128" s="43" t="s">
        <v>710</v>
      </c>
      <c r="D128" s="43" t="s">
        <v>711</v>
      </c>
      <c r="E128" s="43" t="s">
        <v>135</v>
      </c>
      <c r="F128" s="43" t="s">
        <v>48</v>
      </c>
      <c r="G128" s="43" t="n">
        <v>2023</v>
      </c>
      <c r="H128" s="44" t="n">
        <v>0</v>
      </c>
      <c r="I128" s="43" t="n">
        <v>2023</v>
      </c>
      <c r="J128" s="43" t="n">
        <v>4</v>
      </c>
      <c r="K128" s="44" t="n">
        <v>28476</v>
      </c>
      <c r="L128" s="43" t="n">
        <v>2023</v>
      </c>
      <c r="M128" s="43" t="n">
        <v>6</v>
      </c>
      <c r="N128" s="44" t="n">
        <v>28476</v>
      </c>
      <c r="O128" s="43" t="n">
        <v>2023</v>
      </c>
      <c r="P128" s="43" t="n">
        <v>7</v>
      </c>
      <c r="Q128" s="44" t="n">
        <v>28476</v>
      </c>
      <c r="R128" s="43" t="s">
        <v>651</v>
      </c>
      <c r="S128" s="43" t="s">
        <v>85</v>
      </c>
      <c r="T128" s="43" t="s">
        <v>633</v>
      </c>
      <c r="U128" s="43" t="s">
        <v>669</v>
      </c>
      <c r="V128" s="43" t="n">
        <v>70</v>
      </c>
      <c r="W128" s="43" t="n">
        <v>21</v>
      </c>
      <c r="X128" s="43" t="n">
        <v>91</v>
      </c>
      <c r="Y128" s="43" t="s">
        <v>635</v>
      </c>
      <c r="Z128" s="43" t="s">
        <v>636</v>
      </c>
    </row>
    <row r="129" customFormat="false" ht="15" hidden="false" customHeight="false" outlineLevel="0" collapsed="false">
      <c r="A129" s="43" t="n">
        <v>127</v>
      </c>
      <c r="B129" s="43" t="s">
        <v>709</v>
      </c>
      <c r="C129" s="43" t="s">
        <v>710</v>
      </c>
      <c r="D129" s="43" t="s">
        <v>711</v>
      </c>
      <c r="E129" s="43" t="s">
        <v>135</v>
      </c>
      <c r="F129" s="43" t="s">
        <v>48</v>
      </c>
      <c r="G129" s="43" t="n">
        <v>2023</v>
      </c>
      <c r="H129" s="44" t="n">
        <v>0</v>
      </c>
      <c r="I129" s="43" t="n">
        <v>2023</v>
      </c>
      <c r="J129" s="43" t="n">
        <v>5</v>
      </c>
      <c r="K129" s="44" t="n">
        <v>8190</v>
      </c>
      <c r="L129" s="43" t="n">
        <v>2023</v>
      </c>
      <c r="M129" s="43" t="n">
        <v>6</v>
      </c>
      <c r="N129" s="44" t="n">
        <v>8190</v>
      </c>
      <c r="O129" s="43" t="n">
        <v>2023</v>
      </c>
      <c r="P129" s="43" t="n">
        <v>7</v>
      </c>
      <c r="Q129" s="44" t="n">
        <v>8190</v>
      </c>
      <c r="R129" s="43" t="s">
        <v>651</v>
      </c>
      <c r="S129" s="43" t="s">
        <v>85</v>
      </c>
      <c r="T129" s="43" t="s">
        <v>633</v>
      </c>
      <c r="U129" s="43" t="s">
        <v>669</v>
      </c>
      <c r="V129" s="43" t="n">
        <v>40</v>
      </c>
      <c r="W129" s="43" t="n">
        <v>21</v>
      </c>
      <c r="X129" s="43" t="n">
        <v>61</v>
      </c>
      <c r="Y129" s="43" t="s">
        <v>635</v>
      </c>
      <c r="Z129" s="43" t="s">
        <v>636</v>
      </c>
    </row>
    <row r="130" customFormat="false" ht="15" hidden="false" customHeight="false" outlineLevel="0" collapsed="false">
      <c r="A130" s="43" t="n">
        <v>128</v>
      </c>
      <c r="B130" s="43" t="s">
        <v>709</v>
      </c>
      <c r="C130" s="43" t="s">
        <v>710</v>
      </c>
      <c r="D130" s="43" t="s">
        <v>711</v>
      </c>
      <c r="E130" s="43" t="s">
        <v>135</v>
      </c>
      <c r="F130" s="43" t="s">
        <v>48</v>
      </c>
      <c r="G130" s="43" t="n">
        <v>2023</v>
      </c>
      <c r="H130" s="44" t="n">
        <v>0</v>
      </c>
      <c r="I130" s="43" t="n">
        <v>2023</v>
      </c>
      <c r="J130" s="43" t="n">
        <v>7</v>
      </c>
      <c r="K130" s="44" t="n">
        <v>13446</v>
      </c>
      <c r="L130" s="43" t="n">
        <v>2023</v>
      </c>
      <c r="M130" s="43" t="n">
        <v>10</v>
      </c>
      <c r="N130" s="44" t="n">
        <v>13446</v>
      </c>
      <c r="O130" s="43" t="n">
        <v>2023</v>
      </c>
      <c r="P130" s="43" t="n">
        <v>10</v>
      </c>
      <c r="Q130" s="44" t="n">
        <v>13446</v>
      </c>
      <c r="R130" s="43" t="s">
        <v>651</v>
      </c>
      <c r="S130" s="43" t="s">
        <v>85</v>
      </c>
      <c r="T130" s="43" t="s">
        <v>633</v>
      </c>
      <c r="U130" s="43" t="s">
        <v>669</v>
      </c>
      <c r="V130" s="43" t="n">
        <v>72</v>
      </c>
      <c r="W130" s="43" t="n">
        <v>21</v>
      </c>
      <c r="X130" s="43" t="n">
        <v>93</v>
      </c>
      <c r="Y130" s="43" t="s">
        <v>635</v>
      </c>
      <c r="Z130" s="43" t="s">
        <v>636</v>
      </c>
    </row>
    <row r="131" customFormat="false" ht="15" hidden="false" customHeight="false" outlineLevel="0" collapsed="false">
      <c r="A131" s="43" t="n">
        <v>129</v>
      </c>
      <c r="B131" s="43" t="s">
        <v>712</v>
      </c>
      <c r="C131" s="43" t="s">
        <v>713</v>
      </c>
      <c r="D131" s="43" t="s">
        <v>713</v>
      </c>
      <c r="E131" s="43" t="s">
        <v>137</v>
      </c>
      <c r="F131" s="43" t="s">
        <v>48</v>
      </c>
      <c r="G131" s="43" t="n">
        <v>2024</v>
      </c>
      <c r="H131" s="44" t="n">
        <v>0</v>
      </c>
      <c r="I131" s="43" t="n">
        <v>2024</v>
      </c>
      <c r="J131" s="43" t="n">
        <v>7</v>
      </c>
      <c r="K131" s="44" t="n">
        <v>62422</v>
      </c>
      <c r="L131" s="43" t="n">
        <v>2024</v>
      </c>
      <c r="M131" s="43" t="n">
        <v>8</v>
      </c>
      <c r="N131" s="44" t="n">
        <v>61918</v>
      </c>
      <c r="O131" s="43" t="n">
        <v>2024</v>
      </c>
      <c r="P131" s="43" t="n">
        <v>11</v>
      </c>
      <c r="Q131" s="44" t="n">
        <v>61918</v>
      </c>
      <c r="R131" s="43" t="s">
        <v>646</v>
      </c>
      <c r="S131" s="43" t="s">
        <v>83</v>
      </c>
      <c r="T131" s="43" t="s">
        <v>641</v>
      </c>
      <c r="U131" s="43" t="s">
        <v>647</v>
      </c>
      <c r="V131" s="43" t="n">
        <v>22</v>
      </c>
      <c r="W131" s="43" t="n">
        <v>98</v>
      </c>
      <c r="X131" s="43" t="n">
        <v>120</v>
      </c>
      <c r="Y131" s="43" t="s">
        <v>635</v>
      </c>
      <c r="Z131" s="43" t="s">
        <v>636</v>
      </c>
    </row>
    <row r="132" customFormat="false" ht="15" hidden="false" customHeight="false" outlineLevel="0" collapsed="false">
      <c r="A132" s="43" t="n">
        <v>130</v>
      </c>
      <c r="B132" s="43" t="s">
        <v>712</v>
      </c>
      <c r="C132" s="43" t="s">
        <v>713</v>
      </c>
      <c r="D132" s="43" t="s">
        <v>713</v>
      </c>
      <c r="E132" s="43" t="s">
        <v>137</v>
      </c>
      <c r="F132" s="43" t="s">
        <v>48</v>
      </c>
      <c r="G132" s="43" t="n">
        <v>2024</v>
      </c>
      <c r="H132" s="44" t="n">
        <v>0</v>
      </c>
      <c r="I132" s="43" t="n">
        <v>2024</v>
      </c>
      <c r="J132" s="43" t="n">
        <v>8</v>
      </c>
      <c r="K132" s="44" t="n">
        <v>82409</v>
      </c>
      <c r="L132" s="43" t="n">
        <v>2024</v>
      </c>
      <c r="M132" s="43" t="n">
        <v>9</v>
      </c>
      <c r="N132" s="44" t="n">
        <v>82408</v>
      </c>
      <c r="O132" s="43" t="n">
        <v>2024</v>
      </c>
      <c r="P132" s="43" t="n">
        <v>12</v>
      </c>
      <c r="Q132" s="44" t="n">
        <v>82408</v>
      </c>
      <c r="R132" s="43" t="s">
        <v>646</v>
      </c>
      <c r="S132" s="43" t="s">
        <v>83</v>
      </c>
      <c r="T132" s="43" t="s">
        <v>641</v>
      </c>
      <c r="U132" s="43" t="s">
        <v>647</v>
      </c>
      <c r="V132" s="43" t="n">
        <v>29</v>
      </c>
      <c r="W132" s="43" t="n">
        <v>87</v>
      </c>
      <c r="X132" s="43" t="n">
        <v>116</v>
      </c>
      <c r="Y132" s="43" t="s">
        <v>635</v>
      </c>
      <c r="Z132" s="43" t="s">
        <v>636</v>
      </c>
    </row>
    <row r="133" customFormat="false" ht="15" hidden="false" customHeight="false" outlineLevel="0" collapsed="false">
      <c r="A133" s="43" t="n">
        <v>131</v>
      </c>
      <c r="B133" s="43" t="s">
        <v>712</v>
      </c>
      <c r="C133" s="43" t="s">
        <v>713</v>
      </c>
      <c r="D133" s="43" t="s">
        <v>713</v>
      </c>
      <c r="E133" s="43" t="s">
        <v>137</v>
      </c>
      <c r="F133" s="43" t="s">
        <v>48</v>
      </c>
      <c r="G133" s="43" t="n">
        <v>2024</v>
      </c>
      <c r="H133" s="44" t="n">
        <v>0</v>
      </c>
      <c r="I133" s="43" t="n">
        <v>2024</v>
      </c>
      <c r="J133" s="43" t="n">
        <v>9</v>
      </c>
      <c r="K133" s="44" t="n">
        <v>37000</v>
      </c>
      <c r="L133" s="43" t="n">
        <v>2024</v>
      </c>
      <c r="M133" s="43" t="n">
        <v>11</v>
      </c>
      <c r="N133" s="44" t="n">
        <v>37255</v>
      </c>
      <c r="O133" s="43" t="n">
        <v>2025</v>
      </c>
      <c r="P133" s="43" t="n">
        <v>1</v>
      </c>
      <c r="Q133" s="44" t="n">
        <v>38659.5135</v>
      </c>
      <c r="R133" s="43" t="s">
        <v>646</v>
      </c>
      <c r="S133" s="43" t="s">
        <v>83</v>
      </c>
      <c r="T133" s="43" t="s">
        <v>641</v>
      </c>
      <c r="U133" s="43" t="s">
        <v>647</v>
      </c>
      <c r="V133" s="43" t="n">
        <v>54</v>
      </c>
      <c r="W133" s="43" t="n">
        <v>59</v>
      </c>
      <c r="X133" s="43" t="n">
        <v>113</v>
      </c>
      <c r="Y133" s="43" t="s">
        <v>635</v>
      </c>
      <c r="Z133" s="43" t="s">
        <v>636</v>
      </c>
    </row>
    <row r="134" customFormat="false" ht="15" hidden="false" customHeight="false" outlineLevel="0" collapsed="false">
      <c r="A134" s="43" t="n">
        <v>132</v>
      </c>
      <c r="B134" s="43" t="s">
        <v>712</v>
      </c>
      <c r="C134" s="43" t="s">
        <v>713</v>
      </c>
      <c r="D134" s="43" t="s">
        <v>713</v>
      </c>
      <c r="E134" s="43" t="s">
        <v>137</v>
      </c>
      <c r="F134" s="43" t="s">
        <v>48</v>
      </c>
      <c r="G134" s="43" t="n">
        <v>2024</v>
      </c>
      <c r="H134" s="44" t="n">
        <v>0</v>
      </c>
      <c r="I134" s="43" t="n">
        <v>2024</v>
      </c>
      <c r="J134" s="43" t="n">
        <v>10</v>
      </c>
      <c r="K134" s="44" t="n">
        <v>12795</v>
      </c>
      <c r="L134" s="43" t="n">
        <v>2024</v>
      </c>
      <c r="M134" s="43" t="n">
        <v>11</v>
      </c>
      <c r="N134" s="44" t="n">
        <v>12813</v>
      </c>
      <c r="O134" s="43" t="n">
        <v>2025</v>
      </c>
      <c r="P134" s="43" t="n">
        <v>1</v>
      </c>
      <c r="Q134" s="44" t="n">
        <v>13296.0501</v>
      </c>
      <c r="R134" s="43" t="s">
        <v>646</v>
      </c>
      <c r="S134" s="43" t="s">
        <v>83</v>
      </c>
      <c r="T134" s="43" t="s">
        <v>641</v>
      </c>
      <c r="U134" s="43" t="s">
        <v>647</v>
      </c>
      <c r="V134" s="43" t="n">
        <v>26</v>
      </c>
      <c r="W134" s="43" t="n">
        <v>59</v>
      </c>
      <c r="X134" s="43" t="n">
        <v>85</v>
      </c>
      <c r="Y134" s="43" t="s">
        <v>635</v>
      </c>
      <c r="Z134" s="43" t="s">
        <v>636</v>
      </c>
    </row>
    <row r="135" customFormat="false" ht="15" hidden="false" customHeight="false" outlineLevel="0" collapsed="false">
      <c r="A135" s="43" t="n">
        <v>133</v>
      </c>
      <c r="B135" s="43" t="s">
        <v>712</v>
      </c>
      <c r="C135" s="43" t="s">
        <v>713</v>
      </c>
      <c r="D135" s="43" t="s">
        <v>713</v>
      </c>
      <c r="E135" s="43" t="s">
        <v>137</v>
      </c>
      <c r="F135" s="43" t="s">
        <v>179</v>
      </c>
      <c r="G135" s="43" t="n">
        <v>2024</v>
      </c>
      <c r="H135" s="44" t="n">
        <v>0</v>
      </c>
      <c r="I135" s="43" t="n">
        <v>2024</v>
      </c>
      <c r="J135" s="43" t="n">
        <v>11</v>
      </c>
      <c r="K135" s="44" t="n">
        <v>45478</v>
      </c>
      <c r="L135" s="43" t="n">
        <v>2025</v>
      </c>
      <c r="M135" s="43" t="n">
        <v>1</v>
      </c>
      <c r="N135" s="44" t="n">
        <v>45478</v>
      </c>
      <c r="O135" s="43" t="n">
        <v>2025</v>
      </c>
      <c r="P135" s="43" t="n">
        <v>3</v>
      </c>
      <c r="Q135" s="44" t="n">
        <v>45478</v>
      </c>
      <c r="R135" s="43" t="s">
        <v>646</v>
      </c>
      <c r="S135" s="43" t="s">
        <v>83</v>
      </c>
      <c r="T135" s="43" t="s">
        <v>641</v>
      </c>
      <c r="U135" s="43" t="s">
        <v>647</v>
      </c>
      <c r="V135" s="43" t="n">
        <v>43</v>
      </c>
      <c r="W135" s="43" t="n">
        <v>55</v>
      </c>
      <c r="X135" s="43" t="n">
        <v>98</v>
      </c>
      <c r="Y135" s="43" t="s">
        <v>635</v>
      </c>
      <c r="Z135" s="43" t="s">
        <v>636</v>
      </c>
    </row>
    <row r="136" customFormat="false" ht="15" hidden="false" customHeight="false" outlineLevel="0" collapsed="false">
      <c r="A136" s="43" t="n">
        <v>134</v>
      </c>
      <c r="B136" s="43" t="s">
        <v>712</v>
      </c>
      <c r="C136" s="43" t="s">
        <v>713</v>
      </c>
      <c r="D136" s="43" t="s">
        <v>713</v>
      </c>
      <c r="E136" s="43" t="s">
        <v>137</v>
      </c>
      <c r="F136" s="43" t="s">
        <v>179</v>
      </c>
      <c r="G136" s="43" t="n">
        <v>2024</v>
      </c>
      <c r="H136" s="44" t="n">
        <v>0</v>
      </c>
      <c r="I136" s="43" t="n">
        <v>2024</v>
      </c>
      <c r="J136" s="43" t="n">
        <v>12</v>
      </c>
      <c r="K136" s="44" t="n">
        <v>21682</v>
      </c>
      <c r="L136" s="43" t="n">
        <v>2025</v>
      </c>
      <c r="M136" s="43" t="n">
        <v>1</v>
      </c>
      <c r="N136" s="44" t="n">
        <v>21682</v>
      </c>
      <c r="O136" s="43" t="n">
        <v>2025</v>
      </c>
      <c r="P136" s="43" t="n">
        <v>2</v>
      </c>
      <c r="Q136" s="44" t="n">
        <v>21682</v>
      </c>
      <c r="R136" s="43" t="s">
        <v>646</v>
      </c>
      <c r="S136" s="43" t="s">
        <v>83</v>
      </c>
      <c r="T136" s="43" t="s">
        <v>641</v>
      </c>
      <c r="U136" s="43" t="s">
        <v>647</v>
      </c>
      <c r="V136" s="43" t="n">
        <v>13</v>
      </c>
      <c r="W136" s="43" t="n">
        <v>37</v>
      </c>
      <c r="X136" s="43" t="n">
        <v>50</v>
      </c>
      <c r="Y136" s="43" t="s">
        <v>635</v>
      </c>
      <c r="Z136" s="43" t="s">
        <v>636</v>
      </c>
    </row>
    <row r="137" customFormat="false" ht="15" hidden="false" customHeight="false" outlineLevel="0" collapsed="false">
      <c r="A137" s="43" t="n">
        <v>135</v>
      </c>
      <c r="B137" s="43" t="s">
        <v>714</v>
      </c>
      <c r="C137" s="43" t="s">
        <v>715</v>
      </c>
      <c r="D137" s="43" t="s">
        <v>715</v>
      </c>
      <c r="E137" s="43" t="s">
        <v>137</v>
      </c>
      <c r="F137" s="43" t="s">
        <v>48</v>
      </c>
      <c r="G137" s="43" t="n">
        <v>2024</v>
      </c>
      <c r="H137" s="44" t="n">
        <v>0</v>
      </c>
      <c r="I137" s="43" t="n">
        <v>2024</v>
      </c>
      <c r="J137" s="43" t="n">
        <v>11</v>
      </c>
      <c r="K137" s="44" t="n">
        <v>31291</v>
      </c>
      <c r="L137" s="43" t="n">
        <v>2024</v>
      </c>
      <c r="M137" s="43" t="n">
        <v>12</v>
      </c>
      <c r="N137" s="44" t="n">
        <v>31291</v>
      </c>
      <c r="O137" s="43" t="n">
        <v>2025</v>
      </c>
      <c r="P137" s="43" t="n">
        <v>2</v>
      </c>
      <c r="Q137" s="44" t="n">
        <v>33657.7995</v>
      </c>
      <c r="R137" s="43" t="s">
        <v>646</v>
      </c>
      <c r="S137" s="43" t="s">
        <v>83</v>
      </c>
      <c r="T137" s="43" t="s">
        <v>641</v>
      </c>
      <c r="U137" s="43" t="s">
        <v>642</v>
      </c>
      <c r="V137" s="43" t="n">
        <v>34</v>
      </c>
      <c r="W137" s="43" t="n">
        <v>45</v>
      </c>
      <c r="X137" s="43" t="n">
        <v>79</v>
      </c>
      <c r="Y137" s="43" t="s">
        <v>635</v>
      </c>
      <c r="Z137" s="43" t="s">
        <v>636</v>
      </c>
    </row>
    <row r="138" customFormat="false" ht="15" hidden="false" customHeight="false" outlineLevel="0" collapsed="false">
      <c r="A138" s="43" t="n">
        <v>136</v>
      </c>
      <c r="B138" s="43" t="s">
        <v>714</v>
      </c>
      <c r="C138" s="43" t="s">
        <v>715</v>
      </c>
      <c r="D138" s="43" t="s">
        <v>715</v>
      </c>
      <c r="E138" s="43" t="s">
        <v>137</v>
      </c>
      <c r="F138" s="43" t="s">
        <v>48</v>
      </c>
      <c r="G138" s="43" t="n">
        <v>2024</v>
      </c>
      <c r="H138" s="44" t="n">
        <v>0</v>
      </c>
      <c r="I138" s="43" t="n">
        <v>2024</v>
      </c>
      <c r="J138" s="43" t="n">
        <v>12</v>
      </c>
      <c r="K138" s="44" t="n">
        <v>128932</v>
      </c>
      <c r="L138" s="43" t="n">
        <v>2024</v>
      </c>
      <c r="M138" s="43" t="n">
        <v>12</v>
      </c>
      <c r="N138" s="44" t="n">
        <v>128932</v>
      </c>
      <c r="O138" s="43" t="n">
        <v>2025</v>
      </c>
      <c r="P138" s="43" t="n">
        <v>2</v>
      </c>
      <c r="Q138" s="44" t="n">
        <v>138684.4542</v>
      </c>
      <c r="R138" s="43" t="s">
        <v>646</v>
      </c>
      <c r="S138" s="43" t="s">
        <v>83</v>
      </c>
      <c r="T138" s="43" t="s">
        <v>641</v>
      </c>
      <c r="U138" s="43" t="s">
        <v>642</v>
      </c>
      <c r="V138" s="43" t="n">
        <v>4</v>
      </c>
      <c r="W138" s="43" t="n">
        <v>45</v>
      </c>
      <c r="X138" s="43" t="n">
        <v>49</v>
      </c>
      <c r="Y138" s="43" t="s">
        <v>635</v>
      </c>
      <c r="Z138" s="43" t="s">
        <v>636</v>
      </c>
    </row>
    <row r="139" customFormat="false" ht="15" hidden="false" customHeight="false" outlineLevel="0" collapsed="false">
      <c r="A139" s="43" t="n">
        <v>137</v>
      </c>
      <c r="B139" s="43" t="s">
        <v>714</v>
      </c>
      <c r="C139" s="43" t="s">
        <v>715</v>
      </c>
      <c r="D139" s="43" t="s">
        <v>715</v>
      </c>
      <c r="E139" s="43" t="s">
        <v>137</v>
      </c>
      <c r="F139" s="43" t="s">
        <v>48</v>
      </c>
      <c r="G139" s="43" t="n">
        <v>2025</v>
      </c>
      <c r="H139" s="44" t="n">
        <v>0</v>
      </c>
      <c r="I139" s="43" t="n">
        <v>2025</v>
      </c>
      <c r="J139" s="43" t="n">
        <v>1</v>
      </c>
      <c r="K139" s="44" t="n">
        <v>31129</v>
      </c>
      <c r="L139" s="43" t="n">
        <v>2025</v>
      </c>
      <c r="M139" s="43" t="n">
        <v>5</v>
      </c>
      <c r="N139" s="44" t="n">
        <v>31129</v>
      </c>
      <c r="O139" s="43" t="n">
        <v>2025</v>
      </c>
      <c r="P139" s="43" t="n">
        <v>5</v>
      </c>
      <c r="Q139" s="44" t="n">
        <v>31129</v>
      </c>
      <c r="R139" s="43" t="s">
        <v>646</v>
      </c>
      <c r="S139" s="43" t="s">
        <v>83</v>
      </c>
      <c r="T139" s="43" t="s">
        <v>641</v>
      </c>
      <c r="U139" s="43" t="s">
        <v>642</v>
      </c>
      <c r="V139" s="43" t="n">
        <v>100</v>
      </c>
      <c r="W139" s="43" t="n">
        <v>8</v>
      </c>
      <c r="X139" s="43" t="n">
        <v>108</v>
      </c>
      <c r="Y139" s="43" t="s">
        <v>635</v>
      </c>
      <c r="Z139" s="43" t="s">
        <v>636</v>
      </c>
    </row>
    <row r="140" customFormat="false" ht="15" hidden="false" customHeight="false" outlineLevel="0" collapsed="false">
      <c r="A140" s="43" t="n">
        <v>138</v>
      </c>
      <c r="B140" s="43" t="s">
        <v>714</v>
      </c>
      <c r="C140" s="43" t="s">
        <v>715</v>
      </c>
      <c r="D140" s="43" t="s">
        <v>715</v>
      </c>
      <c r="E140" s="43" t="s">
        <v>137</v>
      </c>
      <c r="F140" s="43" t="s">
        <v>48</v>
      </c>
      <c r="G140" s="43" t="n">
        <v>2025</v>
      </c>
      <c r="H140" s="44" t="n">
        <v>0</v>
      </c>
      <c r="I140" s="43" t="n">
        <v>2025</v>
      </c>
      <c r="J140" s="43" t="n">
        <v>2</v>
      </c>
      <c r="K140" s="44" t="n">
        <v>4648</v>
      </c>
      <c r="L140" s="43" t="n">
        <v>2025</v>
      </c>
      <c r="M140" s="43" t="n">
        <v>5</v>
      </c>
      <c r="N140" s="44" t="n">
        <v>4648</v>
      </c>
      <c r="O140" s="43" t="n">
        <v>2025</v>
      </c>
      <c r="P140" s="43" t="n">
        <v>5</v>
      </c>
      <c r="Q140" s="44" t="n">
        <v>4648</v>
      </c>
      <c r="R140" s="43" t="s">
        <v>646</v>
      </c>
      <c r="S140" s="43" t="s">
        <v>83</v>
      </c>
      <c r="T140" s="43" t="s">
        <v>641</v>
      </c>
      <c r="U140" s="43" t="s">
        <v>642</v>
      </c>
      <c r="V140" s="43" t="n">
        <v>72</v>
      </c>
      <c r="W140" s="43" t="n">
        <v>8</v>
      </c>
      <c r="X140" s="43" t="n">
        <v>80</v>
      </c>
      <c r="Y140" s="43" t="s">
        <v>635</v>
      </c>
      <c r="Z140" s="43" t="s">
        <v>636</v>
      </c>
    </row>
    <row r="141" customFormat="false" ht="15" hidden="false" customHeight="false" outlineLevel="0" collapsed="false">
      <c r="A141" s="43" t="n">
        <v>139</v>
      </c>
      <c r="B141" s="43" t="s">
        <v>716</v>
      </c>
      <c r="C141" s="43" t="s">
        <v>717</v>
      </c>
      <c r="D141" s="43" t="s">
        <v>717</v>
      </c>
      <c r="E141" s="43" t="s">
        <v>137</v>
      </c>
      <c r="F141" s="43" t="s">
        <v>48</v>
      </c>
      <c r="G141" s="43" t="n">
        <v>2025</v>
      </c>
      <c r="H141" s="44" t="n">
        <v>0</v>
      </c>
      <c r="I141" s="43" t="n">
        <v>2025</v>
      </c>
      <c r="J141" s="43" t="n">
        <v>8</v>
      </c>
      <c r="K141" s="44" t="n">
        <v>39515</v>
      </c>
      <c r="L141" s="43" t="n">
        <v>2025</v>
      </c>
      <c r="M141" s="43" t="n">
        <v>9</v>
      </c>
      <c r="N141" s="44" t="n">
        <v>39515</v>
      </c>
      <c r="O141" s="43" t="n">
        <v>2025</v>
      </c>
      <c r="P141" s="43" t="n">
        <v>10</v>
      </c>
      <c r="Q141" s="44" t="n">
        <v>39515</v>
      </c>
      <c r="R141" s="43" t="s">
        <v>651</v>
      </c>
      <c r="S141" s="43" t="s">
        <v>85</v>
      </c>
      <c r="T141" s="43" t="s">
        <v>633</v>
      </c>
      <c r="U141" s="43" t="s">
        <v>647</v>
      </c>
      <c r="V141" s="43" t="n">
        <v>27</v>
      </c>
      <c r="W141" s="43" t="n">
        <v>15</v>
      </c>
      <c r="X141" s="43" t="n">
        <v>42</v>
      </c>
      <c r="Y141" s="43" t="s">
        <v>635</v>
      </c>
      <c r="Z141" s="43" t="s">
        <v>636</v>
      </c>
    </row>
    <row r="142" customFormat="false" ht="15" hidden="false" customHeight="false" outlineLevel="0" collapsed="false">
      <c r="A142" s="43" t="n">
        <v>140</v>
      </c>
      <c r="B142" s="43" t="s">
        <v>716</v>
      </c>
      <c r="C142" s="43" t="s">
        <v>717</v>
      </c>
      <c r="D142" s="43" t="s">
        <v>717</v>
      </c>
      <c r="E142" s="43" t="s">
        <v>137</v>
      </c>
      <c r="F142" s="43" t="s">
        <v>48</v>
      </c>
      <c r="G142" s="43" t="n">
        <v>2025</v>
      </c>
      <c r="H142" s="44" t="n">
        <v>0</v>
      </c>
      <c r="I142" s="43" t="n">
        <v>2025</v>
      </c>
      <c r="J142" s="43" t="n">
        <v>9</v>
      </c>
      <c r="K142" s="44" t="n">
        <v>48782</v>
      </c>
      <c r="L142" s="43" t="n">
        <v>2025</v>
      </c>
      <c r="M142" s="43" t="n">
        <v>10</v>
      </c>
      <c r="N142" s="44" t="n">
        <v>27100</v>
      </c>
      <c r="O142" s="43" t="n">
        <v>2025</v>
      </c>
      <c r="P142" s="43" t="n">
        <v>12</v>
      </c>
      <c r="Q142" s="44" t="n">
        <v>33550</v>
      </c>
      <c r="R142" s="43" t="s">
        <v>651</v>
      </c>
      <c r="S142" s="43" t="s">
        <v>85</v>
      </c>
      <c r="T142" s="43" t="s">
        <v>633</v>
      </c>
      <c r="U142" s="43" t="s">
        <v>647</v>
      </c>
      <c r="V142" s="43" t="n">
        <v>22</v>
      </c>
      <c r="W142" s="43" t="n">
        <v>56</v>
      </c>
      <c r="X142" s="43" t="n">
        <v>78</v>
      </c>
      <c r="Y142" s="43" t="s">
        <v>635</v>
      </c>
      <c r="Z142" s="43" t="s">
        <v>636</v>
      </c>
    </row>
    <row r="143" customFormat="false" ht="15" hidden="false" customHeight="false" outlineLevel="0" collapsed="false">
      <c r="A143" s="43" t="n">
        <v>141</v>
      </c>
      <c r="B143" s="43" t="s">
        <v>716</v>
      </c>
      <c r="C143" s="43" t="s">
        <v>717</v>
      </c>
      <c r="D143" s="43" t="s">
        <v>717</v>
      </c>
      <c r="E143" s="43" t="s">
        <v>137</v>
      </c>
      <c r="F143" s="43" t="s">
        <v>48</v>
      </c>
      <c r="G143" s="43" t="n">
        <v>2025</v>
      </c>
      <c r="H143" s="44" t="n">
        <v>0</v>
      </c>
      <c r="I143" s="43" t="n">
        <v>2025</v>
      </c>
      <c r="J143" s="43" t="n">
        <v>10</v>
      </c>
      <c r="K143" s="44" t="n">
        <v>59984</v>
      </c>
      <c r="L143" s="43" t="n">
        <v>2025</v>
      </c>
      <c r="M143" s="43" t="n">
        <v>12</v>
      </c>
      <c r="N143" s="44" t="n">
        <v>28270</v>
      </c>
      <c r="O143" s="43" t="n">
        <v>2026</v>
      </c>
      <c r="P143" s="43" t="n">
        <v>1</v>
      </c>
      <c r="Q143" s="44" t="n">
        <v>28270</v>
      </c>
      <c r="R143" s="43" t="s">
        <v>651</v>
      </c>
      <c r="S143" s="43" t="s">
        <v>85</v>
      </c>
      <c r="T143" s="43" t="s">
        <v>633</v>
      </c>
      <c r="U143" s="43" t="s">
        <v>647</v>
      </c>
      <c r="V143" s="43" t="n">
        <v>38</v>
      </c>
      <c r="W143" s="43" t="n">
        <v>31</v>
      </c>
      <c r="X143" s="43" t="n">
        <v>69</v>
      </c>
      <c r="Y143" s="43" t="s">
        <v>635</v>
      </c>
      <c r="Z143" s="43" t="s">
        <v>636</v>
      </c>
    </row>
    <row r="144" customFormat="false" ht="15" hidden="false" customHeight="false" outlineLevel="0" collapsed="false">
      <c r="A144" s="43" t="n">
        <v>142</v>
      </c>
      <c r="B144" s="43" t="s">
        <v>716</v>
      </c>
      <c r="C144" s="43" t="s">
        <v>717</v>
      </c>
      <c r="D144" s="43" t="s">
        <v>717</v>
      </c>
      <c r="E144" s="43" t="s">
        <v>137</v>
      </c>
      <c r="F144" s="43" t="s">
        <v>48</v>
      </c>
      <c r="G144" s="43" t="n">
        <v>2025</v>
      </c>
      <c r="H144" s="44" t="n">
        <v>0</v>
      </c>
      <c r="I144" s="43"/>
      <c r="J144" s="43"/>
      <c r="K144" s="44" t="n">
        <v>0</v>
      </c>
      <c r="L144" s="43" t="n">
        <v>2025</v>
      </c>
      <c r="M144" s="43" t="n">
        <v>12</v>
      </c>
      <c r="N144" s="44" t="n">
        <v>15496</v>
      </c>
      <c r="O144" s="43" t="n">
        <v>2026</v>
      </c>
      <c r="P144" s="43" t="n">
        <v>2</v>
      </c>
      <c r="Q144" s="44" t="n">
        <v>15496</v>
      </c>
      <c r="R144" s="43" t="s">
        <v>651</v>
      </c>
      <c r="S144" s="43" t="s">
        <v>85</v>
      </c>
      <c r="T144" s="43" t="s">
        <v>633</v>
      </c>
      <c r="U144" s="43" t="s">
        <v>647</v>
      </c>
      <c r="V144" s="43"/>
      <c r="W144" s="43" t="n">
        <v>73</v>
      </c>
      <c r="X144" s="43"/>
      <c r="Y144" s="43" t="s">
        <v>635</v>
      </c>
      <c r="Z144" s="43" t="s">
        <v>636</v>
      </c>
    </row>
    <row r="145" customFormat="false" ht="15" hidden="false" customHeight="false" outlineLevel="0" collapsed="false">
      <c r="A145" s="43" t="n">
        <v>143</v>
      </c>
      <c r="B145" s="43" t="s">
        <v>716</v>
      </c>
      <c r="C145" s="43" t="s">
        <v>717</v>
      </c>
      <c r="D145" s="43" t="s">
        <v>717</v>
      </c>
      <c r="E145" s="43" t="s">
        <v>137</v>
      </c>
      <c r="F145" s="43" t="s">
        <v>63</v>
      </c>
      <c r="G145" s="43" t="n">
        <v>2025</v>
      </c>
      <c r="H145" s="44" t="n">
        <v>0</v>
      </c>
      <c r="I145" s="43"/>
      <c r="J145" s="43"/>
      <c r="K145" s="44" t="n">
        <v>0</v>
      </c>
      <c r="L145" s="43" t="n">
        <v>2025</v>
      </c>
      <c r="M145" s="43" t="n">
        <v>10</v>
      </c>
      <c r="N145" s="44" t="n">
        <v>38000</v>
      </c>
      <c r="O145" s="43" t="n">
        <v>2026</v>
      </c>
      <c r="P145" s="43" t="n">
        <v>4</v>
      </c>
      <c r="Q145" s="44" t="n">
        <v>38000</v>
      </c>
      <c r="R145" s="43" t="s">
        <v>651</v>
      </c>
      <c r="S145" s="43" t="s">
        <v>85</v>
      </c>
      <c r="T145" s="43" t="s">
        <v>633</v>
      </c>
      <c r="U145" s="43" t="s">
        <v>647</v>
      </c>
      <c r="V145" s="43"/>
      <c r="W145" s="43" t="n">
        <v>162</v>
      </c>
      <c r="X145" s="43"/>
      <c r="Y145" s="43" t="s">
        <v>635</v>
      </c>
      <c r="Z145" s="43" t="s">
        <v>636</v>
      </c>
    </row>
    <row r="146" customFormat="false" ht="15" hidden="false" customHeight="false" outlineLevel="0" collapsed="false">
      <c r="A146" s="43" t="n">
        <v>144</v>
      </c>
      <c r="B146" s="43" t="s">
        <v>718</v>
      </c>
      <c r="C146" s="43" t="s">
        <v>719</v>
      </c>
      <c r="D146" s="43" t="s">
        <v>719</v>
      </c>
      <c r="E146" s="43" t="s">
        <v>161</v>
      </c>
      <c r="F146" s="43" t="s">
        <v>62</v>
      </c>
      <c r="G146" s="43" t="n">
        <v>2025</v>
      </c>
      <c r="H146" s="44" t="n">
        <v>0</v>
      </c>
      <c r="I146" s="43" t="n">
        <v>2025</v>
      </c>
      <c r="J146" s="43" t="n">
        <v>9</v>
      </c>
      <c r="K146" s="44" t="n">
        <v>28949</v>
      </c>
      <c r="L146" s="43" t="n">
        <v>2025</v>
      </c>
      <c r="M146" s="43" t="n">
        <v>9</v>
      </c>
      <c r="N146" s="44" t="n">
        <v>28366.7889908257</v>
      </c>
      <c r="O146" s="43" t="n">
        <v>2025</v>
      </c>
      <c r="P146" s="43" t="n">
        <v>11</v>
      </c>
      <c r="Q146" s="44" t="n">
        <v>27222</v>
      </c>
      <c r="R146" s="43" t="s">
        <v>651</v>
      </c>
      <c r="S146" s="43" t="s">
        <v>85</v>
      </c>
      <c r="T146" s="43" t="s">
        <v>633</v>
      </c>
      <c r="U146" s="43" t="s">
        <v>647</v>
      </c>
      <c r="V146" s="43" t="n">
        <v>9</v>
      </c>
      <c r="W146" s="43" t="n">
        <v>61</v>
      </c>
      <c r="X146" s="43" t="n">
        <v>70</v>
      </c>
      <c r="Y146" s="43" t="s">
        <v>635</v>
      </c>
      <c r="Z146" s="43" t="s">
        <v>636</v>
      </c>
    </row>
    <row r="147" customFormat="false" ht="15" hidden="false" customHeight="false" outlineLevel="0" collapsed="false">
      <c r="A147" s="43" t="n">
        <v>145</v>
      </c>
      <c r="B147" s="43" t="s">
        <v>718</v>
      </c>
      <c r="C147" s="43" t="s">
        <v>719</v>
      </c>
      <c r="D147" s="43" t="s">
        <v>719</v>
      </c>
      <c r="E147" s="43" t="s">
        <v>161</v>
      </c>
      <c r="F147" s="43" t="s">
        <v>62</v>
      </c>
      <c r="G147" s="43" t="n">
        <v>2025</v>
      </c>
      <c r="H147" s="44" t="n">
        <v>0</v>
      </c>
      <c r="I147" s="43" t="n">
        <v>2025</v>
      </c>
      <c r="J147" s="43" t="n">
        <v>10</v>
      </c>
      <c r="K147" s="44" t="n">
        <v>31572</v>
      </c>
      <c r="L147" s="43" t="n">
        <v>2025</v>
      </c>
      <c r="M147" s="43" t="n">
        <v>10</v>
      </c>
      <c r="N147" s="44" t="n">
        <v>29686</v>
      </c>
      <c r="O147" s="43" t="n">
        <v>2026</v>
      </c>
      <c r="P147" s="43" t="n">
        <v>1</v>
      </c>
      <c r="Q147" s="44" t="n">
        <v>30711</v>
      </c>
      <c r="R147" s="43" t="s">
        <v>651</v>
      </c>
      <c r="S147" s="43" t="s">
        <v>85</v>
      </c>
      <c r="T147" s="43" t="s">
        <v>633</v>
      </c>
      <c r="U147" s="43" t="s">
        <v>647</v>
      </c>
      <c r="V147" s="43" t="n">
        <v>2</v>
      </c>
      <c r="W147" s="43" t="n">
        <v>80</v>
      </c>
      <c r="X147" s="43" t="n">
        <v>82</v>
      </c>
      <c r="Y147" s="43" t="s">
        <v>635</v>
      </c>
      <c r="Z147" s="43" t="s">
        <v>636</v>
      </c>
    </row>
    <row r="148" customFormat="false" ht="15" hidden="false" customHeight="false" outlineLevel="0" collapsed="false">
      <c r="A148" s="43" t="n">
        <v>146</v>
      </c>
      <c r="B148" s="43" t="s">
        <v>718</v>
      </c>
      <c r="C148" s="43" t="s">
        <v>719</v>
      </c>
      <c r="D148" s="43" t="s">
        <v>719</v>
      </c>
      <c r="E148" s="43" t="s">
        <v>161</v>
      </c>
      <c r="F148" s="43" t="s">
        <v>62</v>
      </c>
      <c r="G148" s="43" t="n">
        <v>2025</v>
      </c>
      <c r="H148" s="44" t="n">
        <v>0</v>
      </c>
      <c r="I148" s="43" t="n">
        <v>2025</v>
      </c>
      <c r="J148" s="43" t="n">
        <v>11</v>
      </c>
      <c r="K148" s="44" t="n">
        <v>11994</v>
      </c>
      <c r="L148" s="43" t="n">
        <v>2025</v>
      </c>
      <c r="M148" s="43" t="n">
        <v>11</v>
      </c>
      <c r="N148" s="44" t="n">
        <v>11994</v>
      </c>
      <c r="O148" s="43" t="n">
        <v>2026</v>
      </c>
      <c r="P148" s="43" t="n">
        <v>1</v>
      </c>
      <c r="Q148" s="44" t="n">
        <v>11459</v>
      </c>
      <c r="R148" s="43" t="s">
        <v>651</v>
      </c>
      <c r="S148" s="43" t="s">
        <v>85</v>
      </c>
      <c r="T148" s="43" t="s">
        <v>633</v>
      </c>
      <c r="U148" s="43" t="s">
        <v>647</v>
      </c>
      <c r="V148" s="43" t="n">
        <v>2</v>
      </c>
      <c r="W148" s="43" t="n">
        <v>67</v>
      </c>
      <c r="X148" s="43" t="n">
        <v>69</v>
      </c>
      <c r="Y148" s="43" t="s">
        <v>635</v>
      </c>
      <c r="Z148" s="43" t="s">
        <v>636</v>
      </c>
    </row>
    <row r="149" customFormat="false" ht="15" hidden="false" customHeight="false" outlineLevel="0" collapsed="false">
      <c r="A149" s="43" t="n">
        <v>147</v>
      </c>
      <c r="B149" s="43" t="s">
        <v>718</v>
      </c>
      <c r="C149" s="43" t="s">
        <v>719</v>
      </c>
      <c r="D149" s="43" t="s">
        <v>719</v>
      </c>
      <c r="E149" s="43" t="s">
        <v>161</v>
      </c>
      <c r="F149" s="43" t="s">
        <v>62</v>
      </c>
      <c r="G149" s="43" t="n">
        <v>2026</v>
      </c>
      <c r="H149" s="44" t="n">
        <v>0</v>
      </c>
      <c r="I149" s="43" t="n">
        <v>2026</v>
      </c>
      <c r="J149" s="43" t="n">
        <v>1</v>
      </c>
      <c r="K149" s="44" t="n">
        <v>7778</v>
      </c>
      <c r="L149" s="43" t="n">
        <v>2026</v>
      </c>
      <c r="M149" s="43" t="n">
        <v>1</v>
      </c>
      <c r="N149" s="44" t="n">
        <v>7778</v>
      </c>
      <c r="O149" s="43" t="n">
        <v>2026</v>
      </c>
      <c r="P149" s="43" t="n">
        <v>3</v>
      </c>
      <c r="Q149" s="44" t="n">
        <v>8749</v>
      </c>
      <c r="R149" s="43" t="s">
        <v>651</v>
      </c>
      <c r="S149" s="43" t="s">
        <v>85</v>
      </c>
      <c r="T149" s="43" t="s">
        <v>633</v>
      </c>
      <c r="U149" s="43" t="s">
        <v>647</v>
      </c>
      <c r="V149" s="43" t="n">
        <v>2</v>
      </c>
      <c r="W149" s="43" t="n">
        <v>60</v>
      </c>
      <c r="X149" s="43" t="n">
        <v>62</v>
      </c>
      <c r="Y149" s="43" t="s">
        <v>635</v>
      </c>
      <c r="Z149" s="43" t="s">
        <v>636</v>
      </c>
    </row>
    <row r="150" customFormat="false" ht="15" hidden="false" customHeight="false" outlineLevel="0" collapsed="false">
      <c r="A150" s="43" t="n">
        <v>148</v>
      </c>
      <c r="B150" s="43" t="s">
        <v>720</v>
      </c>
      <c r="C150" s="43" t="s">
        <v>721</v>
      </c>
      <c r="D150" s="43" t="s">
        <v>721</v>
      </c>
      <c r="E150" s="43" t="s">
        <v>722</v>
      </c>
      <c r="F150" s="43" t="s">
        <v>61</v>
      </c>
      <c r="G150" s="43" t="n">
        <v>2024</v>
      </c>
      <c r="H150" s="44" t="n">
        <v>0</v>
      </c>
      <c r="I150" s="43" t="n">
        <v>2024</v>
      </c>
      <c r="J150" s="43" t="n">
        <v>11</v>
      </c>
      <c r="K150" s="44" t="n">
        <v>12843</v>
      </c>
      <c r="L150" s="43" t="n">
        <v>2024</v>
      </c>
      <c r="M150" s="43" t="n">
        <v>12</v>
      </c>
      <c r="N150" s="44" t="n">
        <v>12843</v>
      </c>
      <c r="O150" s="43" t="n">
        <v>2025</v>
      </c>
      <c r="P150" s="43" t="n">
        <v>1</v>
      </c>
      <c r="Q150" s="44" t="n">
        <v>13240</v>
      </c>
      <c r="R150" s="43" t="s">
        <v>651</v>
      </c>
      <c r="S150" s="43" t="s">
        <v>85</v>
      </c>
      <c r="T150" s="43" t="s">
        <v>633</v>
      </c>
      <c r="U150" s="43" t="s">
        <v>647</v>
      </c>
      <c r="V150" s="43" t="n">
        <v>13</v>
      </c>
      <c r="W150" s="43" t="n">
        <v>49</v>
      </c>
      <c r="X150" s="43" t="n">
        <v>62</v>
      </c>
      <c r="Y150" s="43" t="s">
        <v>635</v>
      </c>
      <c r="Z150" s="43" t="s">
        <v>636</v>
      </c>
    </row>
    <row r="151" customFormat="false" ht="15" hidden="false" customHeight="false" outlineLevel="0" collapsed="false">
      <c r="A151" s="43" t="n">
        <v>149</v>
      </c>
      <c r="B151" s="43" t="s">
        <v>720</v>
      </c>
      <c r="C151" s="43" t="s">
        <v>721</v>
      </c>
      <c r="D151" s="43" t="s">
        <v>721</v>
      </c>
      <c r="E151" s="43" t="s">
        <v>722</v>
      </c>
      <c r="F151" s="43" t="s">
        <v>61</v>
      </c>
      <c r="G151" s="43" t="n">
        <v>2024</v>
      </c>
      <c r="H151" s="44" t="n">
        <v>0</v>
      </c>
      <c r="I151" s="43" t="n">
        <v>2024</v>
      </c>
      <c r="J151" s="43" t="n">
        <v>12</v>
      </c>
      <c r="K151" s="44" t="n">
        <v>6857</v>
      </c>
      <c r="L151" s="43" t="n">
        <v>2024</v>
      </c>
      <c r="M151" s="43" t="n">
        <v>12</v>
      </c>
      <c r="N151" s="44" t="n">
        <v>6857</v>
      </c>
      <c r="O151" s="43" t="n">
        <v>2025</v>
      </c>
      <c r="P151" s="43" t="n">
        <v>1</v>
      </c>
      <c r="Q151" s="44" t="n">
        <v>7216</v>
      </c>
      <c r="R151" s="43" t="s">
        <v>651</v>
      </c>
      <c r="S151" s="43" t="s">
        <v>85</v>
      </c>
      <c r="T151" s="43" t="s">
        <v>633</v>
      </c>
      <c r="U151" s="43" t="s">
        <v>647</v>
      </c>
      <c r="V151" s="43" t="n">
        <v>4</v>
      </c>
      <c r="W151" s="43" t="n">
        <v>31</v>
      </c>
      <c r="X151" s="43" t="n">
        <v>35</v>
      </c>
      <c r="Y151" s="43" t="s">
        <v>635</v>
      </c>
      <c r="Z151" s="43" t="s">
        <v>636</v>
      </c>
    </row>
    <row r="152" customFormat="false" ht="15" hidden="false" customHeight="false" outlineLevel="0" collapsed="false">
      <c r="A152" s="43" t="n">
        <v>150</v>
      </c>
      <c r="B152" s="43" t="s">
        <v>723</v>
      </c>
      <c r="C152" s="43" t="s">
        <v>724</v>
      </c>
      <c r="D152" s="43" t="s">
        <v>725</v>
      </c>
      <c r="E152" s="43" t="s">
        <v>131</v>
      </c>
      <c r="F152" s="43" t="s">
        <v>48</v>
      </c>
      <c r="G152" s="43" t="n">
        <v>2022</v>
      </c>
      <c r="H152" s="44" t="n">
        <v>0</v>
      </c>
      <c r="I152" s="43" t="n">
        <v>2022</v>
      </c>
      <c r="J152" s="43" t="n">
        <v>11</v>
      </c>
      <c r="K152" s="44" t="n">
        <v>33776</v>
      </c>
      <c r="L152" s="43" t="n">
        <v>2022</v>
      </c>
      <c r="M152" s="43" t="n">
        <v>12</v>
      </c>
      <c r="N152" s="44" t="n">
        <v>33776</v>
      </c>
      <c r="O152" s="43" t="n">
        <v>2022</v>
      </c>
      <c r="P152" s="43" t="n">
        <v>12</v>
      </c>
      <c r="Q152" s="44" t="n">
        <v>32087</v>
      </c>
      <c r="R152" s="43" t="s">
        <v>687</v>
      </c>
      <c r="S152" s="43" t="s">
        <v>83</v>
      </c>
      <c r="T152" s="43" t="s">
        <v>641</v>
      </c>
      <c r="U152" s="43" t="s">
        <v>642</v>
      </c>
      <c r="V152" s="43" t="n">
        <v>15</v>
      </c>
      <c r="W152" s="43" t="n">
        <v>25</v>
      </c>
      <c r="X152" s="43" t="n">
        <v>40</v>
      </c>
      <c r="Y152" s="43" t="s">
        <v>635</v>
      </c>
      <c r="Z152" s="43" t="s">
        <v>636</v>
      </c>
    </row>
    <row r="153" customFormat="false" ht="15" hidden="false" customHeight="false" outlineLevel="0" collapsed="false">
      <c r="A153" s="43" t="n">
        <v>151</v>
      </c>
      <c r="B153" s="43" t="s">
        <v>723</v>
      </c>
      <c r="C153" s="43" t="s">
        <v>724</v>
      </c>
      <c r="D153" s="43" t="s">
        <v>725</v>
      </c>
      <c r="E153" s="43" t="s">
        <v>131</v>
      </c>
      <c r="F153" s="43" t="s">
        <v>48</v>
      </c>
      <c r="G153" s="43" t="n">
        <v>2022</v>
      </c>
      <c r="H153" s="44" t="n">
        <v>0</v>
      </c>
      <c r="I153" s="43" t="n">
        <v>2022</v>
      </c>
      <c r="J153" s="43" t="n">
        <v>12</v>
      </c>
      <c r="K153" s="44" t="n">
        <v>40354.33</v>
      </c>
      <c r="L153" s="43" t="n">
        <v>2023</v>
      </c>
      <c r="M153" s="43" t="n">
        <v>1</v>
      </c>
      <c r="N153" s="44" t="n">
        <v>40354</v>
      </c>
      <c r="O153" s="43" t="n">
        <v>2023</v>
      </c>
      <c r="P153" s="43" t="n">
        <v>2</v>
      </c>
      <c r="Q153" s="44" t="n">
        <v>38336.3</v>
      </c>
      <c r="R153" s="43" t="s">
        <v>687</v>
      </c>
      <c r="S153" s="43" t="s">
        <v>83</v>
      </c>
      <c r="T153" s="43" t="s">
        <v>641</v>
      </c>
      <c r="U153" s="43" t="s">
        <v>642</v>
      </c>
      <c r="V153" s="43" t="n">
        <v>16</v>
      </c>
      <c r="W153" s="43" t="n">
        <v>26</v>
      </c>
      <c r="X153" s="43" t="n">
        <v>42</v>
      </c>
      <c r="Y153" s="43" t="s">
        <v>635</v>
      </c>
      <c r="Z153" s="43" t="s">
        <v>636</v>
      </c>
    </row>
    <row r="154" customFormat="false" ht="15" hidden="false" customHeight="false" outlineLevel="0" collapsed="false">
      <c r="A154" s="43" t="n">
        <v>152</v>
      </c>
      <c r="B154" s="43" t="s">
        <v>723</v>
      </c>
      <c r="C154" s="43" t="s">
        <v>724</v>
      </c>
      <c r="D154" s="43" t="s">
        <v>725</v>
      </c>
      <c r="E154" s="43" t="s">
        <v>131</v>
      </c>
      <c r="F154" s="43" t="s">
        <v>48</v>
      </c>
      <c r="G154" s="43" t="n">
        <v>2023</v>
      </c>
      <c r="H154" s="44" t="n">
        <v>0</v>
      </c>
      <c r="I154" s="43" t="n">
        <v>2023</v>
      </c>
      <c r="J154" s="43" t="n">
        <v>1</v>
      </c>
      <c r="K154" s="44" t="n">
        <v>49647.786125</v>
      </c>
      <c r="L154" s="43" t="n">
        <v>2023</v>
      </c>
      <c r="M154" s="43" t="n">
        <v>2</v>
      </c>
      <c r="N154" s="44" t="n">
        <v>49647.786125</v>
      </c>
      <c r="O154" s="43" t="n">
        <v>2023</v>
      </c>
      <c r="P154" s="43" t="n">
        <v>2</v>
      </c>
      <c r="Q154" s="44" t="n">
        <v>47165.39681875</v>
      </c>
      <c r="R154" s="43" t="s">
        <v>687</v>
      </c>
      <c r="S154" s="43" t="s">
        <v>83</v>
      </c>
      <c r="T154" s="43" t="s">
        <v>641</v>
      </c>
      <c r="U154" s="43" t="s">
        <v>642</v>
      </c>
      <c r="V154" s="43" t="n">
        <v>17</v>
      </c>
      <c r="W154" s="43" t="n">
        <v>8</v>
      </c>
      <c r="X154" s="43" t="n">
        <v>25</v>
      </c>
      <c r="Y154" s="43" t="s">
        <v>635</v>
      </c>
      <c r="Z154" s="43" t="s">
        <v>636</v>
      </c>
    </row>
    <row r="155" customFormat="false" ht="15" hidden="false" customHeight="false" outlineLevel="0" collapsed="false">
      <c r="A155" s="43" t="n">
        <v>153</v>
      </c>
      <c r="B155" s="43" t="s">
        <v>723</v>
      </c>
      <c r="C155" s="43" t="s">
        <v>724</v>
      </c>
      <c r="D155" s="43" t="s">
        <v>725</v>
      </c>
      <c r="E155" s="43" t="s">
        <v>131</v>
      </c>
      <c r="F155" s="43" t="s">
        <v>48</v>
      </c>
      <c r="G155" s="43" t="n">
        <v>2023</v>
      </c>
      <c r="H155" s="44" t="n">
        <v>0</v>
      </c>
      <c r="I155" s="43" t="n">
        <v>2023</v>
      </c>
      <c r="J155" s="43" t="n">
        <v>2</v>
      </c>
      <c r="K155" s="44" t="n">
        <v>96769.5125</v>
      </c>
      <c r="L155" s="43" t="n">
        <v>2023</v>
      </c>
      <c r="M155" s="43" t="n">
        <v>3</v>
      </c>
      <c r="N155" s="44" t="n">
        <v>96769.5125</v>
      </c>
      <c r="O155" s="43" t="n">
        <v>2023</v>
      </c>
      <c r="P155" s="43" t="n">
        <v>3</v>
      </c>
      <c r="Q155" s="44" t="n">
        <v>91931.036875</v>
      </c>
      <c r="R155" s="43" t="s">
        <v>687</v>
      </c>
      <c r="S155" s="43" t="s">
        <v>83</v>
      </c>
      <c r="T155" s="43" t="s">
        <v>641</v>
      </c>
      <c r="U155" s="43" t="s">
        <v>642</v>
      </c>
      <c r="V155" s="43" t="n">
        <v>16</v>
      </c>
      <c r="W155" s="43" t="n">
        <v>8</v>
      </c>
      <c r="X155" s="43" t="n">
        <v>24</v>
      </c>
      <c r="Y155" s="43" t="s">
        <v>635</v>
      </c>
      <c r="Z155" s="43" t="s">
        <v>636</v>
      </c>
    </row>
    <row r="156" customFormat="false" ht="15" hidden="false" customHeight="false" outlineLevel="0" collapsed="false">
      <c r="A156" s="43" t="n">
        <v>154</v>
      </c>
      <c r="B156" s="43" t="s">
        <v>723</v>
      </c>
      <c r="C156" s="43" t="s">
        <v>724</v>
      </c>
      <c r="D156" s="43" t="s">
        <v>725</v>
      </c>
      <c r="E156" s="43" t="s">
        <v>131</v>
      </c>
      <c r="F156" s="43" t="s">
        <v>48</v>
      </c>
      <c r="G156" s="43" t="n">
        <v>2023</v>
      </c>
      <c r="H156" s="44" t="n">
        <v>0</v>
      </c>
      <c r="I156" s="43" t="n">
        <v>2023</v>
      </c>
      <c r="J156" s="43" t="n">
        <v>3</v>
      </c>
      <c r="K156" s="44" t="n">
        <v>78184.51125</v>
      </c>
      <c r="L156" s="43" t="n">
        <v>2023</v>
      </c>
      <c r="M156" s="43" t="n">
        <v>4</v>
      </c>
      <c r="N156" s="44" t="n">
        <v>78184.51125</v>
      </c>
      <c r="O156" s="43" t="n">
        <v>2023</v>
      </c>
      <c r="P156" s="43" t="n">
        <v>4</v>
      </c>
      <c r="Q156" s="44" t="n">
        <v>74275.2856875</v>
      </c>
      <c r="R156" s="43" t="s">
        <v>687</v>
      </c>
      <c r="S156" s="43" t="s">
        <v>83</v>
      </c>
      <c r="T156" s="43" t="s">
        <v>641</v>
      </c>
      <c r="U156" s="43" t="s">
        <v>642</v>
      </c>
      <c r="V156" s="43" t="n">
        <v>15</v>
      </c>
      <c r="W156" s="43" t="n">
        <v>16</v>
      </c>
      <c r="X156" s="43" t="n">
        <v>31</v>
      </c>
      <c r="Y156" s="43" t="s">
        <v>635</v>
      </c>
      <c r="Z156" s="43" t="s">
        <v>636</v>
      </c>
    </row>
    <row r="157" customFormat="false" ht="15" hidden="false" customHeight="false" outlineLevel="0" collapsed="false">
      <c r="A157" s="43" t="n">
        <v>155</v>
      </c>
      <c r="B157" s="43" t="s">
        <v>723</v>
      </c>
      <c r="C157" s="43" t="s">
        <v>724</v>
      </c>
      <c r="D157" s="43" t="s">
        <v>725</v>
      </c>
      <c r="E157" s="43" t="s">
        <v>131</v>
      </c>
      <c r="F157" s="43" t="s">
        <v>48</v>
      </c>
      <c r="G157" s="43" t="n">
        <v>2023</v>
      </c>
      <c r="H157" s="44" t="n">
        <v>0</v>
      </c>
      <c r="I157" s="43" t="n">
        <v>2023</v>
      </c>
      <c r="J157" s="43" t="n">
        <v>4</v>
      </c>
      <c r="K157" s="44" t="n">
        <v>58833</v>
      </c>
      <c r="L157" s="43" t="n">
        <v>2023</v>
      </c>
      <c r="M157" s="43" t="n">
        <v>5</v>
      </c>
      <c r="N157" s="44" t="n">
        <v>59657.62</v>
      </c>
      <c r="O157" s="43" t="n">
        <v>2023</v>
      </c>
      <c r="P157" s="43" t="n">
        <v>5</v>
      </c>
      <c r="Q157" s="44" t="n">
        <v>56674.739</v>
      </c>
      <c r="R157" s="43" t="s">
        <v>687</v>
      </c>
      <c r="S157" s="43" t="s">
        <v>83</v>
      </c>
      <c r="T157" s="43" t="s">
        <v>641</v>
      </c>
      <c r="U157" s="43" t="s">
        <v>642</v>
      </c>
      <c r="V157" s="43" t="n">
        <v>18</v>
      </c>
      <c r="W157" s="43" t="n">
        <v>15</v>
      </c>
      <c r="X157" s="43" t="n">
        <v>33</v>
      </c>
      <c r="Y157" s="43" t="s">
        <v>635</v>
      </c>
      <c r="Z157" s="43" t="s">
        <v>636</v>
      </c>
    </row>
    <row r="158" customFormat="false" ht="15" hidden="false" customHeight="false" outlineLevel="0" collapsed="false">
      <c r="A158" s="43" t="n">
        <v>156</v>
      </c>
      <c r="B158" s="43" t="s">
        <v>723</v>
      </c>
      <c r="C158" s="43" t="s">
        <v>724</v>
      </c>
      <c r="D158" s="43" t="s">
        <v>725</v>
      </c>
      <c r="E158" s="43" t="s">
        <v>131</v>
      </c>
      <c r="F158" s="43" t="s">
        <v>48</v>
      </c>
      <c r="G158" s="43" t="n">
        <v>2023</v>
      </c>
      <c r="H158" s="44" t="n">
        <v>0</v>
      </c>
      <c r="I158" s="43" t="n">
        <v>2023</v>
      </c>
      <c r="J158" s="43" t="n">
        <v>5</v>
      </c>
      <c r="K158" s="44" t="n">
        <v>99216.85</v>
      </c>
      <c r="L158" s="43" t="n">
        <v>2023</v>
      </c>
      <c r="M158" s="43" t="n">
        <v>6</v>
      </c>
      <c r="N158" s="44" t="n">
        <v>95359.0066939103</v>
      </c>
      <c r="O158" s="43" t="n">
        <v>2023</v>
      </c>
      <c r="P158" s="43" t="n">
        <v>6</v>
      </c>
      <c r="Q158" s="44" t="n">
        <v>90591.0563592148</v>
      </c>
      <c r="R158" s="43" t="s">
        <v>687</v>
      </c>
      <c r="S158" s="43" t="s">
        <v>83</v>
      </c>
      <c r="T158" s="43" t="s">
        <v>641</v>
      </c>
      <c r="U158" s="43" t="s">
        <v>642</v>
      </c>
      <c r="V158" s="43" t="n">
        <v>16</v>
      </c>
      <c r="W158" s="43" t="n">
        <v>17</v>
      </c>
      <c r="X158" s="43" t="n">
        <v>33</v>
      </c>
      <c r="Y158" s="43" t="s">
        <v>635</v>
      </c>
      <c r="Z158" s="43" t="s">
        <v>636</v>
      </c>
    </row>
    <row r="159" customFormat="false" ht="15" hidden="false" customHeight="false" outlineLevel="0" collapsed="false">
      <c r="A159" s="43" t="n">
        <v>157</v>
      </c>
      <c r="B159" s="43" t="s">
        <v>723</v>
      </c>
      <c r="C159" s="43" t="s">
        <v>724</v>
      </c>
      <c r="D159" s="43" t="s">
        <v>725</v>
      </c>
      <c r="E159" s="43" t="s">
        <v>131</v>
      </c>
      <c r="F159" s="43" t="s">
        <v>48</v>
      </c>
      <c r="G159" s="43" t="n">
        <v>2023</v>
      </c>
      <c r="H159" s="44" t="n">
        <v>0</v>
      </c>
      <c r="I159" s="43" t="n">
        <v>2023</v>
      </c>
      <c r="J159" s="43" t="n">
        <v>6</v>
      </c>
      <c r="K159" s="44" t="n">
        <v>24676</v>
      </c>
      <c r="L159" s="43" t="n">
        <v>2023</v>
      </c>
      <c r="M159" s="43" t="n">
        <v>7</v>
      </c>
      <c r="N159" s="44" t="n">
        <v>24676</v>
      </c>
      <c r="O159" s="43" t="n">
        <v>2023</v>
      </c>
      <c r="P159" s="43" t="n">
        <v>7</v>
      </c>
      <c r="Q159" s="44" t="n">
        <v>23442.2</v>
      </c>
      <c r="R159" s="43" t="s">
        <v>687</v>
      </c>
      <c r="S159" s="43" t="s">
        <v>83</v>
      </c>
      <c r="T159" s="43" t="s">
        <v>641</v>
      </c>
      <c r="U159" s="43" t="s">
        <v>642</v>
      </c>
      <c r="V159" s="43" t="n">
        <v>16</v>
      </c>
      <c r="W159" s="43" t="n">
        <v>14</v>
      </c>
      <c r="X159" s="43" t="n">
        <v>30</v>
      </c>
      <c r="Y159" s="43" t="s">
        <v>635</v>
      </c>
      <c r="Z159" s="43" t="s">
        <v>636</v>
      </c>
    </row>
    <row r="160" customFormat="false" ht="15" hidden="false" customHeight="false" outlineLevel="0" collapsed="false">
      <c r="A160" s="43" t="n">
        <v>158</v>
      </c>
      <c r="B160" s="43" t="s">
        <v>723</v>
      </c>
      <c r="C160" s="43" t="s">
        <v>724</v>
      </c>
      <c r="D160" s="43" t="s">
        <v>725</v>
      </c>
      <c r="E160" s="43" t="s">
        <v>131</v>
      </c>
      <c r="F160" s="43" t="s">
        <v>48</v>
      </c>
      <c r="G160" s="43" t="n">
        <v>2023</v>
      </c>
      <c r="H160" s="44" t="n">
        <v>0</v>
      </c>
      <c r="I160" s="43" t="n">
        <v>2023</v>
      </c>
      <c r="J160" s="43" t="n">
        <v>7</v>
      </c>
      <c r="K160" s="44" t="n">
        <v>33700.07</v>
      </c>
      <c r="L160" s="43" t="n">
        <v>2023</v>
      </c>
      <c r="M160" s="43" t="n">
        <v>8</v>
      </c>
      <c r="N160" s="44" t="n">
        <v>33700</v>
      </c>
      <c r="O160" s="43" t="n">
        <v>2023</v>
      </c>
      <c r="P160" s="43" t="n">
        <v>9</v>
      </c>
      <c r="Q160" s="44" t="n">
        <v>32015</v>
      </c>
      <c r="R160" s="43" t="s">
        <v>687</v>
      </c>
      <c r="S160" s="43" t="s">
        <v>83</v>
      </c>
      <c r="T160" s="43" t="s">
        <v>641</v>
      </c>
      <c r="U160" s="43" t="s">
        <v>642</v>
      </c>
      <c r="V160" s="43" t="n">
        <v>15</v>
      </c>
      <c r="W160" s="43" t="n">
        <v>23</v>
      </c>
      <c r="X160" s="43" t="n">
        <v>38</v>
      </c>
      <c r="Y160" s="43" t="s">
        <v>635</v>
      </c>
      <c r="Z160" s="43" t="s">
        <v>636</v>
      </c>
    </row>
    <row r="161" customFormat="false" ht="15" hidden="false" customHeight="false" outlineLevel="0" collapsed="false">
      <c r="A161" s="43" t="n">
        <v>159</v>
      </c>
      <c r="B161" s="43" t="s">
        <v>723</v>
      </c>
      <c r="C161" s="43" t="s">
        <v>724</v>
      </c>
      <c r="D161" s="43" t="s">
        <v>725</v>
      </c>
      <c r="E161" s="43" t="s">
        <v>131</v>
      </c>
      <c r="F161" s="43" t="s">
        <v>48</v>
      </c>
      <c r="G161" s="43" t="n">
        <v>2023</v>
      </c>
      <c r="H161" s="44" t="n">
        <v>0</v>
      </c>
      <c r="I161" s="43" t="n">
        <v>2023</v>
      </c>
      <c r="J161" s="43" t="n">
        <v>8</v>
      </c>
      <c r="K161" s="44" t="n">
        <v>10515</v>
      </c>
      <c r="L161" s="43" t="n">
        <v>2023</v>
      </c>
      <c r="M161" s="43" t="n">
        <v>8</v>
      </c>
      <c r="N161" s="44" t="n">
        <v>10515</v>
      </c>
      <c r="O161" s="43" t="n">
        <v>2023</v>
      </c>
      <c r="P161" s="43" t="n">
        <v>9</v>
      </c>
      <c r="Q161" s="44" t="n">
        <v>9989.25</v>
      </c>
      <c r="R161" s="43" t="s">
        <v>687</v>
      </c>
      <c r="S161" s="43" t="s">
        <v>83</v>
      </c>
      <c r="T161" s="43" t="s">
        <v>641</v>
      </c>
      <c r="U161" s="43" t="s">
        <v>642</v>
      </c>
      <c r="V161" s="43" t="n">
        <v>6</v>
      </c>
      <c r="W161" s="43" t="n">
        <v>8</v>
      </c>
      <c r="X161" s="43" t="n">
        <v>14</v>
      </c>
      <c r="Y161" s="43" t="s">
        <v>635</v>
      </c>
      <c r="Z161" s="43" t="s">
        <v>636</v>
      </c>
    </row>
    <row r="162" customFormat="false" ht="15" hidden="false" customHeight="false" outlineLevel="0" collapsed="false">
      <c r="A162" s="43" t="n">
        <v>160</v>
      </c>
      <c r="B162" s="43" t="s">
        <v>723</v>
      </c>
      <c r="C162" s="43" t="s">
        <v>724</v>
      </c>
      <c r="D162" s="43" t="s">
        <v>725</v>
      </c>
      <c r="E162" s="43" t="s">
        <v>131</v>
      </c>
      <c r="F162" s="43" t="s">
        <v>48</v>
      </c>
      <c r="G162" s="43" t="n">
        <v>2023</v>
      </c>
      <c r="H162" s="44" t="n">
        <v>45078</v>
      </c>
      <c r="I162" s="43" t="n">
        <v>2023</v>
      </c>
      <c r="J162" s="43" t="n">
        <v>9</v>
      </c>
      <c r="K162" s="44" t="n">
        <v>41488</v>
      </c>
      <c r="L162" s="43" t="n">
        <v>2023</v>
      </c>
      <c r="M162" s="43" t="n">
        <v>10</v>
      </c>
      <c r="N162" s="44" t="n">
        <v>41488</v>
      </c>
      <c r="O162" s="43" t="n">
        <v>2023</v>
      </c>
      <c r="P162" s="43" t="n">
        <v>10</v>
      </c>
      <c r="Q162" s="44" t="n">
        <v>39413.6</v>
      </c>
      <c r="R162" s="43" t="s">
        <v>687</v>
      </c>
      <c r="S162" s="43" t="s">
        <v>83</v>
      </c>
      <c r="T162" s="43" t="s">
        <v>641</v>
      </c>
      <c r="U162" s="43" t="s">
        <v>642</v>
      </c>
      <c r="V162" s="43" t="n">
        <v>8</v>
      </c>
      <c r="W162" s="43" t="n">
        <v>10</v>
      </c>
      <c r="X162" s="43" t="n">
        <v>18</v>
      </c>
      <c r="Y162" s="43" t="s">
        <v>635</v>
      </c>
      <c r="Z162" s="43" t="s">
        <v>636</v>
      </c>
    </row>
    <row r="163" customFormat="false" ht="15" hidden="false" customHeight="false" outlineLevel="0" collapsed="false">
      <c r="A163" s="43" t="n">
        <v>161</v>
      </c>
      <c r="B163" s="43" t="s">
        <v>723</v>
      </c>
      <c r="C163" s="43" t="s">
        <v>724</v>
      </c>
      <c r="D163" s="43" t="s">
        <v>725</v>
      </c>
      <c r="E163" s="43" t="s">
        <v>131</v>
      </c>
      <c r="F163" s="43" t="s">
        <v>48</v>
      </c>
      <c r="G163" s="43" t="n">
        <v>2023</v>
      </c>
      <c r="H163" s="44" t="n">
        <v>53215</v>
      </c>
      <c r="I163" s="43" t="n">
        <v>2023</v>
      </c>
      <c r="J163" s="43" t="n">
        <v>10</v>
      </c>
      <c r="K163" s="44" t="n">
        <v>34737</v>
      </c>
      <c r="L163" s="43" t="n">
        <v>2023</v>
      </c>
      <c r="M163" s="43" t="n">
        <v>11</v>
      </c>
      <c r="N163" s="44" t="n">
        <v>34737</v>
      </c>
      <c r="O163" s="43" t="n">
        <v>2023</v>
      </c>
      <c r="P163" s="43" t="n">
        <v>11</v>
      </c>
      <c r="Q163" s="44" t="n">
        <v>33000.15</v>
      </c>
      <c r="R163" s="43" t="s">
        <v>687</v>
      </c>
      <c r="S163" s="43" t="s">
        <v>83</v>
      </c>
      <c r="T163" s="43" t="s">
        <v>641</v>
      </c>
      <c r="U163" s="43" t="s">
        <v>642</v>
      </c>
      <c r="V163" s="43" t="n">
        <v>15</v>
      </c>
      <c r="W163" s="43" t="n">
        <v>10</v>
      </c>
      <c r="X163" s="43" t="n">
        <v>25</v>
      </c>
      <c r="Y163" s="43" t="s">
        <v>635</v>
      </c>
      <c r="Z163" s="43" t="s">
        <v>636</v>
      </c>
    </row>
    <row r="164" customFormat="false" ht="15" hidden="false" customHeight="false" outlineLevel="0" collapsed="false">
      <c r="A164" s="43" t="n">
        <v>162</v>
      </c>
      <c r="B164" s="43" t="s">
        <v>723</v>
      </c>
      <c r="C164" s="43" t="s">
        <v>724</v>
      </c>
      <c r="D164" s="43" t="s">
        <v>725</v>
      </c>
      <c r="E164" s="43" t="s">
        <v>131</v>
      </c>
      <c r="F164" s="43" t="s">
        <v>48</v>
      </c>
      <c r="G164" s="43" t="n">
        <v>2023</v>
      </c>
      <c r="H164" s="44" t="n">
        <v>78129</v>
      </c>
      <c r="I164" s="43" t="n">
        <v>2023</v>
      </c>
      <c r="J164" s="43" t="n">
        <v>11</v>
      </c>
      <c r="K164" s="44" t="n">
        <v>31481</v>
      </c>
      <c r="L164" s="43" t="n">
        <v>2023</v>
      </c>
      <c r="M164" s="43" t="n">
        <v>12</v>
      </c>
      <c r="N164" s="44" t="n">
        <v>31481</v>
      </c>
      <c r="O164" s="43" t="n">
        <v>2023</v>
      </c>
      <c r="P164" s="43" t="n">
        <v>12</v>
      </c>
      <c r="Q164" s="44" t="n">
        <v>29906.95</v>
      </c>
      <c r="R164" s="43" t="s">
        <v>687</v>
      </c>
      <c r="S164" s="43" t="s">
        <v>83</v>
      </c>
      <c r="T164" s="43" t="s">
        <v>641</v>
      </c>
      <c r="U164" s="43" t="s">
        <v>642</v>
      </c>
      <c r="V164" s="43" t="n">
        <v>15</v>
      </c>
      <c r="W164" s="43" t="n">
        <v>10</v>
      </c>
      <c r="X164" s="43" t="n">
        <v>25</v>
      </c>
      <c r="Y164" s="43" t="s">
        <v>635</v>
      </c>
      <c r="Z164" s="43" t="s">
        <v>636</v>
      </c>
    </row>
    <row r="165" customFormat="false" ht="15" hidden="false" customHeight="false" outlineLevel="0" collapsed="false">
      <c r="A165" s="43" t="n">
        <v>163</v>
      </c>
      <c r="B165" s="43" t="s">
        <v>723</v>
      </c>
      <c r="C165" s="43" t="s">
        <v>724</v>
      </c>
      <c r="D165" s="43" t="s">
        <v>725</v>
      </c>
      <c r="E165" s="43" t="s">
        <v>131</v>
      </c>
      <c r="F165" s="43" t="s">
        <v>48</v>
      </c>
      <c r="G165" s="43" t="n">
        <v>2023</v>
      </c>
      <c r="H165" s="44" t="n">
        <v>46648</v>
      </c>
      <c r="I165" s="43" t="n">
        <v>2023</v>
      </c>
      <c r="J165" s="43" t="n">
        <v>12</v>
      </c>
      <c r="K165" s="44" t="n">
        <v>15445</v>
      </c>
      <c r="L165" s="43" t="n">
        <v>2024</v>
      </c>
      <c r="M165" s="43" t="n">
        <v>1</v>
      </c>
      <c r="N165" s="44" t="n">
        <v>15445</v>
      </c>
      <c r="O165" s="43" t="n">
        <v>2024</v>
      </c>
      <c r="P165" s="43" t="n">
        <v>1</v>
      </c>
      <c r="Q165" s="44" t="n">
        <v>14672.75</v>
      </c>
      <c r="R165" s="43" t="s">
        <v>687</v>
      </c>
      <c r="S165" s="43" t="s">
        <v>83</v>
      </c>
      <c r="T165" s="43" t="s">
        <v>641</v>
      </c>
      <c r="U165" s="43" t="s">
        <v>642</v>
      </c>
      <c r="V165" s="43" t="n">
        <v>15</v>
      </c>
      <c r="W165" s="43" t="n">
        <v>14</v>
      </c>
      <c r="X165" s="43" t="n">
        <v>29</v>
      </c>
      <c r="Y165" s="43" t="s">
        <v>635</v>
      </c>
      <c r="Z165" s="43" t="s">
        <v>636</v>
      </c>
    </row>
    <row r="166" customFormat="false" ht="15" hidden="false" customHeight="false" outlineLevel="0" collapsed="false">
      <c r="A166" s="43" t="n">
        <v>164</v>
      </c>
      <c r="B166" s="43" t="s">
        <v>723</v>
      </c>
      <c r="C166" s="43" t="s">
        <v>724</v>
      </c>
      <c r="D166" s="43" t="s">
        <v>725</v>
      </c>
      <c r="E166" s="43" t="s">
        <v>131</v>
      </c>
      <c r="F166" s="43" t="s">
        <v>48</v>
      </c>
      <c r="G166" s="43" t="n">
        <v>2024</v>
      </c>
      <c r="H166" s="44" t="n">
        <v>31203</v>
      </c>
      <c r="I166" s="43" t="n">
        <v>2024</v>
      </c>
      <c r="J166" s="43" t="n">
        <v>1</v>
      </c>
      <c r="K166" s="44" t="n">
        <v>17246</v>
      </c>
      <c r="L166" s="43" t="n">
        <v>2024</v>
      </c>
      <c r="M166" s="43" t="n">
        <v>2</v>
      </c>
      <c r="N166" s="44" t="n">
        <v>17246</v>
      </c>
      <c r="O166" s="43" t="n">
        <v>2024</v>
      </c>
      <c r="P166" s="43" t="n">
        <v>2</v>
      </c>
      <c r="Q166" s="44" t="n">
        <v>16383.7</v>
      </c>
      <c r="R166" s="43" t="s">
        <v>687</v>
      </c>
      <c r="S166" s="43" t="s">
        <v>83</v>
      </c>
      <c r="T166" s="43" t="s">
        <v>641</v>
      </c>
      <c r="U166" s="43" t="s">
        <v>642</v>
      </c>
      <c r="V166" s="43" t="n">
        <v>13</v>
      </c>
      <c r="W166" s="43" t="n">
        <v>21</v>
      </c>
      <c r="X166" s="43" t="n">
        <v>34</v>
      </c>
      <c r="Y166" s="43" t="s">
        <v>635</v>
      </c>
      <c r="Z166" s="43" t="s">
        <v>636</v>
      </c>
    </row>
    <row r="167" customFormat="false" ht="15" hidden="false" customHeight="false" outlineLevel="0" collapsed="false">
      <c r="A167" s="43" t="n">
        <v>165</v>
      </c>
      <c r="B167" s="43" t="s">
        <v>723</v>
      </c>
      <c r="C167" s="43" t="s">
        <v>724</v>
      </c>
      <c r="D167" s="43" t="s">
        <v>725</v>
      </c>
      <c r="E167" s="43" t="s">
        <v>131</v>
      </c>
      <c r="F167" s="43" t="s">
        <v>48</v>
      </c>
      <c r="G167" s="43" t="n">
        <v>2024</v>
      </c>
      <c r="H167" s="44" t="n">
        <v>13957</v>
      </c>
      <c r="I167" s="43" t="n">
        <v>2024</v>
      </c>
      <c r="J167" s="43" t="n">
        <v>2</v>
      </c>
      <c r="K167" s="44" t="n">
        <v>10114</v>
      </c>
      <c r="L167" s="43" t="n">
        <v>2024</v>
      </c>
      <c r="M167" s="43" t="n">
        <v>3</v>
      </c>
      <c r="N167" s="44" t="n">
        <v>10114</v>
      </c>
      <c r="O167" s="43" t="n">
        <v>2024</v>
      </c>
      <c r="P167" s="43" t="n">
        <v>3</v>
      </c>
      <c r="Q167" s="44" t="n">
        <v>9608.3</v>
      </c>
      <c r="R167" s="43" t="s">
        <v>687</v>
      </c>
      <c r="S167" s="43" t="s">
        <v>83</v>
      </c>
      <c r="T167" s="43" t="s">
        <v>641</v>
      </c>
      <c r="U167" s="43" t="s">
        <v>642</v>
      </c>
      <c r="V167" s="43" t="n">
        <v>22</v>
      </c>
      <c r="W167" s="43" t="n">
        <v>4</v>
      </c>
      <c r="X167" s="43" t="n">
        <v>26</v>
      </c>
      <c r="Y167" s="43" t="s">
        <v>635</v>
      </c>
      <c r="Z167" s="43" t="s">
        <v>636</v>
      </c>
    </row>
    <row r="168" customFormat="false" ht="15" hidden="false" customHeight="false" outlineLevel="0" collapsed="false">
      <c r="A168" s="43" t="n">
        <v>166</v>
      </c>
      <c r="B168" s="43" t="s">
        <v>723</v>
      </c>
      <c r="C168" s="43" t="s">
        <v>724</v>
      </c>
      <c r="D168" s="43" t="s">
        <v>725</v>
      </c>
      <c r="E168" s="43" t="s">
        <v>131</v>
      </c>
      <c r="F168" s="43" t="s">
        <v>48</v>
      </c>
      <c r="G168" s="43" t="n">
        <v>2024</v>
      </c>
      <c r="H168" s="44" t="n">
        <v>3161</v>
      </c>
      <c r="I168" s="43" t="n">
        <v>2024</v>
      </c>
      <c r="J168" s="43" t="n">
        <v>3</v>
      </c>
      <c r="K168" s="44" t="n">
        <v>1847</v>
      </c>
      <c r="L168" s="43" t="n">
        <v>2024</v>
      </c>
      <c r="M168" s="43" t="n">
        <v>4</v>
      </c>
      <c r="N168" s="44" t="n">
        <v>1847</v>
      </c>
      <c r="O168" s="43" t="n">
        <v>2024</v>
      </c>
      <c r="P168" s="43" t="n">
        <v>4</v>
      </c>
      <c r="Q168" s="44" t="n">
        <v>1754.65</v>
      </c>
      <c r="R168" s="43" t="s">
        <v>687</v>
      </c>
      <c r="S168" s="43" t="s">
        <v>83</v>
      </c>
      <c r="T168" s="43" t="s">
        <v>641</v>
      </c>
      <c r="U168" s="43" t="s">
        <v>642</v>
      </c>
      <c r="V168" s="43" t="n">
        <v>18</v>
      </c>
      <c r="W168" s="43" t="n">
        <v>18</v>
      </c>
      <c r="X168" s="43" t="n">
        <v>36</v>
      </c>
      <c r="Y168" s="43" t="s">
        <v>635</v>
      </c>
      <c r="Z168" s="43" t="s">
        <v>636</v>
      </c>
    </row>
    <row r="169" customFormat="false" ht="15" hidden="false" customHeight="false" outlineLevel="0" collapsed="false">
      <c r="A169" s="43" t="n">
        <v>167</v>
      </c>
      <c r="B169" s="43" t="s">
        <v>723</v>
      </c>
      <c r="C169" s="43" t="s">
        <v>724</v>
      </c>
      <c r="D169" s="43" t="s">
        <v>725</v>
      </c>
      <c r="E169" s="43" t="s">
        <v>131</v>
      </c>
      <c r="F169" s="43" t="s">
        <v>48</v>
      </c>
      <c r="G169" s="43" t="n">
        <v>2024</v>
      </c>
      <c r="H169" s="44" t="n">
        <v>12005</v>
      </c>
      <c r="I169" s="43" t="n">
        <v>2024</v>
      </c>
      <c r="J169" s="43" t="n">
        <v>4</v>
      </c>
      <c r="K169" s="44" t="n">
        <v>1896</v>
      </c>
      <c r="L169" s="43" t="n">
        <v>2024</v>
      </c>
      <c r="M169" s="43" t="n">
        <v>5</v>
      </c>
      <c r="N169" s="44" t="n">
        <v>1896</v>
      </c>
      <c r="O169" s="43" t="n">
        <v>2024</v>
      </c>
      <c r="P169" s="43" t="n">
        <v>5</v>
      </c>
      <c r="Q169" s="44" t="n">
        <v>1801.2</v>
      </c>
      <c r="R169" s="43" t="s">
        <v>687</v>
      </c>
      <c r="S169" s="43" t="s">
        <v>83</v>
      </c>
      <c r="T169" s="43" t="s">
        <v>641</v>
      </c>
      <c r="U169" s="43" t="s">
        <v>642</v>
      </c>
      <c r="V169" s="43" t="n">
        <v>22</v>
      </c>
      <c r="W169" s="43" t="n">
        <v>7</v>
      </c>
      <c r="X169" s="43" t="n">
        <v>29</v>
      </c>
      <c r="Y169" s="43" t="s">
        <v>635</v>
      </c>
      <c r="Z169" s="43" t="s">
        <v>636</v>
      </c>
    </row>
    <row r="170" customFormat="false" ht="15" hidden="false" customHeight="false" outlineLevel="0" collapsed="false">
      <c r="A170" s="43" t="n">
        <v>168</v>
      </c>
      <c r="B170" s="43" t="s">
        <v>723</v>
      </c>
      <c r="C170" s="43" t="s">
        <v>724</v>
      </c>
      <c r="D170" s="43" t="s">
        <v>725</v>
      </c>
      <c r="E170" s="43" t="s">
        <v>131</v>
      </c>
      <c r="F170" s="43" t="s">
        <v>48</v>
      </c>
      <c r="G170" s="43" t="n">
        <v>2024</v>
      </c>
      <c r="H170" s="44" t="n">
        <v>5015</v>
      </c>
      <c r="I170" s="43" t="n">
        <v>2024</v>
      </c>
      <c r="J170" s="43" t="n">
        <v>5</v>
      </c>
      <c r="K170" s="44" t="n">
        <v>10289</v>
      </c>
      <c r="L170" s="43" t="n">
        <v>2024</v>
      </c>
      <c r="M170" s="43" t="n">
        <v>6</v>
      </c>
      <c r="N170" s="44" t="n">
        <v>10289</v>
      </c>
      <c r="O170" s="43" t="n">
        <v>2024</v>
      </c>
      <c r="P170" s="43" t="n">
        <v>6</v>
      </c>
      <c r="Q170" s="44" t="n">
        <v>9774.55</v>
      </c>
      <c r="R170" s="43" t="s">
        <v>687</v>
      </c>
      <c r="S170" s="43" t="s">
        <v>83</v>
      </c>
      <c r="T170" s="43" t="s">
        <v>641</v>
      </c>
      <c r="U170" s="43" t="s">
        <v>642</v>
      </c>
      <c r="V170" s="43" t="n">
        <v>9</v>
      </c>
      <c r="W170" s="43" t="n">
        <v>7</v>
      </c>
      <c r="X170" s="43" t="n">
        <v>16</v>
      </c>
      <c r="Y170" s="43" t="s">
        <v>635</v>
      </c>
      <c r="Z170" s="43" t="s">
        <v>636</v>
      </c>
    </row>
    <row r="171" customFormat="false" ht="15" hidden="false" customHeight="false" outlineLevel="0" collapsed="false">
      <c r="A171" s="43" t="n">
        <v>169</v>
      </c>
      <c r="B171" s="43" t="s">
        <v>723</v>
      </c>
      <c r="C171" s="43" t="s">
        <v>724</v>
      </c>
      <c r="D171" s="43" t="s">
        <v>725</v>
      </c>
      <c r="E171" s="43" t="s">
        <v>131</v>
      </c>
      <c r="F171" s="43" t="s">
        <v>48</v>
      </c>
      <c r="G171" s="43" t="n">
        <v>2024</v>
      </c>
      <c r="H171" s="44" t="n">
        <v>0</v>
      </c>
      <c r="I171" s="43" t="n">
        <v>2024</v>
      </c>
      <c r="J171" s="43" t="n">
        <v>6</v>
      </c>
      <c r="K171" s="44" t="n">
        <v>21258</v>
      </c>
      <c r="L171" s="43" t="n">
        <v>2024</v>
      </c>
      <c r="M171" s="43" t="n">
        <v>7</v>
      </c>
      <c r="N171" s="44" t="n">
        <v>21258</v>
      </c>
      <c r="O171" s="43" t="n">
        <v>2024</v>
      </c>
      <c r="P171" s="43" t="n">
        <v>7</v>
      </c>
      <c r="Q171" s="44" t="n">
        <v>20195.1</v>
      </c>
      <c r="R171" s="43" t="s">
        <v>687</v>
      </c>
      <c r="S171" s="43" t="s">
        <v>83</v>
      </c>
      <c r="T171" s="43" t="s">
        <v>641</v>
      </c>
      <c r="U171" s="43" t="s">
        <v>642</v>
      </c>
      <c r="V171" s="43" t="n">
        <v>10</v>
      </c>
      <c r="W171" s="43" t="n">
        <v>15</v>
      </c>
      <c r="X171" s="43" t="n">
        <v>25</v>
      </c>
      <c r="Y171" s="43" t="s">
        <v>635</v>
      </c>
      <c r="Z171" s="43" t="s">
        <v>636</v>
      </c>
    </row>
    <row r="172" customFormat="false" ht="15" hidden="false" customHeight="false" outlineLevel="0" collapsed="false">
      <c r="A172" s="43" t="n">
        <v>170</v>
      </c>
      <c r="B172" s="43" t="s">
        <v>726</v>
      </c>
      <c r="C172" s="43" t="s">
        <v>727</v>
      </c>
      <c r="D172" s="43" t="s">
        <v>728</v>
      </c>
      <c r="E172" s="43" t="s">
        <v>131</v>
      </c>
      <c r="F172" s="43" t="s">
        <v>48</v>
      </c>
      <c r="G172" s="43" t="n">
        <v>2022</v>
      </c>
      <c r="H172" s="44" t="n">
        <v>0</v>
      </c>
      <c r="I172" s="43" t="n">
        <v>2022</v>
      </c>
      <c r="J172" s="43" t="n">
        <v>11</v>
      </c>
      <c r="K172" s="44" t="n">
        <v>33725.57</v>
      </c>
      <c r="L172" s="43" t="n">
        <v>2022</v>
      </c>
      <c r="M172" s="43" t="n">
        <v>12</v>
      </c>
      <c r="N172" s="44" t="n">
        <v>33725.57</v>
      </c>
      <c r="O172" s="43" t="n">
        <v>2023</v>
      </c>
      <c r="P172" s="43" t="n">
        <v>1</v>
      </c>
      <c r="Q172" s="44" t="n">
        <v>32039.2915</v>
      </c>
      <c r="R172" s="43" t="s">
        <v>651</v>
      </c>
      <c r="S172" s="43" t="s">
        <v>85</v>
      </c>
      <c r="T172" s="43" t="s">
        <v>633</v>
      </c>
      <c r="U172" s="43" t="s">
        <v>669</v>
      </c>
      <c r="V172" s="43" t="n">
        <v>38</v>
      </c>
      <c r="W172" s="43" t="n">
        <v>29</v>
      </c>
      <c r="X172" s="43" t="n">
        <v>67</v>
      </c>
      <c r="Y172" s="43" t="s">
        <v>635</v>
      </c>
      <c r="Z172" s="43" t="s">
        <v>636</v>
      </c>
    </row>
    <row r="173" customFormat="false" ht="15" hidden="false" customHeight="false" outlineLevel="0" collapsed="false">
      <c r="A173" s="43" t="n">
        <v>171</v>
      </c>
      <c r="B173" s="43" t="s">
        <v>726</v>
      </c>
      <c r="C173" s="43" t="s">
        <v>727</v>
      </c>
      <c r="D173" s="43" t="s">
        <v>728</v>
      </c>
      <c r="E173" s="43" t="s">
        <v>131</v>
      </c>
      <c r="F173" s="43" t="s">
        <v>48</v>
      </c>
      <c r="G173" s="43" t="n">
        <v>2023</v>
      </c>
      <c r="H173" s="44" t="n">
        <v>0</v>
      </c>
      <c r="I173" s="43" t="n">
        <v>2023</v>
      </c>
      <c r="J173" s="43" t="n">
        <v>1</v>
      </c>
      <c r="K173" s="44" t="n">
        <v>26141.51</v>
      </c>
      <c r="L173" s="43" t="n">
        <v>2023</v>
      </c>
      <c r="M173" s="43" t="n">
        <v>2</v>
      </c>
      <c r="N173" s="44" t="n">
        <v>26141.51</v>
      </c>
      <c r="O173" s="43" t="n">
        <v>2023</v>
      </c>
      <c r="P173" s="43" t="n">
        <v>3</v>
      </c>
      <c r="Q173" s="44" t="n">
        <v>24834.4345</v>
      </c>
      <c r="R173" s="43" t="s">
        <v>651</v>
      </c>
      <c r="S173" s="43" t="s">
        <v>85</v>
      </c>
      <c r="T173" s="43" t="s">
        <v>633</v>
      </c>
      <c r="U173" s="43" t="s">
        <v>669</v>
      </c>
      <c r="V173" s="43" t="n">
        <v>16</v>
      </c>
      <c r="W173" s="43" t="n">
        <v>30</v>
      </c>
      <c r="X173" s="43" t="n">
        <v>46</v>
      </c>
      <c r="Y173" s="43" t="s">
        <v>635</v>
      </c>
      <c r="Z173" s="43" t="s">
        <v>636</v>
      </c>
    </row>
    <row r="174" customFormat="false" ht="15" hidden="false" customHeight="false" outlineLevel="0" collapsed="false">
      <c r="A174" s="43" t="n">
        <v>172</v>
      </c>
      <c r="B174" s="43" t="s">
        <v>726</v>
      </c>
      <c r="C174" s="43" t="s">
        <v>727</v>
      </c>
      <c r="D174" s="43" t="s">
        <v>728</v>
      </c>
      <c r="E174" s="43" t="s">
        <v>131</v>
      </c>
      <c r="F174" s="43" t="s">
        <v>48</v>
      </c>
      <c r="G174" s="43" t="n">
        <v>2023</v>
      </c>
      <c r="H174" s="44" t="n">
        <v>0</v>
      </c>
      <c r="I174" s="43" t="n">
        <v>2023</v>
      </c>
      <c r="J174" s="43" t="n">
        <v>2</v>
      </c>
      <c r="K174" s="44" t="n">
        <v>36926.29625</v>
      </c>
      <c r="L174" s="43" t="n">
        <v>2023</v>
      </c>
      <c r="M174" s="43" t="n">
        <v>3</v>
      </c>
      <c r="N174" s="44" t="n">
        <v>36926.29625</v>
      </c>
      <c r="O174" s="43" t="n">
        <v>2023</v>
      </c>
      <c r="P174" s="43" t="n">
        <v>3</v>
      </c>
      <c r="Q174" s="44" t="n">
        <v>35079.9814375</v>
      </c>
      <c r="R174" s="43" t="s">
        <v>651</v>
      </c>
      <c r="S174" s="43" t="s">
        <v>85</v>
      </c>
      <c r="T174" s="43" t="s">
        <v>633</v>
      </c>
      <c r="U174" s="43" t="s">
        <v>669</v>
      </c>
      <c r="V174" s="43" t="n">
        <v>10</v>
      </c>
      <c r="W174" s="43" t="n">
        <v>12</v>
      </c>
      <c r="X174" s="43" t="n">
        <v>22</v>
      </c>
      <c r="Y174" s="43" t="s">
        <v>635</v>
      </c>
      <c r="Z174" s="43" t="s">
        <v>636</v>
      </c>
    </row>
    <row r="175" customFormat="false" ht="15" hidden="false" customHeight="false" outlineLevel="0" collapsed="false">
      <c r="A175" s="43" t="n">
        <v>173</v>
      </c>
      <c r="B175" s="43" t="s">
        <v>726</v>
      </c>
      <c r="C175" s="43" t="s">
        <v>727</v>
      </c>
      <c r="D175" s="43" t="s">
        <v>728</v>
      </c>
      <c r="E175" s="43" t="s">
        <v>131</v>
      </c>
      <c r="F175" s="43" t="s">
        <v>48</v>
      </c>
      <c r="G175" s="43" t="n">
        <v>2023</v>
      </c>
      <c r="H175" s="44" t="n">
        <v>0</v>
      </c>
      <c r="I175" s="43" t="n">
        <v>2023</v>
      </c>
      <c r="J175" s="43" t="n">
        <v>3</v>
      </c>
      <c r="K175" s="44" t="n">
        <v>27037.27375</v>
      </c>
      <c r="L175" s="43" t="n">
        <v>2023</v>
      </c>
      <c r="M175" s="43" t="n">
        <v>4</v>
      </c>
      <c r="N175" s="44" t="n">
        <v>27037.27375</v>
      </c>
      <c r="O175" s="43" t="n">
        <v>2023</v>
      </c>
      <c r="P175" s="43" t="n">
        <v>4</v>
      </c>
      <c r="Q175" s="44" t="n">
        <v>25685.4100625</v>
      </c>
      <c r="R175" s="43" t="s">
        <v>651</v>
      </c>
      <c r="S175" s="43" t="s">
        <v>85</v>
      </c>
      <c r="T175" s="43" t="s">
        <v>633</v>
      </c>
      <c r="U175" s="43" t="s">
        <v>669</v>
      </c>
      <c r="V175" s="43" t="n">
        <v>29</v>
      </c>
      <c r="W175" s="43" t="n">
        <v>9</v>
      </c>
      <c r="X175" s="43" t="n">
        <v>38</v>
      </c>
      <c r="Y175" s="43" t="s">
        <v>635</v>
      </c>
      <c r="Z175" s="43" t="s">
        <v>636</v>
      </c>
    </row>
    <row r="176" customFormat="false" ht="15" hidden="false" customHeight="false" outlineLevel="0" collapsed="false">
      <c r="A176" s="43" t="n">
        <v>174</v>
      </c>
      <c r="B176" s="43" t="s">
        <v>726</v>
      </c>
      <c r="C176" s="43" t="s">
        <v>727</v>
      </c>
      <c r="D176" s="43" t="s">
        <v>728</v>
      </c>
      <c r="E176" s="43" t="s">
        <v>131</v>
      </c>
      <c r="F176" s="43" t="s">
        <v>48</v>
      </c>
      <c r="G176" s="43" t="n">
        <v>2023</v>
      </c>
      <c r="H176" s="44" t="n">
        <v>0</v>
      </c>
      <c r="I176" s="43" t="n">
        <v>2023</v>
      </c>
      <c r="J176" s="43" t="n">
        <v>4</v>
      </c>
      <c r="K176" s="44" t="n">
        <v>25905</v>
      </c>
      <c r="L176" s="43" t="n">
        <v>2023</v>
      </c>
      <c r="M176" s="43" t="n">
        <v>5</v>
      </c>
      <c r="N176" s="44" t="n">
        <v>25905</v>
      </c>
      <c r="O176" s="43" t="n">
        <v>2023</v>
      </c>
      <c r="P176" s="43" t="n">
        <v>6</v>
      </c>
      <c r="Q176" s="44" t="n">
        <v>24609.75</v>
      </c>
      <c r="R176" s="43" t="s">
        <v>651</v>
      </c>
      <c r="S176" s="43" t="s">
        <v>85</v>
      </c>
      <c r="T176" s="43" t="s">
        <v>633</v>
      </c>
      <c r="U176" s="43" t="s">
        <v>669</v>
      </c>
      <c r="V176" s="43" t="n">
        <v>31</v>
      </c>
      <c r="W176" s="43" t="n">
        <v>11</v>
      </c>
      <c r="X176" s="43" t="n">
        <v>42</v>
      </c>
      <c r="Y176" s="43" t="s">
        <v>635</v>
      </c>
      <c r="Z176" s="43" t="s">
        <v>636</v>
      </c>
    </row>
    <row r="177" customFormat="false" ht="15" hidden="false" customHeight="false" outlineLevel="0" collapsed="false">
      <c r="A177" s="43" t="n">
        <v>175</v>
      </c>
      <c r="B177" s="43" t="s">
        <v>726</v>
      </c>
      <c r="C177" s="43" t="s">
        <v>727</v>
      </c>
      <c r="D177" s="43" t="s">
        <v>728</v>
      </c>
      <c r="E177" s="43" t="s">
        <v>131</v>
      </c>
      <c r="F177" s="43" t="s">
        <v>48</v>
      </c>
      <c r="G177" s="43" t="n">
        <v>2023</v>
      </c>
      <c r="H177" s="44" t="n">
        <v>0</v>
      </c>
      <c r="I177" s="43" t="n">
        <v>2023</v>
      </c>
      <c r="J177" s="43" t="n">
        <v>6</v>
      </c>
      <c r="K177" s="44" t="n">
        <v>12105</v>
      </c>
      <c r="L177" s="43" t="n">
        <v>2023</v>
      </c>
      <c r="M177" s="43" t="n">
        <v>7</v>
      </c>
      <c r="N177" s="44" t="n">
        <v>12105</v>
      </c>
      <c r="O177" s="43" t="n">
        <v>2023</v>
      </c>
      <c r="P177" s="43" t="n">
        <v>8</v>
      </c>
      <c r="Q177" s="44" t="n">
        <v>11499.75</v>
      </c>
      <c r="R177" s="43" t="s">
        <v>651</v>
      </c>
      <c r="S177" s="43" t="s">
        <v>85</v>
      </c>
      <c r="T177" s="43" t="s">
        <v>633</v>
      </c>
      <c r="U177" s="43" t="s">
        <v>669</v>
      </c>
      <c r="V177" s="43" t="n">
        <v>35</v>
      </c>
      <c r="W177" s="43" t="n">
        <v>7</v>
      </c>
      <c r="X177" s="43" t="n">
        <v>42</v>
      </c>
      <c r="Y177" s="43" t="s">
        <v>635</v>
      </c>
      <c r="Z177" s="43" t="s">
        <v>636</v>
      </c>
    </row>
    <row r="178" customFormat="false" ht="15" hidden="false" customHeight="false" outlineLevel="0" collapsed="false">
      <c r="A178" s="43" t="n">
        <v>176</v>
      </c>
      <c r="B178" s="43" t="s">
        <v>729</v>
      </c>
      <c r="C178" s="43" t="s">
        <v>730</v>
      </c>
      <c r="D178" s="43" t="s">
        <v>730</v>
      </c>
      <c r="E178" s="43" t="s">
        <v>131</v>
      </c>
      <c r="F178" s="43" t="s">
        <v>48</v>
      </c>
      <c r="G178" s="43" t="n">
        <v>2025</v>
      </c>
      <c r="H178" s="44" t="n">
        <v>0</v>
      </c>
      <c r="I178" s="43" t="n">
        <v>2025</v>
      </c>
      <c r="J178" s="43" t="n">
        <v>6</v>
      </c>
      <c r="K178" s="44" t="n">
        <v>5398</v>
      </c>
      <c r="L178" s="43" t="n">
        <v>2025</v>
      </c>
      <c r="M178" s="43" t="n">
        <v>7</v>
      </c>
      <c r="N178" s="44" t="n">
        <v>5398</v>
      </c>
      <c r="O178" s="43" t="n">
        <v>2025</v>
      </c>
      <c r="P178" s="43" t="n">
        <v>7</v>
      </c>
      <c r="Q178" s="44" t="n">
        <v>5398</v>
      </c>
      <c r="R178" s="43" t="s">
        <v>646</v>
      </c>
      <c r="S178" s="43" t="s">
        <v>83</v>
      </c>
      <c r="T178" s="43" t="s">
        <v>641</v>
      </c>
      <c r="U178" s="43" t="s">
        <v>634</v>
      </c>
      <c r="V178" s="43" t="n">
        <v>9</v>
      </c>
      <c r="W178" s="43" t="n">
        <v>14</v>
      </c>
      <c r="X178" s="43" t="n">
        <v>23</v>
      </c>
      <c r="Y178" s="43" t="s">
        <v>635</v>
      </c>
      <c r="Z178" s="43" t="s">
        <v>636</v>
      </c>
    </row>
    <row r="179" customFormat="false" ht="15" hidden="false" customHeight="false" outlineLevel="0" collapsed="false">
      <c r="A179" s="43" t="n">
        <v>177</v>
      </c>
      <c r="B179" s="43" t="s">
        <v>729</v>
      </c>
      <c r="C179" s="43" t="s">
        <v>730</v>
      </c>
      <c r="D179" s="43" t="s">
        <v>730</v>
      </c>
      <c r="E179" s="43" t="s">
        <v>131</v>
      </c>
      <c r="F179" s="43" t="s">
        <v>48</v>
      </c>
      <c r="G179" s="43" t="n">
        <v>2025</v>
      </c>
      <c r="H179" s="44" t="n">
        <v>0</v>
      </c>
      <c r="I179" s="43" t="n">
        <v>2025</v>
      </c>
      <c r="J179" s="43" t="n">
        <v>9</v>
      </c>
      <c r="K179" s="44" t="n">
        <v>15335</v>
      </c>
      <c r="L179" s="43" t="n">
        <v>2025</v>
      </c>
      <c r="M179" s="43" t="n">
        <v>10</v>
      </c>
      <c r="N179" s="44" t="n">
        <v>15335</v>
      </c>
      <c r="O179" s="43" t="n">
        <v>2025</v>
      </c>
      <c r="P179" s="43" t="n">
        <v>11</v>
      </c>
      <c r="Q179" s="44" t="n">
        <v>14568.25</v>
      </c>
      <c r="R179" s="43" t="s">
        <v>646</v>
      </c>
      <c r="S179" s="43" t="s">
        <v>83</v>
      </c>
      <c r="T179" s="43" t="s">
        <v>641</v>
      </c>
      <c r="U179" s="43" t="s">
        <v>634</v>
      </c>
      <c r="V179" s="43" t="n">
        <v>28</v>
      </c>
      <c r="W179" s="43" t="n">
        <v>8</v>
      </c>
      <c r="X179" s="43" t="n">
        <v>36</v>
      </c>
      <c r="Y179" s="43" t="s">
        <v>635</v>
      </c>
      <c r="Z179" s="43" t="s">
        <v>636</v>
      </c>
    </row>
    <row r="180" customFormat="false" ht="15" hidden="false" customHeight="false" outlineLevel="0" collapsed="false">
      <c r="A180" s="43" t="n">
        <v>178</v>
      </c>
      <c r="B180" s="43" t="s">
        <v>731</v>
      </c>
      <c r="C180" s="43" t="s">
        <v>732</v>
      </c>
      <c r="D180" s="43" t="s">
        <v>733</v>
      </c>
      <c r="E180" s="43" t="s">
        <v>131</v>
      </c>
      <c r="F180" s="43" t="s">
        <v>48</v>
      </c>
      <c r="G180" s="43" t="n">
        <v>2024</v>
      </c>
      <c r="H180" s="44" t="n">
        <v>5642</v>
      </c>
      <c r="I180" s="43" t="n">
        <v>2024</v>
      </c>
      <c r="J180" s="43" t="n">
        <v>7</v>
      </c>
      <c r="K180" s="44" t="n">
        <v>18800</v>
      </c>
      <c r="L180" s="43" t="n">
        <v>2024</v>
      </c>
      <c r="M180" s="43" t="n">
        <v>8</v>
      </c>
      <c r="N180" s="44" t="n">
        <v>16803</v>
      </c>
      <c r="O180" s="43" t="n">
        <v>2024</v>
      </c>
      <c r="P180" s="43" t="n">
        <v>8</v>
      </c>
      <c r="Q180" s="44" t="n">
        <v>15122.7</v>
      </c>
      <c r="R180" s="43" t="s">
        <v>646</v>
      </c>
      <c r="S180" s="43" t="s">
        <v>83</v>
      </c>
      <c r="T180" s="43" t="s">
        <v>641</v>
      </c>
      <c r="U180" s="43" t="s">
        <v>642</v>
      </c>
      <c r="V180" s="43" t="n">
        <v>11</v>
      </c>
      <c r="W180" s="43" t="n">
        <v>9</v>
      </c>
      <c r="X180" s="43" t="n">
        <v>20</v>
      </c>
      <c r="Y180" s="43" t="s">
        <v>635</v>
      </c>
      <c r="Z180" s="43" t="s">
        <v>636</v>
      </c>
    </row>
    <row r="181" customFormat="false" ht="15" hidden="false" customHeight="false" outlineLevel="0" collapsed="false">
      <c r="A181" s="43" t="n">
        <v>179</v>
      </c>
      <c r="B181" s="43" t="s">
        <v>734</v>
      </c>
      <c r="C181" s="43" t="s">
        <v>735</v>
      </c>
      <c r="D181" s="43" t="s">
        <v>735</v>
      </c>
      <c r="E181" s="43" t="s">
        <v>131</v>
      </c>
      <c r="F181" s="43" t="s">
        <v>48</v>
      </c>
      <c r="G181" s="43" t="n">
        <v>2024</v>
      </c>
      <c r="H181" s="44" t="n">
        <v>0</v>
      </c>
      <c r="I181" s="43" t="n">
        <v>2024</v>
      </c>
      <c r="J181" s="43" t="n">
        <v>8</v>
      </c>
      <c r="K181" s="44" t="n">
        <v>8906</v>
      </c>
      <c r="L181" s="43" t="n">
        <v>2024</v>
      </c>
      <c r="M181" s="43" t="n">
        <v>9</v>
      </c>
      <c r="N181" s="44" t="n">
        <v>8906</v>
      </c>
      <c r="O181" s="43" t="n">
        <v>2024</v>
      </c>
      <c r="P181" s="43" t="n">
        <v>10</v>
      </c>
      <c r="Q181" s="44" t="n">
        <v>8460.7</v>
      </c>
      <c r="R181" s="43" t="s">
        <v>651</v>
      </c>
      <c r="S181" s="43" t="s">
        <v>85</v>
      </c>
      <c r="T181" s="43" t="s">
        <v>633</v>
      </c>
      <c r="U181" s="43" t="s">
        <v>634</v>
      </c>
      <c r="V181" s="43" t="n">
        <v>15</v>
      </c>
      <c r="W181" s="43" t="n">
        <v>30</v>
      </c>
      <c r="X181" s="43" t="n">
        <v>45</v>
      </c>
      <c r="Y181" s="43" t="s">
        <v>635</v>
      </c>
      <c r="Z181" s="43" t="s">
        <v>636</v>
      </c>
    </row>
    <row r="182" customFormat="false" ht="15" hidden="false" customHeight="false" outlineLevel="0" collapsed="false">
      <c r="A182" s="43" t="n">
        <v>180</v>
      </c>
      <c r="B182" s="43" t="s">
        <v>734</v>
      </c>
      <c r="C182" s="43" t="s">
        <v>735</v>
      </c>
      <c r="D182" s="43" t="s">
        <v>735</v>
      </c>
      <c r="E182" s="43" t="s">
        <v>131</v>
      </c>
      <c r="F182" s="43" t="s">
        <v>48</v>
      </c>
      <c r="G182" s="43" t="n">
        <v>2024</v>
      </c>
      <c r="H182" s="44" t="n">
        <v>0</v>
      </c>
      <c r="I182" s="43" t="n">
        <v>2024</v>
      </c>
      <c r="J182" s="43" t="n">
        <v>9</v>
      </c>
      <c r="K182" s="44" t="n">
        <v>13808</v>
      </c>
      <c r="L182" s="43" t="n">
        <v>2024</v>
      </c>
      <c r="M182" s="43" t="n">
        <v>10</v>
      </c>
      <c r="N182" s="44" t="n">
        <v>13808</v>
      </c>
      <c r="O182" s="43" t="n">
        <v>2024</v>
      </c>
      <c r="P182" s="43" t="n">
        <v>10</v>
      </c>
      <c r="Q182" s="44" t="n">
        <v>13117.6</v>
      </c>
      <c r="R182" s="43" t="s">
        <v>651</v>
      </c>
      <c r="S182" s="43" t="s">
        <v>85</v>
      </c>
      <c r="T182" s="43" t="s">
        <v>633</v>
      </c>
      <c r="U182" s="43" t="s">
        <v>634</v>
      </c>
      <c r="V182" s="43" t="n">
        <v>15</v>
      </c>
      <c r="W182" s="43" t="n">
        <v>8</v>
      </c>
      <c r="X182" s="43" t="n">
        <v>23</v>
      </c>
      <c r="Y182" s="43" t="s">
        <v>635</v>
      </c>
      <c r="Z182" s="43" t="s">
        <v>636</v>
      </c>
    </row>
    <row r="183" customFormat="false" ht="15" hidden="false" customHeight="false" outlineLevel="0" collapsed="false">
      <c r="A183" s="43" t="n">
        <v>181</v>
      </c>
      <c r="B183" s="43" t="s">
        <v>734</v>
      </c>
      <c r="C183" s="43" t="s">
        <v>735</v>
      </c>
      <c r="D183" s="43" t="s">
        <v>735</v>
      </c>
      <c r="E183" s="43" t="s">
        <v>131</v>
      </c>
      <c r="F183" s="43" t="s">
        <v>48</v>
      </c>
      <c r="G183" s="43" t="n">
        <v>2024</v>
      </c>
      <c r="H183" s="44" t="n">
        <v>0</v>
      </c>
      <c r="I183" s="43" t="n">
        <v>2024</v>
      </c>
      <c r="J183" s="43" t="n">
        <v>10</v>
      </c>
      <c r="K183" s="44" t="n">
        <v>3212</v>
      </c>
      <c r="L183" s="43" t="n">
        <v>2024</v>
      </c>
      <c r="M183" s="43" t="n">
        <v>11</v>
      </c>
      <c r="N183" s="44" t="n">
        <v>3212</v>
      </c>
      <c r="O183" s="43" t="n">
        <v>2024</v>
      </c>
      <c r="P183" s="43" t="n">
        <v>11</v>
      </c>
      <c r="Q183" s="44" t="n">
        <v>3051.4</v>
      </c>
      <c r="R183" s="43" t="s">
        <v>651</v>
      </c>
      <c r="S183" s="43" t="s">
        <v>85</v>
      </c>
      <c r="T183" s="43" t="s">
        <v>633</v>
      </c>
      <c r="U183" s="43" t="s">
        <v>634</v>
      </c>
      <c r="V183" s="43" t="n">
        <v>16</v>
      </c>
      <c r="W183" s="43" t="n">
        <v>12</v>
      </c>
      <c r="X183" s="43" t="n">
        <v>28</v>
      </c>
      <c r="Y183" s="43" t="s">
        <v>635</v>
      </c>
      <c r="Z183" s="43" t="s">
        <v>636</v>
      </c>
    </row>
    <row r="184" customFormat="false" ht="15" hidden="false" customHeight="false" outlineLevel="0" collapsed="false">
      <c r="A184" s="43" t="n">
        <v>182</v>
      </c>
      <c r="B184" s="43" t="s">
        <v>734</v>
      </c>
      <c r="C184" s="43" t="s">
        <v>735</v>
      </c>
      <c r="D184" s="43" t="s">
        <v>735</v>
      </c>
      <c r="E184" s="43" t="s">
        <v>131</v>
      </c>
      <c r="F184" s="43" t="s">
        <v>48</v>
      </c>
      <c r="G184" s="43" t="n">
        <v>2024</v>
      </c>
      <c r="H184" s="44" t="n">
        <v>0</v>
      </c>
      <c r="I184" s="43" t="n">
        <v>2024</v>
      </c>
      <c r="J184" s="43" t="n">
        <v>11</v>
      </c>
      <c r="K184" s="44" t="n">
        <v>17309</v>
      </c>
      <c r="L184" s="43" t="n">
        <v>2024</v>
      </c>
      <c r="M184" s="43" t="n">
        <v>12</v>
      </c>
      <c r="N184" s="44" t="n">
        <v>17309</v>
      </c>
      <c r="O184" s="43" t="n">
        <v>2024</v>
      </c>
      <c r="P184" s="43" t="n">
        <v>12</v>
      </c>
      <c r="Q184" s="44" t="n">
        <v>16443.55</v>
      </c>
      <c r="R184" s="43" t="s">
        <v>651</v>
      </c>
      <c r="S184" s="43" t="s">
        <v>85</v>
      </c>
      <c r="T184" s="43" t="s">
        <v>633</v>
      </c>
      <c r="U184" s="43" t="s">
        <v>634</v>
      </c>
      <c r="V184" s="43" t="n">
        <v>12</v>
      </c>
      <c r="W184" s="43" t="n">
        <v>13</v>
      </c>
      <c r="X184" s="43" t="n">
        <v>25</v>
      </c>
      <c r="Y184" s="43" t="s">
        <v>635</v>
      </c>
      <c r="Z184" s="43" t="s">
        <v>636</v>
      </c>
    </row>
    <row r="185" customFormat="false" ht="15" hidden="false" customHeight="false" outlineLevel="0" collapsed="false">
      <c r="A185" s="43" t="n">
        <v>183</v>
      </c>
      <c r="B185" s="43" t="s">
        <v>734</v>
      </c>
      <c r="C185" s="43" t="s">
        <v>735</v>
      </c>
      <c r="D185" s="43" t="s">
        <v>735</v>
      </c>
      <c r="E185" s="43" t="s">
        <v>131</v>
      </c>
      <c r="F185" s="43" t="s">
        <v>48</v>
      </c>
      <c r="G185" s="43" t="n">
        <v>2024</v>
      </c>
      <c r="H185" s="44" t="n">
        <v>0</v>
      </c>
      <c r="I185" s="43" t="n">
        <v>2024</v>
      </c>
      <c r="J185" s="43" t="n">
        <v>12</v>
      </c>
      <c r="K185" s="44" t="n">
        <v>36716</v>
      </c>
      <c r="L185" s="43" t="n">
        <v>2025</v>
      </c>
      <c r="M185" s="43" t="n">
        <v>2</v>
      </c>
      <c r="N185" s="44" t="n">
        <v>36716</v>
      </c>
      <c r="O185" s="43" t="n">
        <v>2025</v>
      </c>
      <c r="P185" s="43" t="n">
        <v>2</v>
      </c>
      <c r="Q185" s="44" t="n">
        <v>36195.18354</v>
      </c>
      <c r="R185" s="43" t="s">
        <v>651</v>
      </c>
      <c r="S185" s="43" t="s">
        <v>85</v>
      </c>
      <c r="T185" s="43" t="s">
        <v>633</v>
      </c>
      <c r="U185" s="43" t="s">
        <v>634</v>
      </c>
      <c r="V185" s="43" t="n">
        <v>63</v>
      </c>
      <c r="W185" s="43" t="n">
        <v>4</v>
      </c>
      <c r="X185" s="43" t="n">
        <v>67</v>
      </c>
      <c r="Y185" s="43" t="s">
        <v>635</v>
      </c>
      <c r="Z185" s="43" t="s">
        <v>636</v>
      </c>
    </row>
    <row r="186" customFormat="false" ht="15" hidden="false" customHeight="false" outlineLevel="0" collapsed="false">
      <c r="A186" s="43" t="n">
        <v>184</v>
      </c>
      <c r="B186" s="43" t="s">
        <v>734</v>
      </c>
      <c r="C186" s="43" t="s">
        <v>735</v>
      </c>
      <c r="D186" s="43" t="s">
        <v>735</v>
      </c>
      <c r="E186" s="43" t="s">
        <v>131</v>
      </c>
      <c r="F186" s="43" t="s">
        <v>48</v>
      </c>
      <c r="G186" s="43" t="n">
        <v>2025</v>
      </c>
      <c r="H186" s="44" t="n">
        <v>0</v>
      </c>
      <c r="I186" s="43" t="n">
        <v>2025</v>
      </c>
      <c r="J186" s="43" t="n">
        <v>1</v>
      </c>
      <c r="K186" s="44" t="n">
        <v>14903</v>
      </c>
      <c r="L186" s="43" t="n">
        <v>2025</v>
      </c>
      <c r="M186" s="43" t="n">
        <v>5</v>
      </c>
      <c r="N186" s="44" t="n">
        <v>22365</v>
      </c>
      <c r="O186" s="43" t="n">
        <v>2025</v>
      </c>
      <c r="P186" s="43" t="n">
        <v>5</v>
      </c>
      <c r="Q186" s="44" t="n">
        <v>21246.75</v>
      </c>
      <c r="R186" s="43" t="s">
        <v>651</v>
      </c>
      <c r="S186" s="43" t="s">
        <v>85</v>
      </c>
      <c r="T186" s="43" t="s">
        <v>633</v>
      </c>
      <c r="U186" s="43" t="s">
        <v>634</v>
      </c>
      <c r="V186" s="43" t="n">
        <v>108</v>
      </c>
      <c r="W186" s="43" t="n">
        <v>16</v>
      </c>
      <c r="X186" s="43" t="n">
        <v>124</v>
      </c>
      <c r="Y186" s="43" t="s">
        <v>635</v>
      </c>
      <c r="Z186" s="43" t="s">
        <v>636</v>
      </c>
    </row>
    <row r="187" customFormat="false" ht="15" hidden="false" customHeight="false" outlineLevel="0" collapsed="false">
      <c r="A187" s="43" t="n">
        <v>185</v>
      </c>
      <c r="B187" s="43" t="s">
        <v>736</v>
      </c>
      <c r="C187" s="43" t="s">
        <v>737</v>
      </c>
      <c r="D187" s="43" t="s">
        <v>737</v>
      </c>
      <c r="E187" s="43" t="s">
        <v>131</v>
      </c>
      <c r="F187" s="43" t="s">
        <v>48</v>
      </c>
      <c r="G187" s="43" t="n">
        <v>2024</v>
      </c>
      <c r="H187" s="44" t="n">
        <v>0</v>
      </c>
      <c r="I187" s="43" t="n">
        <v>2024</v>
      </c>
      <c r="J187" s="43" t="n">
        <v>7</v>
      </c>
      <c r="K187" s="44" t="n">
        <v>34041</v>
      </c>
      <c r="L187" s="43" t="n">
        <v>2024</v>
      </c>
      <c r="M187" s="43" t="n">
        <v>8</v>
      </c>
      <c r="N187" s="44" t="n">
        <v>34401</v>
      </c>
      <c r="O187" s="43" t="n">
        <v>2024</v>
      </c>
      <c r="P187" s="43" t="n">
        <v>9</v>
      </c>
      <c r="Q187" s="44" t="n">
        <v>34401</v>
      </c>
      <c r="R187" s="43" t="s">
        <v>651</v>
      </c>
      <c r="S187" s="43" t="s">
        <v>85</v>
      </c>
      <c r="T187" s="43" t="s">
        <v>633</v>
      </c>
      <c r="U187" s="43" t="s">
        <v>642</v>
      </c>
      <c r="V187" s="43" t="n">
        <v>33</v>
      </c>
      <c r="W187" s="43" t="n">
        <v>31</v>
      </c>
      <c r="X187" s="43" t="n">
        <v>64</v>
      </c>
      <c r="Y187" s="43" t="s">
        <v>635</v>
      </c>
      <c r="Z187" s="43" t="s">
        <v>636</v>
      </c>
    </row>
    <row r="188" customFormat="false" ht="15" hidden="false" customHeight="false" outlineLevel="0" collapsed="false">
      <c r="A188" s="43" t="n">
        <v>186</v>
      </c>
      <c r="B188" s="43" t="s">
        <v>738</v>
      </c>
      <c r="C188" s="43" t="s">
        <v>739</v>
      </c>
      <c r="D188" s="43" t="s">
        <v>739</v>
      </c>
      <c r="E188" s="43" t="s">
        <v>131</v>
      </c>
      <c r="F188" s="43" t="s">
        <v>48</v>
      </c>
      <c r="G188" s="43" t="n">
        <v>2024</v>
      </c>
      <c r="H188" s="44" t="n">
        <v>0</v>
      </c>
      <c r="I188" s="43" t="n">
        <v>2024</v>
      </c>
      <c r="J188" s="43" t="n">
        <v>7</v>
      </c>
      <c r="K188" s="44" t="n">
        <v>26563</v>
      </c>
      <c r="L188" s="43" t="n">
        <v>2024</v>
      </c>
      <c r="M188" s="43" t="n">
        <v>8</v>
      </c>
      <c r="N188" s="44" t="n">
        <v>26563</v>
      </c>
      <c r="O188" s="43" t="n">
        <v>2024</v>
      </c>
      <c r="P188" s="43" t="n">
        <v>9</v>
      </c>
      <c r="Q188" s="44" t="n">
        <v>26563</v>
      </c>
      <c r="R188" s="43" t="s">
        <v>651</v>
      </c>
      <c r="S188" s="43" t="s">
        <v>85</v>
      </c>
      <c r="T188" s="43" t="s">
        <v>633</v>
      </c>
      <c r="U188" s="43" t="s">
        <v>642</v>
      </c>
      <c r="V188" s="43" t="n">
        <v>33</v>
      </c>
      <c r="W188" s="43" t="n">
        <v>31</v>
      </c>
      <c r="X188" s="43" t="n">
        <v>64</v>
      </c>
      <c r="Y188" s="43" t="s">
        <v>635</v>
      </c>
      <c r="Z188" s="43" t="s">
        <v>636</v>
      </c>
    </row>
    <row r="189" customFormat="false" ht="15" hidden="false" customHeight="false" outlineLevel="0" collapsed="false">
      <c r="A189" s="43" t="n">
        <v>187</v>
      </c>
      <c r="B189" s="43" t="s">
        <v>738</v>
      </c>
      <c r="C189" s="43" t="s">
        <v>739</v>
      </c>
      <c r="D189" s="43" t="s">
        <v>739</v>
      </c>
      <c r="E189" s="43" t="s">
        <v>131</v>
      </c>
      <c r="F189" s="43" t="s">
        <v>48</v>
      </c>
      <c r="G189" s="43" t="n">
        <v>2024</v>
      </c>
      <c r="H189" s="44" t="n">
        <v>0</v>
      </c>
      <c r="I189" s="43" t="n">
        <v>2024</v>
      </c>
      <c r="J189" s="43" t="n">
        <v>10</v>
      </c>
      <c r="K189" s="44" t="n">
        <v>34586</v>
      </c>
      <c r="L189" s="43" t="n">
        <v>2025</v>
      </c>
      <c r="M189" s="43" t="n">
        <v>1</v>
      </c>
      <c r="N189" s="44" t="n">
        <v>33111</v>
      </c>
      <c r="O189" s="43" t="n">
        <v>2025</v>
      </c>
      <c r="P189" s="43" t="n">
        <v>2</v>
      </c>
      <c r="Q189" s="44" t="n">
        <v>36147.023883</v>
      </c>
      <c r="R189" s="43" t="s">
        <v>651</v>
      </c>
      <c r="S189" s="43" t="s">
        <v>85</v>
      </c>
      <c r="T189" s="43" t="s">
        <v>633</v>
      </c>
      <c r="U189" s="43" t="s">
        <v>642</v>
      </c>
      <c r="V189" s="43" t="n">
        <v>95</v>
      </c>
      <c r="W189" s="43" t="n">
        <v>30</v>
      </c>
      <c r="X189" s="43" t="n">
        <v>125</v>
      </c>
      <c r="Y189" s="43" t="s">
        <v>635</v>
      </c>
      <c r="Z189" s="43" t="s">
        <v>636</v>
      </c>
    </row>
    <row r="190" customFormat="false" ht="15" hidden="false" customHeight="false" outlineLevel="0" collapsed="false">
      <c r="A190" s="43" t="n">
        <v>188</v>
      </c>
      <c r="B190" s="43" t="s">
        <v>740</v>
      </c>
      <c r="C190" s="43" t="s">
        <v>741</v>
      </c>
      <c r="D190" s="43" t="s">
        <v>741</v>
      </c>
      <c r="E190" s="43" t="s">
        <v>131</v>
      </c>
      <c r="F190" s="43" t="s">
        <v>48</v>
      </c>
      <c r="G190" s="43" t="n">
        <v>2023</v>
      </c>
      <c r="H190" s="44" t="n">
        <v>0</v>
      </c>
      <c r="I190" s="43" t="n">
        <v>2023</v>
      </c>
      <c r="J190" s="43" t="n">
        <v>12</v>
      </c>
      <c r="K190" s="44" t="n">
        <v>33661</v>
      </c>
      <c r="L190" s="43" t="n">
        <v>2024</v>
      </c>
      <c r="M190" s="43" t="n">
        <v>1</v>
      </c>
      <c r="N190" s="44" t="n">
        <v>33661</v>
      </c>
      <c r="O190" s="43" t="n">
        <v>2024</v>
      </c>
      <c r="P190" s="43" t="n">
        <v>1</v>
      </c>
      <c r="Q190" s="44" t="n">
        <v>31977.95</v>
      </c>
      <c r="R190" s="43" t="s">
        <v>646</v>
      </c>
      <c r="S190" s="43" t="s">
        <v>83</v>
      </c>
      <c r="T190" s="43" t="s">
        <v>641</v>
      </c>
      <c r="U190" s="43" t="s">
        <v>647</v>
      </c>
      <c r="V190" s="43" t="n">
        <v>15</v>
      </c>
      <c r="W190" s="43" t="n">
        <v>14</v>
      </c>
      <c r="X190" s="43" t="n">
        <v>29</v>
      </c>
      <c r="Y190" s="43" t="s">
        <v>635</v>
      </c>
      <c r="Z190" s="43" t="s">
        <v>636</v>
      </c>
    </row>
    <row r="191" customFormat="false" ht="15" hidden="false" customHeight="false" outlineLevel="0" collapsed="false">
      <c r="A191" s="43" t="n">
        <v>189</v>
      </c>
      <c r="B191" s="43" t="s">
        <v>740</v>
      </c>
      <c r="C191" s="43" t="s">
        <v>741</v>
      </c>
      <c r="D191" s="43" t="s">
        <v>741</v>
      </c>
      <c r="E191" s="43" t="s">
        <v>131</v>
      </c>
      <c r="F191" s="43" t="s">
        <v>48</v>
      </c>
      <c r="G191" s="43" t="n">
        <v>2024</v>
      </c>
      <c r="H191" s="44" t="n">
        <v>93026</v>
      </c>
      <c r="I191" s="43" t="n">
        <v>2024</v>
      </c>
      <c r="J191" s="43" t="n">
        <v>1</v>
      </c>
      <c r="K191" s="44" t="n">
        <v>16146</v>
      </c>
      <c r="L191" s="43" t="n">
        <v>2024</v>
      </c>
      <c r="M191" s="43" t="n">
        <v>2</v>
      </c>
      <c r="N191" s="44" t="n">
        <v>16146</v>
      </c>
      <c r="O191" s="43" t="n">
        <v>2024</v>
      </c>
      <c r="P191" s="43" t="n">
        <v>2</v>
      </c>
      <c r="Q191" s="44" t="n">
        <v>15338.7</v>
      </c>
      <c r="R191" s="43" t="s">
        <v>646</v>
      </c>
      <c r="S191" s="43" t="s">
        <v>83</v>
      </c>
      <c r="T191" s="43" t="s">
        <v>641</v>
      </c>
      <c r="U191" s="43" t="s">
        <v>647</v>
      </c>
      <c r="V191" s="43" t="n">
        <v>13</v>
      </c>
      <c r="W191" s="43" t="n">
        <v>21</v>
      </c>
      <c r="X191" s="43" t="n">
        <v>34</v>
      </c>
      <c r="Y191" s="43" t="s">
        <v>635</v>
      </c>
      <c r="Z191" s="43" t="s">
        <v>636</v>
      </c>
    </row>
    <row r="192" customFormat="false" ht="15" hidden="false" customHeight="false" outlineLevel="0" collapsed="false">
      <c r="A192" s="43" t="n">
        <v>190</v>
      </c>
      <c r="B192" s="43" t="s">
        <v>740</v>
      </c>
      <c r="C192" s="43" t="s">
        <v>741</v>
      </c>
      <c r="D192" s="43" t="s">
        <v>741</v>
      </c>
      <c r="E192" s="43" t="s">
        <v>131</v>
      </c>
      <c r="F192" s="43" t="s">
        <v>48</v>
      </c>
      <c r="G192" s="43" t="n">
        <v>2024</v>
      </c>
      <c r="H192" s="44" t="n">
        <v>42563</v>
      </c>
      <c r="I192" s="43" t="n">
        <v>2024</v>
      </c>
      <c r="J192" s="43" t="n">
        <v>2</v>
      </c>
      <c r="K192" s="44" t="n">
        <v>25645</v>
      </c>
      <c r="L192" s="43" t="n">
        <v>2024</v>
      </c>
      <c r="M192" s="43" t="n">
        <v>3</v>
      </c>
      <c r="N192" s="44" t="n">
        <v>25645</v>
      </c>
      <c r="O192" s="43" t="n">
        <v>2024</v>
      </c>
      <c r="P192" s="43" t="n">
        <v>3</v>
      </c>
      <c r="Q192" s="44" t="n">
        <v>24362.75</v>
      </c>
      <c r="R192" s="43" t="s">
        <v>646</v>
      </c>
      <c r="S192" s="43" t="s">
        <v>83</v>
      </c>
      <c r="T192" s="43" t="s">
        <v>641</v>
      </c>
      <c r="U192" s="43" t="s">
        <v>647</v>
      </c>
      <c r="V192" s="43" t="n">
        <v>22</v>
      </c>
      <c r="W192" s="43" t="n">
        <v>4</v>
      </c>
      <c r="X192" s="43" t="n">
        <v>26</v>
      </c>
      <c r="Y192" s="43" t="s">
        <v>635</v>
      </c>
      <c r="Z192" s="43" t="s">
        <v>636</v>
      </c>
    </row>
    <row r="193" customFormat="false" ht="15" hidden="false" customHeight="false" outlineLevel="0" collapsed="false">
      <c r="A193" s="43" t="n">
        <v>191</v>
      </c>
      <c r="B193" s="43" t="s">
        <v>740</v>
      </c>
      <c r="C193" s="43" t="s">
        <v>741</v>
      </c>
      <c r="D193" s="43" t="s">
        <v>741</v>
      </c>
      <c r="E193" s="43" t="s">
        <v>131</v>
      </c>
      <c r="F193" s="43" t="s">
        <v>48</v>
      </c>
      <c r="G193" s="43" t="n">
        <v>2024</v>
      </c>
      <c r="H193" s="44" t="n">
        <v>12000</v>
      </c>
      <c r="I193" s="43" t="n">
        <v>2024</v>
      </c>
      <c r="J193" s="43" t="n">
        <v>3</v>
      </c>
      <c r="K193" s="44" t="n">
        <v>4969</v>
      </c>
      <c r="L193" s="43" t="n">
        <v>2024</v>
      </c>
      <c r="M193" s="43" t="n">
        <v>4</v>
      </c>
      <c r="N193" s="44" t="n">
        <v>4969</v>
      </c>
      <c r="O193" s="43" t="n">
        <v>2024</v>
      </c>
      <c r="P193" s="43" t="n">
        <v>4</v>
      </c>
      <c r="Q193" s="44" t="n">
        <v>4720.55</v>
      </c>
      <c r="R193" s="43" t="s">
        <v>646</v>
      </c>
      <c r="S193" s="43" t="s">
        <v>83</v>
      </c>
      <c r="T193" s="43" t="s">
        <v>641</v>
      </c>
      <c r="U193" s="43" t="s">
        <v>647</v>
      </c>
      <c r="V193" s="43" t="n">
        <v>18</v>
      </c>
      <c r="W193" s="43" t="n">
        <v>18</v>
      </c>
      <c r="X193" s="43" t="n">
        <v>36</v>
      </c>
      <c r="Y193" s="43" t="s">
        <v>635</v>
      </c>
      <c r="Z193" s="43" t="s">
        <v>636</v>
      </c>
    </row>
    <row r="194" customFormat="false" ht="15" hidden="false" customHeight="false" outlineLevel="0" collapsed="false">
      <c r="A194" s="43" t="n">
        <v>192</v>
      </c>
      <c r="B194" s="43" t="s">
        <v>740</v>
      </c>
      <c r="C194" s="43" t="s">
        <v>741</v>
      </c>
      <c r="D194" s="43" t="s">
        <v>741</v>
      </c>
      <c r="E194" s="43" t="s">
        <v>131</v>
      </c>
      <c r="F194" s="43" t="s">
        <v>48</v>
      </c>
      <c r="G194" s="43" t="n">
        <v>2024</v>
      </c>
      <c r="H194" s="44" t="n">
        <v>8629</v>
      </c>
      <c r="I194" s="43" t="n">
        <v>2024</v>
      </c>
      <c r="J194" s="43" t="n">
        <v>4</v>
      </c>
      <c r="K194" s="44" t="n">
        <v>9436</v>
      </c>
      <c r="L194" s="43" t="n">
        <v>2024</v>
      </c>
      <c r="M194" s="43" t="n">
        <v>5</v>
      </c>
      <c r="N194" s="44" t="n">
        <v>9436</v>
      </c>
      <c r="O194" s="43" t="n">
        <v>2024</v>
      </c>
      <c r="P194" s="43" t="n">
        <v>5</v>
      </c>
      <c r="Q194" s="44" t="n">
        <v>8964.2</v>
      </c>
      <c r="R194" s="43" t="s">
        <v>646</v>
      </c>
      <c r="S194" s="43" t="s">
        <v>83</v>
      </c>
      <c r="T194" s="43" t="s">
        <v>641</v>
      </c>
      <c r="U194" s="43" t="s">
        <v>647</v>
      </c>
      <c r="V194" s="43" t="n">
        <v>22</v>
      </c>
      <c r="W194" s="43" t="n">
        <v>7</v>
      </c>
      <c r="X194" s="43" t="n">
        <v>29</v>
      </c>
      <c r="Y194" s="43" t="s">
        <v>635</v>
      </c>
      <c r="Z194" s="43" t="s">
        <v>636</v>
      </c>
    </row>
    <row r="195" customFormat="false" ht="15" hidden="false" customHeight="false" outlineLevel="0" collapsed="false">
      <c r="A195" s="43" t="n">
        <v>193</v>
      </c>
      <c r="B195" s="43" t="s">
        <v>740</v>
      </c>
      <c r="C195" s="43" t="s">
        <v>741</v>
      </c>
      <c r="D195" s="43" t="s">
        <v>741</v>
      </c>
      <c r="E195" s="43" t="s">
        <v>131</v>
      </c>
      <c r="F195" s="43" t="s">
        <v>48</v>
      </c>
      <c r="G195" s="43" t="n">
        <v>2024</v>
      </c>
      <c r="H195" s="44" t="n">
        <v>0</v>
      </c>
      <c r="I195" s="43" t="n">
        <v>2024</v>
      </c>
      <c r="J195" s="43" t="n">
        <v>5</v>
      </c>
      <c r="K195" s="44" t="n">
        <v>2974</v>
      </c>
      <c r="L195" s="43" t="n">
        <v>2024</v>
      </c>
      <c r="M195" s="43" t="n">
        <v>6</v>
      </c>
      <c r="N195" s="44" t="n">
        <v>2974</v>
      </c>
      <c r="O195" s="43" t="n">
        <v>2024</v>
      </c>
      <c r="P195" s="43" t="n">
        <v>6</v>
      </c>
      <c r="Q195" s="44" t="n">
        <v>2825.3</v>
      </c>
      <c r="R195" s="43" t="s">
        <v>646</v>
      </c>
      <c r="S195" s="43" t="s">
        <v>83</v>
      </c>
      <c r="T195" s="43" t="s">
        <v>641</v>
      </c>
      <c r="U195" s="43" t="s">
        <v>647</v>
      </c>
      <c r="V195" s="43" t="n">
        <v>9</v>
      </c>
      <c r="W195" s="43" t="n">
        <v>7</v>
      </c>
      <c r="X195" s="43" t="n">
        <v>16</v>
      </c>
      <c r="Y195" s="43" t="s">
        <v>635</v>
      </c>
      <c r="Z195" s="43" t="s">
        <v>636</v>
      </c>
    </row>
    <row r="196" customFormat="false" ht="15" hidden="false" customHeight="false" outlineLevel="0" collapsed="false">
      <c r="A196" s="43" t="n">
        <v>194</v>
      </c>
      <c r="B196" s="43" t="s">
        <v>742</v>
      </c>
      <c r="C196" s="43" t="s">
        <v>743</v>
      </c>
      <c r="D196" s="43" t="s">
        <v>743</v>
      </c>
      <c r="E196" s="43" t="s">
        <v>131</v>
      </c>
      <c r="F196" s="43" t="s">
        <v>48</v>
      </c>
      <c r="G196" s="43" t="n">
        <v>2024</v>
      </c>
      <c r="H196" s="44" t="n">
        <v>0</v>
      </c>
      <c r="I196" s="43" t="n">
        <v>2024</v>
      </c>
      <c r="J196" s="43" t="n">
        <v>12</v>
      </c>
      <c r="K196" s="44" t="n">
        <v>46214.27</v>
      </c>
      <c r="L196" s="43" t="n">
        <v>2025</v>
      </c>
      <c r="M196" s="43" t="n">
        <v>1</v>
      </c>
      <c r="N196" s="44" t="n">
        <v>46214</v>
      </c>
      <c r="O196" s="43" t="n">
        <v>2025</v>
      </c>
      <c r="P196" s="43" t="n">
        <v>1</v>
      </c>
      <c r="Q196" s="44" t="n">
        <v>45558.45441</v>
      </c>
      <c r="R196" s="43" t="s">
        <v>646</v>
      </c>
      <c r="S196" s="43" t="s">
        <v>83</v>
      </c>
      <c r="T196" s="43" t="s">
        <v>641</v>
      </c>
      <c r="U196" s="43" t="s">
        <v>647</v>
      </c>
      <c r="V196" s="43" t="n">
        <v>13</v>
      </c>
      <c r="W196" s="43" t="n">
        <v>7</v>
      </c>
      <c r="X196" s="43" t="n">
        <v>20</v>
      </c>
      <c r="Y196" s="43" t="s">
        <v>635</v>
      </c>
      <c r="Z196" s="43" t="s">
        <v>636</v>
      </c>
    </row>
    <row r="197" customFormat="false" ht="15" hidden="false" customHeight="false" outlineLevel="0" collapsed="false">
      <c r="A197" s="43" t="n">
        <v>195</v>
      </c>
      <c r="B197" s="43" t="s">
        <v>742</v>
      </c>
      <c r="C197" s="43" t="s">
        <v>743</v>
      </c>
      <c r="D197" s="43" t="s">
        <v>743</v>
      </c>
      <c r="E197" s="43" t="s">
        <v>131</v>
      </c>
      <c r="F197" s="43" t="s">
        <v>48</v>
      </c>
      <c r="G197" s="43" t="n">
        <v>2025</v>
      </c>
      <c r="H197" s="44" t="n">
        <v>0</v>
      </c>
      <c r="I197" s="43" t="n">
        <v>2025</v>
      </c>
      <c r="J197" s="43" t="n">
        <v>1</v>
      </c>
      <c r="K197" s="44" t="n">
        <v>9854</v>
      </c>
      <c r="L197" s="43" t="n">
        <v>2025</v>
      </c>
      <c r="M197" s="43" t="n">
        <v>2</v>
      </c>
      <c r="N197" s="44" t="n">
        <v>9854</v>
      </c>
      <c r="O197" s="43" t="n">
        <v>2025</v>
      </c>
      <c r="P197" s="43" t="n">
        <v>2</v>
      </c>
      <c r="Q197" s="44" t="n">
        <v>9714.22101</v>
      </c>
      <c r="R197" s="43" t="s">
        <v>646</v>
      </c>
      <c r="S197" s="43" t="s">
        <v>83</v>
      </c>
      <c r="T197" s="43" t="s">
        <v>641</v>
      </c>
      <c r="U197" s="43" t="s">
        <v>647</v>
      </c>
      <c r="V197" s="43" t="n">
        <v>25</v>
      </c>
      <c r="W197" s="43" t="n">
        <v>4</v>
      </c>
      <c r="X197" s="43" t="n">
        <v>29</v>
      </c>
      <c r="Y197" s="43" t="s">
        <v>635</v>
      </c>
      <c r="Z197" s="43" t="s">
        <v>636</v>
      </c>
    </row>
    <row r="198" customFormat="false" ht="15" hidden="false" customHeight="false" outlineLevel="0" collapsed="false">
      <c r="A198" s="43" t="n">
        <v>196</v>
      </c>
      <c r="B198" s="43" t="s">
        <v>742</v>
      </c>
      <c r="C198" s="43" t="s">
        <v>743</v>
      </c>
      <c r="D198" s="43" t="s">
        <v>743</v>
      </c>
      <c r="E198" s="43" t="s">
        <v>131</v>
      </c>
      <c r="F198" s="43" t="s">
        <v>48</v>
      </c>
      <c r="G198" s="43" t="n">
        <v>2025</v>
      </c>
      <c r="H198" s="44" t="n">
        <v>0</v>
      </c>
      <c r="I198" s="43" t="n">
        <v>2025</v>
      </c>
      <c r="J198" s="43" t="n">
        <v>2</v>
      </c>
      <c r="K198" s="44" t="n">
        <v>16216</v>
      </c>
      <c r="L198" s="43" t="n">
        <v>2025</v>
      </c>
      <c r="M198" s="43" t="n">
        <v>3</v>
      </c>
      <c r="N198" s="44" t="n">
        <v>16441.67</v>
      </c>
      <c r="O198" s="43" t="n">
        <v>2025</v>
      </c>
      <c r="P198" s="43" t="n">
        <v>3</v>
      </c>
      <c r="Q198" s="44" t="n">
        <v>16208.44491105</v>
      </c>
      <c r="R198" s="43" t="s">
        <v>646</v>
      </c>
      <c r="S198" s="43" t="s">
        <v>83</v>
      </c>
      <c r="T198" s="43" t="s">
        <v>641</v>
      </c>
      <c r="U198" s="43" t="s">
        <v>647</v>
      </c>
      <c r="V198" s="43" t="n">
        <v>20</v>
      </c>
      <c r="W198" s="43" t="n">
        <v>4</v>
      </c>
      <c r="X198" s="43" t="n">
        <v>24</v>
      </c>
      <c r="Y198" s="43" t="s">
        <v>635</v>
      </c>
      <c r="Z198" s="43" t="s">
        <v>636</v>
      </c>
    </row>
    <row r="199" customFormat="false" ht="15" hidden="false" customHeight="false" outlineLevel="0" collapsed="false">
      <c r="A199" s="43" t="n">
        <v>197</v>
      </c>
      <c r="B199" s="43" t="s">
        <v>742</v>
      </c>
      <c r="C199" s="43" t="s">
        <v>743</v>
      </c>
      <c r="D199" s="43" t="s">
        <v>743</v>
      </c>
      <c r="E199" s="43" t="s">
        <v>131</v>
      </c>
      <c r="F199" s="43" t="s">
        <v>48</v>
      </c>
      <c r="G199" s="43" t="n">
        <v>2025</v>
      </c>
      <c r="H199" s="44" t="n">
        <v>0</v>
      </c>
      <c r="I199" s="43" t="n">
        <v>2025</v>
      </c>
      <c r="J199" s="43" t="n">
        <v>3</v>
      </c>
      <c r="K199" s="44" t="n">
        <v>12182</v>
      </c>
      <c r="L199" s="43" t="n">
        <v>2025</v>
      </c>
      <c r="M199" s="43" t="n">
        <v>4</v>
      </c>
      <c r="N199" s="44" t="n">
        <v>11623</v>
      </c>
      <c r="O199" s="43" t="n">
        <v>2025</v>
      </c>
      <c r="P199" s="43" t="n">
        <v>5</v>
      </c>
      <c r="Q199" s="44" t="n">
        <v>11041.85</v>
      </c>
      <c r="R199" s="43" t="s">
        <v>646</v>
      </c>
      <c r="S199" s="43" t="s">
        <v>83</v>
      </c>
      <c r="T199" s="43" t="s">
        <v>641</v>
      </c>
      <c r="U199" s="43" t="s">
        <v>647</v>
      </c>
      <c r="V199" s="43" t="n">
        <v>36</v>
      </c>
      <c r="W199" s="43" t="n">
        <v>27</v>
      </c>
      <c r="X199" s="43" t="n">
        <v>63</v>
      </c>
      <c r="Y199" s="43" t="s">
        <v>635</v>
      </c>
      <c r="Z199" s="43" t="s">
        <v>636</v>
      </c>
    </row>
    <row r="200" customFormat="false" ht="15" hidden="false" customHeight="false" outlineLevel="0" collapsed="false">
      <c r="A200" s="43" t="n">
        <v>198</v>
      </c>
      <c r="B200" s="43" t="s">
        <v>742</v>
      </c>
      <c r="C200" s="43" t="s">
        <v>743</v>
      </c>
      <c r="D200" s="43" t="s">
        <v>743</v>
      </c>
      <c r="E200" s="43" t="s">
        <v>131</v>
      </c>
      <c r="F200" s="43" t="s">
        <v>48</v>
      </c>
      <c r="G200" s="43" t="n">
        <v>2025</v>
      </c>
      <c r="H200" s="44" t="n">
        <v>0</v>
      </c>
      <c r="I200" s="43" t="n">
        <v>2025</v>
      </c>
      <c r="J200" s="43" t="n">
        <v>3</v>
      </c>
      <c r="K200" s="44" t="n">
        <v>36573</v>
      </c>
      <c r="L200" s="43" t="n">
        <v>2025</v>
      </c>
      <c r="M200" s="43" t="n">
        <v>6</v>
      </c>
      <c r="N200" s="44" t="n">
        <v>31139</v>
      </c>
      <c r="O200" s="43" t="n">
        <v>2025</v>
      </c>
      <c r="P200" s="43" t="n">
        <v>7</v>
      </c>
      <c r="Q200" s="44" t="n">
        <v>31139</v>
      </c>
      <c r="R200" s="43" t="s">
        <v>646</v>
      </c>
      <c r="S200" s="43" t="s">
        <v>83</v>
      </c>
      <c r="T200" s="43" t="s">
        <v>641</v>
      </c>
      <c r="U200" s="43" t="s">
        <v>647</v>
      </c>
      <c r="V200" s="43" t="n">
        <v>98</v>
      </c>
      <c r="W200" s="43" t="n">
        <v>8</v>
      </c>
      <c r="X200" s="43" t="n">
        <v>106</v>
      </c>
      <c r="Y200" s="43" t="s">
        <v>635</v>
      </c>
      <c r="Z200" s="43" t="s">
        <v>636</v>
      </c>
    </row>
    <row r="201" customFormat="false" ht="15" hidden="false" customHeight="false" outlineLevel="0" collapsed="false">
      <c r="A201" s="43" t="n">
        <v>199</v>
      </c>
      <c r="B201" s="43" t="s">
        <v>744</v>
      </c>
      <c r="C201" s="43" t="s">
        <v>745</v>
      </c>
      <c r="D201" s="43" t="s">
        <v>745</v>
      </c>
      <c r="E201" s="43" t="s">
        <v>131</v>
      </c>
      <c r="F201" s="43" t="s">
        <v>48</v>
      </c>
      <c r="G201" s="43" t="n">
        <v>2025</v>
      </c>
      <c r="H201" s="44" t="n">
        <v>0</v>
      </c>
      <c r="I201" s="43" t="n">
        <v>2025</v>
      </c>
      <c r="J201" s="43" t="n">
        <v>2</v>
      </c>
      <c r="K201" s="44" t="n">
        <v>112506</v>
      </c>
      <c r="L201" s="43" t="n">
        <v>2025</v>
      </c>
      <c r="M201" s="43" t="n">
        <v>5</v>
      </c>
      <c r="N201" s="44" t="n">
        <v>107174</v>
      </c>
      <c r="O201" s="43" t="n">
        <v>2025</v>
      </c>
      <c r="P201" s="43" t="n">
        <v>6</v>
      </c>
      <c r="Q201" s="44" t="n">
        <v>101815.3</v>
      </c>
      <c r="R201" s="43" t="s">
        <v>651</v>
      </c>
      <c r="S201" s="43" t="s">
        <v>85</v>
      </c>
      <c r="T201" s="43" t="s">
        <v>633</v>
      </c>
      <c r="U201" s="43" t="s">
        <v>647</v>
      </c>
      <c r="V201" s="43" t="n">
        <v>91</v>
      </c>
      <c r="W201" s="43" t="n">
        <v>8</v>
      </c>
      <c r="X201" s="43" t="n">
        <v>99</v>
      </c>
      <c r="Y201" s="43" t="s">
        <v>635</v>
      </c>
      <c r="Z201" s="43" t="s">
        <v>636</v>
      </c>
    </row>
    <row r="202" customFormat="false" ht="15" hidden="false" customHeight="false" outlineLevel="0" collapsed="false">
      <c r="A202" s="43" t="n">
        <v>200</v>
      </c>
      <c r="B202" s="43" t="s">
        <v>746</v>
      </c>
      <c r="C202" s="43" t="s">
        <v>747</v>
      </c>
      <c r="D202" s="43" t="s">
        <v>747</v>
      </c>
      <c r="E202" s="43" t="s">
        <v>131</v>
      </c>
      <c r="F202" s="43" t="s">
        <v>48</v>
      </c>
      <c r="G202" s="43" t="n">
        <v>2024</v>
      </c>
      <c r="H202" s="44" t="n">
        <v>0</v>
      </c>
      <c r="I202" s="43" t="n">
        <v>2024</v>
      </c>
      <c r="J202" s="43" t="n">
        <v>8</v>
      </c>
      <c r="K202" s="44" t="n">
        <v>7706</v>
      </c>
      <c r="L202" s="43" t="n">
        <v>2024</v>
      </c>
      <c r="M202" s="43" t="n">
        <v>9</v>
      </c>
      <c r="N202" s="44" t="n">
        <v>7706</v>
      </c>
      <c r="O202" s="43" t="n">
        <v>2024</v>
      </c>
      <c r="P202" s="43" t="n">
        <v>10</v>
      </c>
      <c r="Q202" s="44" t="n">
        <v>7320.7</v>
      </c>
      <c r="R202" s="43" t="s">
        <v>651</v>
      </c>
      <c r="S202" s="43" t="s">
        <v>85</v>
      </c>
      <c r="T202" s="43" t="s">
        <v>633</v>
      </c>
      <c r="U202" s="43" t="s">
        <v>669</v>
      </c>
      <c r="V202" s="43" t="n">
        <v>15</v>
      </c>
      <c r="W202" s="43" t="n">
        <v>30</v>
      </c>
      <c r="X202" s="43" t="n">
        <v>45</v>
      </c>
      <c r="Y202" s="43" t="s">
        <v>635</v>
      </c>
      <c r="Z202" s="43" t="s">
        <v>636</v>
      </c>
    </row>
    <row r="203" customFormat="false" ht="15" hidden="false" customHeight="false" outlineLevel="0" collapsed="false">
      <c r="A203" s="43" t="n">
        <v>201</v>
      </c>
      <c r="B203" s="43" t="s">
        <v>746</v>
      </c>
      <c r="C203" s="43" t="s">
        <v>747</v>
      </c>
      <c r="D203" s="43" t="s">
        <v>747</v>
      </c>
      <c r="E203" s="43" t="s">
        <v>131</v>
      </c>
      <c r="F203" s="43" t="s">
        <v>48</v>
      </c>
      <c r="G203" s="43" t="n">
        <v>2024</v>
      </c>
      <c r="H203" s="44" t="n">
        <v>0</v>
      </c>
      <c r="I203" s="43" t="n">
        <v>2024</v>
      </c>
      <c r="J203" s="43" t="n">
        <v>9</v>
      </c>
      <c r="K203" s="44" t="n">
        <v>4603</v>
      </c>
      <c r="L203" s="43" t="n">
        <v>2024</v>
      </c>
      <c r="M203" s="43" t="n">
        <v>10</v>
      </c>
      <c r="N203" s="44" t="n">
        <v>4603</v>
      </c>
      <c r="O203" s="43" t="n">
        <v>2024</v>
      </c>
      <c r="P203" s="43" t="n">
        <v>10</v>
      </c>
      <c r="Q203" s="44" t="n">
        <v>4372.85</v>
      </c>
      <c r="R203" s="43" t="s">
        <v>651</v>
      </c>
      <c r="S203" s="43" t="s">
        <v>85</v>
      </c>
      <c r="T203" s="43" t="s">
        <v>633</v>
      </c>
      <c r="U203" s="43" t="s">
        <v>669</v>
      </c>
      <c r="V203" s="43" t="n">
        <v>15</v>
      </c>
      <c r="W203" s="43" t="n">
        <v>8</v>
      </c>
      <c r="X203" s="43" t="n">
        <v>23</v>
      </c>
      <c r="Y203" s="43" t="s">
        <v>635</v>
      </c>
      <c r="Z203" s="43" t="s">
        <v>636</v>
      </c>
    </row>
    <row r="204" customFormat="false" ht="15" hidden="false" customHeight="false" outlineLevel="0" collapsed="false">
      <c r="A204" s="43" t="n">
        <v>202</v>
      </c>
      <c r="B204" s="43" t="s">
        <v>746</v>
      </c>
      <c r="C204" s="43" t="s">
        <v>747</v>
      </c>
      <c r="D204" s="43" t="s">
        <v>747</v>
      </c>
      <c r="E204" s="43" t="s">
        <v>131</v>
      </c>
      <c r="F204" s="43" t="s">
        <v>48</v>
      </c>
      <c r="G204" s="43" t="n">
        <v>2024</v>
      </c>
      <c r="H204" s="44" t="n">
        <v>0</v>
      </c>
      <c r="I204" s="43" t="n">
        <v>2024</v>
      </c>
      <c r="J204" s="43" t="n">
        <v>10</v>
      </c>
      <c r="K204" s="44" t="n">
        <v>3705</v>
      </c>
      <c r="L204" s="43" t="n">
        <v>2024</v>
      </c>
      <c r="M204" s="43" t="n">
        <v>11</v>
      </c>
      <c r="N204" s="44" t="n">
        <v>3705</v>
      </c>
      <c r="O204" s="43" t="n">
        <v>2024</v>
      </c>
      <c r="P204" s="43" t="n">
        <v>11</v>
      </c>
      <c r="Q204" s="44" t="n">
        <v>3519.75</v>
      </c>
      <c r="R204" s="43" t="s">
        <v>651</v>
      </c>
      <c r="S204" s="43" t="s">
        <v>85</v>
      </c>
      <c r="T204" s="43" t="s">
        <v>633</v>
      </c>
      <c r="U204" s="43" t="s">
        <v>669</v>
      </c>
      <c r="V204" s="43" t="n">
        <v>16</v>
      </c>
      <c r="W204" s="43" t="n">
        <v>12</v>
      </c>
      <c r="X204" s="43" t="n">
        <v>28</v>
      </c>
      <c r="Y204" s="43" t="s">
        <v>635</v>
      </c>
      <c r="Z204" s="43" t="s">
        <v>636</v>
      </c>
    </row>
    <row r="205" customFormat="false" ht="15" hidden="false" customHeight="false" outlineLevel="0" collapsed="false">
      <c r="A205" s="43" t="n">
        <v>203</v>
      </c>
      <c r="B205" s="43" t="s">
        <v>746</v>
      </c>
      <c r="C205" s="43" t="s">
        <v>747</v>
      </c>
      <c r="D205" s="43" t="s">
        <v>747</v>
      </c>
      <c r="E205" s="43" t="s">
        <v>131</v>
      </c>
      <c r="F205" s="43" t="s">
        <v>48</v>
      </c>
      <c r="G205" s="43" t="n">
        <v>2024</v>
      </c>
      <c r="H205" s="44" t="n">
        <v>0</v>
      </c>
      <c r="I205" s="43" t="n">
        <v>2024</v>
      </c>
      <c r="J205" s="43" t="n">
        <v>11</v>
      </c>
      <c r="K205" s="44" t="n">
        <v>4392</v>
      </c>
      <c r="L205" s="43" t="n">
        <v>2024</v>
      </c>
      <c r="M205" s="43" t="n">
        <v>12</v>
      </c>
      <c r="N205" s="44" t="n">
        <v>4392</v>
      </c>
      <c r="O205" s="43" t="n">
        <v>2024</v>
      </c>
      <c r="P205" s="43" t="n">
        <v>12</v>
      </c>
      <c r="Q205" s="44" t="n">
        <v>4172.4</v>
      </c>
      <c r="R205" s="43" t="s">
        <v>651</v>
      </c>
      <c r="S205" s="43" t="s">
        <v>85</v>
      </c>
      <c r="T205" s="43" t="s">
        <v>633</v>
      </c>
      <c r="U205" s="43" t="s">
        <v>669</v>
      </c>
      <c r="V205" s="43" t="n">
        <v>12</v>
      </c>
      <c r="W205" s="43" t="n">
        <v>13</v>
      </c>
      <c r="X205" s="43" t="n">
        <v>25</v>
      </c>
      <c r="Y205" s="43" t="s">
        <v>635</v>
      </c>
      <c r="Z205" s="43" t="s">
        <v>636</v>
      </c>
    </row>
    <row r="206" customFormat="false" ht="15" hidden="false" customHeight="false" outlineLevel="0" collapsed="false">
      <c r="A206" s="43" t="n">
        <v>204</v>
      </c>
      <c r="B206" s="43" t="s">
        <v>746</v>
      </c>
      <c r="C206" s="43" t="s">
        <v>747</v>
      </c>
      <c r="D206" s="43" t="s">
        <v>747</v>
      </c>
      <c r="E206" s="43" t="s">
        <v>131</v>
      </c>
      <c r="F206" s="43" t="s">
        <v>48</v>
      </c>
      <c r="G206" s="43" t="n">
        <v>2024</v>
      </c>
      <c r="H206" s="44" t="n">
        <v>0</v>
      </c>
      <c r="I206" s="43" t="n">
        <v>2024</v>
      </c>
      <c r="J206" s="43" t="n">
        <v>12</v>
      </c>
      <c r="K206" s="44" t="n">
        <v>34732</v>
      </c>
      <c r="L206" s="43" t="n">
        <v>2025</v>
      </c>
      <c r="M206" s="43" t="n">
        <v>2</v>
      </c>
      <c r="N206" s="44" t="n">
        <v>34732</v>
      </c>
      <c r="O206" s="43" t="n">
        <v>2025</v>
      </c>
      <c r="P206" s="43" t="n">
        <v>2</v>
      </c>
      <c r="Q206" s="44" t="n">
        <v>34239.32658</v>
      </c>
      <c r="R206" s="43" t="s">
        <v>651</v>
      </c>
      <c r="S206" s="43" t="s">
        <v>85</v>
      </c>
      <c r="T206" s="43" t="s">
        <v>633</v>
      </c>
      <c r="U206" s="43" t="s">
        <v>669</v>
      </c>
      <c r="V206" s="43" t="n">
        <v>63</v>
      </c>
      <c r="W206" s="43" t="n">
        <v>4</v>
      </c>
      <c r="X206" s="43" t="n">
        <v>67</v>
      </c>
      <c r="Y206" s="43" t="s">
        <v>635</v>
      </c>
      <c r="Z206" s="43" t="s">
        <v>636</v>
      </c>
    </row>
    <row r="207" customFormat="false" ht="15" hidden="false" customHeight="false" outlineLevel="0" collapsed="false">
      <c r="A207" s="43" t="n">
        <v>205</v>
      </c>
      <c r="B207" s="43" t="s">
        <v>746</v>
      </c>
      <c r="C207" s="43" t="s">
        <v>747</v>
      </c>
      <c r="D207" s="43" t="s">
        <v>747</v>
      </c>
      <c r="E207" s="43" t="s">
        <v>131</v>
      </c>
      <c r="F207" s="43" t="s">
        <v>48</v>
      </c>
      <c r="G207" s="43" t="n">
        <v>2025</v>
      </c>
      <c r="H207" s="44" t="n">
        <v>0</v>
      </c>
      <c r="I207" s="43" t="n">
        <v>2025</v>
      </c>
      <c r="J207" s="43" t="n">
        <v>1</v>
      </c>
      <c r="K207" s="44" t="n">
        <v>8755</v>
      </c>
      <c r="L207" s="43" t="n">
        <v>2025</v>
      </c>
      <c r="M207" s="43" t="n">
        <v>5</v>
      </c>
      <c r="N207" s="44" t="n">
        <v>12346</v>
      </c>
      <c r="O207" s="43" t="n">
        <v>2025</v>
      </c>
      <c r="P207" s="43" t="n">
        <v>5</v>
      </c>
      <c r="Q207" s="44" t="n">
        <v>11728.7</v>
      </c>
      <c r="R207" s="43" t="s">
        <v>651</v>
      </c>
      <c r="S207" s="43" t="s">
        <v>85</v>
      </c>
      <c r="T207" s="43" t="s">
        <v>633</v>
      </c>
      <c r="U207" s="43" t="s">
        <v>669</v>
      </c>
      <c r="V207" s="43" t="n">
        <v>108</v>
      </c>
      <c r="W207" s="43" t="n">
        <v>16</v>
      </c>
      <c r="X207" s="43" t="n">
        <v>124</v>
      </c>
      <c r="Y207" s="43" t="s">
        <v>635</v>
      </c>
      <c r="Z207" s="43" t="s">
        <v>636</v>
      </c>
    </row>
    <row r="208" customFormat="false" ht="15" hidden="false" customHeight="false" outlineLevel="0" collapsed="false">
      <c r="A208" s="43" t="n">
        <v>206</v>
      </c>
      <c r="B208" s="43" t="s">
        <v>746</v>
      </c>
      <c r="C208" s="43" t="s">
        <v>747</v>
      </c>
      <c r="D208" s="43" t="s">
        <v>747</v>
      </c>
      <c r="E208" s="43" t="s">
        <v>131</v>
      </c>
      <c r="F208" s="43" t="s">
        <v>48</v>
      </c>
      <c r="G208" s="43" t="n">
        <v>2025</v>
      </c>
      <c r="H208" s="44" t="n">
        <v>0</v>
      </c>
      <c r="I208" s="43" t="n">
        <v>2025</v>
      </c>
      <c r="J208" s="43" t="n">
        <v>3</v>
      </c>
      <c r="K208" s="44" t="n">
        <v>14746</v>
      </c>
      <c r="L208" s="43" t="n">
        <v>2025</v>
      </c>
      <c r="M208" s="43" t="n">
        <v>6</v>
      </c>
      <c r="N208" s="44" t="n">
        <v>14746</v>
      </c>
      <c r="O208" s="43" t="n">
        <v>2025</v>
      </c>
      <c r="P208" s="43" t="n">
        <v>7</v>
      </c>
      <c r="Q208" s="44" t="n">
        <v>14008.7</v>
      </c>
      <c r="R208" s="43" t="s">
        <v>651</v>
      </c>
      <c r="S208" s="43" t="s">
        <v>85</v>
      </c>
      <c r="T208" s="43" t="s">
        <v>633</v>
      </c>
      <c r="U208" s="43" t="s">
        <v>669</v>
      </c>
      <c r="V208" s="43" t="n">
        <v>83</v>
      </c>
      <c r="W208" s="43" t="n">
        <v>25</v>
      </c>
      <c r="X208" s="43" t="n">
        <v>108</v>
      </c>
      <c r="Y208" s="43" t="s">
        <v>635</v>
      </c>
      <c r="Z208" s="43" t="s">
        <v>636</v>
      </c>
    </row>
    <row r="209" customFormat="false" ht="15" hidden="false" customHeight="false" outlineLevel="0" collapsed="false">
      <c r="A209" s="43" t="n">
        <v>207</v>
      </c>
      <c r="B209" s="43" t="s">
        <v>746</v>
      </c>
      <c r="C209" s="43" t="s">
        <v>747</v>
      </c>
      <c r="D209" s="43" t="s">
        <v>747</v>
      </c>
      <c r="E209" s="43" t="s">
        <v>131</v>
      </c>
      <c r="F209" s="43" t="s">
        <v>48</v>
      </c>
      <c r="G209" s="43" t="n">
        <v>2025</v>
      </c>
      <c r="H209" s="44" t="n">
        <v>0</v>
      </c>
      <c r="I209" s="43" t="n">
        <v>2025</v>
      </c>
      <c r="J209" s="43" t="n">
        <v>7</v>
      </c>
      <c r="K209" s="44" t="n">
        <v>34306</v>
      </c>
      <c r="L209" s="43" t="n">
        <v>2025</v>
      </c>
      <c r="M209" s="43" t="n">
        <v>10</v>
      </c>
      <c r="N209" s="44" t="n">
        <v>34306</v>
      </c>
      <c r="O209" s="43" t="n">
        <v>2025</v>
      </c>
      <c r="P209" s="43" t="n">
        <v>10</v>
      </c>
      <c r="Q209" s="44" t="n">
        <v>32590.7</v>
      </c>
      <c r="R209" s="43" t="s">
        <v>651</v>
      </c>
      <c r="S209" s="43" t="s">
        <v>85</v>
      </c>
      <c r="T209" s="43" t="s">
        <v>633</v>
      </c>
      <c r="U209" s="43" t="s">
        <v>669</v>
      </c>
      <c r="V209" s="43" t="n">
        <v>64</v>
      </c>
      <c r="W209" s="43" t="n">
        <v>12</v>
      </c>
      <c r="X209" s="43" t="n">
        <v>76</v>
      </c>
      <c r="Y209" s="43" t="s">
        <v>635</v>
      </c>
      <c r="Z209" s="43" t="s">
        <v>636</v>
      </c>
    </row>
    <row r="210" customFormat="false" ht="15" hidden="false" customHeight="false" outlineLevel="0" collapsed="false">
      <c r="A210" s="43" t="n">
        <v>208</v>
      </c>
      <c r="B210" s="43" t="s">
        <v>748</v>
      </c>
      <c r="C210" s="43" t="s">
        <v>749</v>
      </c>
      <c r="D210" s="43" t="s">
        <v>749</v>
      </c>
      <c r="E210" s="43" t="s">
        <v>131</v>
      </c>
      <c r="F210" s="43" t="s">
        <v>48</v>
      </c>
      <c r="G210" s="43" t="n">
        <v>2024</v>
      </c>
      <c r="H210" s="44" t="n">
        <v>0</v>
      </c>
      <c r="I210" s="43" t="n">
        <v>2024</v>
      </c>
      <c r="J210" s="43" t="n">
        <v>7</v>
      </c>
      <c r="K210" s="44" t="n">
        <v>135485</v>
      </c>
      <c r="L210" s="43" t="n">
        <v>2024</v>
      </c>
      <c r="M210" s="43" t="n">
        <v>8</v>
      </c>
      <c r="N210" s="44" t="n">
        <v>141357</v>
      </c>
      <c r="O210" s="43" t="n">
        <v>2024</v>
      </c>
      <c r="P210" s="43" t="n">
        <v>9</v>
      </c>
      <c r="Q210" s="44" t="n">
        <v>141357</v>
      </c>
      <c r="R210" s="43" t="s">
        <v>640</v>
      </c>
      <c r="S210" s="43" t="s">
        <v>84</v>
      </c>
      <c r="T210" s="43" t="s">
        <v>641</v>
      </c>
      <c r="U210" s="43" t="s">
        <v>647</v>
      </c>
      <c r="V210" s="43" t="n">
        <v>33</v>
      </c>
      <c r="W210" s="43" t="n">
        <v>31</v>
      </c>
      <c r="X210" s="43" t="n">
        <v>64</v>
      </c>
      <c r="Y210" s="43" t="s">
        <v>635</v>
      </c>
      <c r="Z210" s="43" t="s">
        <v>636</v>
      </c>
    </row>
    <row r="211" customFormat="false" ht="15" hidden="false" customHeight="false" outlineLevel="0" collapsed="false">
      <c r="A211" s="43" t="n">
        <v>209</v>
      </c>
      <c r="B211" s="43" t="s">
        <v>748</v>
      </c>
      <c r="C211" s="43" t="s">
        <v>749</v>
      </c>
      <c r="D211" s="43" t="s">
        <v>749</v>
      </c>
      <c r="E211" s="43" t="s">
        <v>131</v>
      </c>
      <c r="F211" s="43" t="s">
        <v>48</v>
      </c>
      <c r="G211" s="43" t="n">
        <v>2024</v>
      </c>
      <c r="H211" s="44" t="n">
        <v>0</v>
      </c>
      <c r="I211" s="43" t="n">
        <v>2024</v>
      </c>
      <c r="J211" s="43" t="n">
        <v>8</v>
      </c>
      <c r="K211" s="44" t="n">
        <v>237714</v>
      </c>
      <c r="L211" s="43" t="n">
        <v>2024</v>
      </c>
      <c r="M211" s="43" t="n">
        <v>9</v>
      </c>
      <c r="N211" s="44" t="n">
        <v>229439.04116849</v>
      </c>
      <c r="O211" s="43" t="n">
        <v>2024</v>
      </c>
      <c r="P211" s="43" t="n">
        <v>10</v>
      </c>
      <c r="Q211" s="44" t="n">
        <v>229439</v>
      </c>
      <c r="R211" s="43" t="s">
        <v>640</v>
      </c>
      <c r="S211" s="43" t="s">
        <v>84</v>
      </c>
      <c r="T211" s="43" t="s">
        <v>641</v>
      </c>
      <c r="U211" s="43" t="s">
        <v>647</v>
      </c>
      <c r="V211" s="43" t="n">
        <v>16</v>
      </c>
      <c r="W211" s="43" t="n">
        <v>29</v>
      </c>
      <c r="X211" s="43" t="n">
        <v>45</v>
      </c>
      <c r="Y211" s="43" t="s">
        <v>635</v>
      </c>
      <c r="Z211" s="43" t="s">
        <v>636</v>
      </c>
    </row>
    <row r="212" customFormat="false" ht="15" hidden="false" customHeight="false" outlineLevel="0" collapsed="false">
      <c r="A212" s="43" t="n">
        <v>210</v>
      </c>
      <c r="B212" s="43" t="s">
        <v>748</v>
      </c>
      <c r="C212" s="43" t="s">
        <v>749</v>
      </c>
      <c r="D212" s="43" t="s">
        <v>749</v>
      </c>
      <c r="E212" s="43" t="s">
        <v>131</v>
      </c>
      <c r="F212" s="43" t="s">
        <v>48</v>
      </c>
      <c r="G212" s="43" t="n">
        <v>2024</v>
      </c>
      <c r="H212" s="44" t="n">
        <v>0</v>
      </c>
      <c r="I212" s="43" t="n">
        <v>2024</v>
      </c>
      <c r="J212" s="43" t="n">
        <v>9</v>
      </c>
      <c r="K212" s="44" t="n">
        <v>108299</v>
      </c>
      <c r="L212" s="43" t="n">
        <v>2024</v>
      </c>
      <c r="M212" s="43" t="n">
        <v>10</v>
      </c>
      <c r="N212" s="44" t="n">
        <v>108299</v>
      </c>
      <c r="O212" s="43" t="n">
        <v>2024</v>
      </c>
      <c r="P212" s="43" t="n">
        <v>11</v>
      </c>
      <c r="Q212" s="44" t="n">
        <v>108299</v>
      </c>
      <c r="R212" s="43" t="s">
        <v>640</v>
      </c>
      <c r="S212" s="43" t="s">
        <v>84</v>
      </c>
      <c r="T212" s="43" t="s">
        <v>641</v>
      </c>
      <c r="U212" s="43" t="s">
        <v>647</v>
      </c>
      <c r="V212" s="43" t="n">
        <v>26</v>
      </c>
      <c r="W212" s="43" t="n">
        <v>30</v>
      </c>
      <c r="X212" s="43" t="n">
        <v>56</v>
      </c>
      <c r="Y212" s="43" t="s">
        <v>635</v>
      </c>
      <c r="Z212" s="43" t="s">
        <v>636</v>
      </c>
    </row>
    <row r="213" customFormat="false" ht="15" hidden="false" customHeight="false" outlineLevel="0" collapsed="false">
      <c r="A213" s="43" t="n">
        <v>211</v>
      </c>
      <c r="B213" s="43" t="s">
        <v>748</v>
      </c>
      <c r="C213" s="43" t="s">
        <v>749</v>
      </c>
      <c r="D213" s="43" t="s">
        <v>749</v>
      </c>
      <c r="E213" s="43" t="s">
        <v>131</v>
      </c>
      <c r="F213" s="43" t="s">
        <v>48</v>
      </c>
      <c r="G213" s="43" t="n">
        <v>2024</v>
      </c>
      <c r="H213" s="44" t="n">
        <v>0</v>
      </c>
      <c r="I213" s="43" t="n">
        <v>2024</v>
      </c>
      <c r="J213" s="43" t="n">
        <v>10</v>
      </c>
      <c r="K213" s="44" t="n">
        <v>86735</v>
      </c>
      <c r="L213" s="43" t="n">
        <v>2024</v>
      </c>
      <c r="M213" s="43" t="n">
        <v>11</v>
      </c>
      <c r="N213" s="44" t="n">
        <v>86735</v>
      </c>
      <c r="O213" s="43" t="n">
        <v>2025</v>
      </c>
      <c r="P213" s="43" t="n">
        <v>1</v>
      </c>
      <c r="Q213" s="44" t="n">
        <v>90004.9095</v>
      </c>
      <c r="R213" s="43" t="s">
        <v>640</v>
      </c>
      <c r="S213" s="43" t="s">
        <v>84</v>
      </c>
      <c r="T213" s="43" t="s">
        <v>641</v>
      </c>
      <c r="U213" s="43" t="s">
        <v>647</v>
      </c>
      <c r="V213" s="43" t="n">
        <v>34</v>
      </c>
      <c r="W213" s="43" t="n">
        <v>37</v>
      </c>
      <c r="X213" s="43" t="n">
        <v>71</v>
      </c>
      <c r="Y213" s="43" t="s">
        <v>635</v>
      </c>
      <c r="Z213" s="43" t="s">
        <v>636</v>
      </c>
    </row>
    <row r="214" customFormat="false" ht="15" hidden="false" customHeight="false" outlineLevel="0" collapsed="false">
      <c r="A214" s="43" t="n">
        <v>212</v>
      </c>
      <c r="B214" s="43" t="s">
        <v>748</v>
      </c>
      <c r="C214" s="43" t="s">
        <v>749</v>
      </c>
      <c r="D214" s="43" t="s">
        <v>749</v>
      </c>
      <c r="E214" s="43" t="s">
        <v>131</v>
      </c>
      <c r="F214" s="43" t="s">
        <v>48</v>
      </c>
      <c r="G214" s="43" t="n">
        <v>2024</v>
      </c>
      <c r="H214" s="44" t="n">
        <v>0</v>
      </c>
      <c r="I214" s="43" t="n">
        <v>2024</v>
      </c>
      <c r="J214" s="43" t="n">
        <v>11</v>
      </c>
      <c r="K214" s="44" t="n">
        <v>81962</v>
      </c>
      <c r="L214" s="43" t="n">
        <v>2024</v>
      </c>
      <c r="M214" s="43" t="n">
        <v>12</v>
      </c>
      <c r="N214" s="44" t="n">
        <v>81962</v>
      </c>
      <c r="O214" s="43" t="n">
        <v>2025</v>
      </c>
      <c r="P214" s="43" t="n">
        <v>1</v>
      </c>
      <c r="Q214" s="44" t="n">
        <v>85051.9674</v>
      </c>
      <c r="R214" s="43" t="s">
        <v>640</v>
      </c>
      <c r="S214" s="43" t="s">
        <v>84</v>
      </c>
      <c r="T214" s="43" t="s">
        <v>641</v>
      </c>
      <c r="U214" s="43" t="s">
        <v>647</v>
      </c>
      <c r="V214" s="43" t="n">
        <v>30</v>
      </c>
      <c r="W214" s="43" t="n">
        <v>29</v>
      </c>
      <c r="X214" s="43" t="n">
        <v>59</v>
      </c>
      <c r="Y214" s="43" t="s">
        <v>635</v>
      </c>
      <c r="Z214" s="43" t="s">
        <v>636</v>
      </c>
    </row>
    <row r="215" customFormat="false" ht="15" hidden="false" customHeight="false" outlineLevel="0" collapsed="false">
      <c r="A215" s="43" t="n">
        <v>213</v>
      </c>
      <c r="B215" s="43" t="s">
        <v>748</v>
      </c>
      <c r="C215" s="43" t="s">
        <v>749</v>
      </c>
      <c r="D215" s="43" t="s">
        <v>749</v>
      </c>
      <c r="E215" s="43" t="s">
        <v>131</v>
      </c>
      <c r="F215" s="43" t="s">
        <v>48</v>
      </c>
      <c r="G215" s="43" t="n">
        <v>2024</v>
      </c>
      <c r="H215" s="44" t="n">
        <v>0</v>
      </c>
      <c r="I215" s="43" t="n">
        <v>2024</v>
      </c>
      <c r="J215" s="43" t="n">
        <v>12</v>
      </c>
      <c r="K215" s="44" t="n">
        <v>118872.36</v>
      </c>
      <c r="L215" s="43" t="n">
        <v>2025</v>
      </c>
      <c r="M215" s="43" t="n">
        <v>1</v>
      </c>
      <c r="N215" s="44" t="n">
        <v>118872</v>
      </c>
      <c r="O215" s="43" t="n">
        <v>2025</v>
      </c>
      <c r="P215" s="43" t="n">
        <v>2</v>
      </c>
      <c r="Q215" s="44" t="n">
        <v>127900.6758</v>
      </c>
      <c r="R215" s="43" t="s">
        <v>640</v>
      </c>
      <c r="S215" s="43" t="s">
        <v>84</v>
      </c>
      <c r="T215" s="43" t="s">
        <v>641</v>
      </c>
      <c r="U215" s="43" t="s">
        <v>647</v>
      </c>
      <c r="V215" s="43" t="n">
        <v>15</v>
      </c>
      <c r="W215" s="43" t="n">
        <v>33</v>
      </c>
      <c r="X215" s="43" t="n">
        <v>48</v>
      </c>
      <c r="Y215" s="43" t="s">
        <v>635</v>
      </c>
      <c r="Z215" s="43" t="s">
        <v>636</v>
      </c>
    </row>
    <row r="216" customFormat="false" ht="15" hidden="false" customHeight="false" outlineLevel="0" collapsed="false">
      <c r="A216" s="43" t="n">
        <v>214</v>
      </c>
      <c r="B216" s="43" t="s">
        <v>748</v>
      </c>
      <c r="C216" s="43" t="s">
        <v>749</v>
      </c>
      <c r="D216" s="43" t="s">
        <v>749</v>
      </c>
      <c r="E216" s="43" t="s">
        <v>131</v>
      </c>
      <c r="F216" s="43" t="s">
        <v>48</v>
      </c>
      <c r="G216" s="43" t="n">
        <v>2025</v>
      </c>
      <c r="H216" s="44" t="n">
        <v>0</v>
      </c>
      <c r="I216" s="43" t="n">
        <v>2025</v>
      </c>
      <c r="J216" s="43" t="n">
        <v>5</v>
      </c>
      <c r="K216" s="44" t="n">
        <v>32097</v>
      </c>
      <c r="L216" s="43" t="n">
        <v>2025</v>
      </c>
      <c r="M216" s="43" t="n">
        <v>6</v>
      </c>
      <c r="N216" s="44" t="n">
        <v>32097</v>
      </c>
      <c r="O216" s="43" t="n">
        <v>2025</v>
      </c>
      <c r="P216" s="43" t="n">
        <v>6</v>
      </c>
      <c r="Q216" s="44" t="n">
        <v>32097</v>
      </c>
      <c r="R216" s="43" t="s">
        <v>640</v>
      </c>
      <c r="S216" s="43" t="s">
        <v>84</v>
      </c>
      <c r="T216" s="43" t="s">
        <v>641</v>
      </c>
      <c r="U216" s="43" t="s">
        <v>647</v>
      </c>
      <c r="V216" s="43" t="n">
        <v>4</v>
      </c>
      <c r="W216" s="43" t="n">
        <v>15</v>
      </c>
      <c r="X216" s="43" t="n">
        <v>19</v>
      </c>
      <c r="Y216" s="43" t="s">
        <v>635</v>
      </c>
      <c r="Z216" s="43" t="s">
        <v>636</v>
      </c>
    </row>
    <row r="217" customFormat="false" ht="15" hidden="false" customHeight="false" outlineLevel="0" collapsed="false">
      <c r="A217" s="43" t="n">
        <v>215</v>
      </c>
      <c r="B217" s="43" t="s">
        <v>748</v>
      </c>
      <c r="C217" s="43" t="s">
        <v>749</v>
      </c>
      <c r="D217" s="43" t="s">
        <v>749</v>
      </c>
      <c r="E217" s="43" t="s">
        <v>131</v>
      </c>
      <c r="F217" s="43" t="s">
        <v>48</v>
      </c>
      <c r="G217" s="43" t="n">
        <v>2025</v>
      </c>
      <c r="H217" s="44" t="n">
        <v>0</v>
      </c>
      <c r="I217" s="43" t="n">
        <v>2025</v>
      </c>
      <c r="J217" s="43" t="n">
        <v>5</v>
      </c>
      <c r="K217" s="44" t="n">
        <v>15398</v>
      </c>
      <c r="L217" s="43" t="n">
        <v>2025</v>
      </c>
      <c r="M217" s="43" t="n">
        <v>6</v>
      </c>
      <c r="N217" s="44" t="n">
        <v>15398</v>
      </c>
      <c r="O217" s="43" t="n">
        <v>2025</v>
      </c>
      <c r="P217" s="43" t="n">
        <v>6</v>
      </c>
      <c r="Q217" s="44" t="n">
        <v>15398</v>
      </c>
      <c r="R217" s="43" t="s">
        <v>640</v>
      </c>
      <c r="S217" s="43" t="s">
        <v>84</v>
      </c>
      <c r="T217" s="43" t="s">
        <v>641</v>
      </c>
      <c r="U217" s="43" t="s">
        <v>647</v>
      </c>
      <c r="V217" s="43" t="n">
        <v>4</v>
      </c>
      <c r="W217" s="43" t="n">
        <v>15</v>
      </c>
      <c r="X217" s="43" t="n">
        <v>19</v>
      </c>
      <c r="Y217" s="43" t="s">
        <v>635</v>
      </c>
      <c r="Z217" s="43" t="s">
        <v>636</v>
      </c>
    </row>
    <row r="218" customFormat="false" ht="15" hidden="false" customHeight="false" outlineLevel="0" collapsed="false">
      <c r="A218" s="43" t="n">
        <v>216</v>
      </c>
      <c r="B218" s="43" t="s">
        <v>748</v>
      </c>
      <c r="C218" s="43" t="s">
        <v>749</v>
      </c>
      <c r="D218" s="43" t="s">
        <v>749</v>
      </c>
      <c r="E218" s="43" t="s">
        <v>131</v>
      </c>
      <c r="F218" s="43" t="s">
        <v>48</v>
      </c>
      <c r="G218" s="43" t="n">
        <v>2025</v>
      </c>
      <c r="H218" s="44" t="n">
        <v>0</v>
      </c>
      <c r="I218" s="43" t="n">
        <v>2025</v>
      </c>
      <c r="J218" s="43" t="n">
        <v>1</v>
      </c>
      <c r="K218" s="44" t="n">
        <v>31918</v>
      </c>
      <c r="L218" s="43" t="n">
        <v>2025</v>
      </c>
      <c r="M218" s="43" t="n">
        <v>2</v>
      </c>
      <c r="N218" s="44" t="n">
        <v>46484</v>
      </c>
      <c r="O218" s="43" t="n">
        <v>2025</v>
      </c>
      <c r="P218" s="43" t="n">
        <v>3</v>
      </c>
      <c r="Q218" s="44" t="n">
        <v>48236.4468</v>
      </c>
      <c r="R218" s="43" t="s">
        <v>640</v>
      </c>
      <c r="S218" s="43" t="s">
        <v>84</v>
      </c>
      <c r="T218" s="43" t="s">
        <v>641</v>
      </c>
      <c r="U218" s="43" t="s">
        <v>647</v>
      </c>
      <c r="V218" s="43" t="n">
        <v>52</v>
      </c>
      <c r="W218" s="43" t="n">
        <v>30</v>
      </c>
      <c r="X218" s="43" t="n">
        <v>82</v>
      </c>
      <c r="Y218" s="43" t="s">
        <v>635</v>
      </c>
      <c r="Z218" s="43" t="s">
        <v>636</v>
      </c>
    </row>
    <row r="219" customFormat="false" ht="15" hidden="false" customHeight="false" outlineLevel="0" collapsed="false">
      <c r="A219" s="43" t="n">
        <v>217</v>
      </c>
      <c r="B219" s="43" t="s">
        <v>748</v>
      </c>
      <c r="C219" s="43" t="s">
        <v>749</v>
      </c>
      <c r="D219" s="43" t="s">
        <v>749</v>
      </c>
      <c r="E219" s="43" t="s">
        <v>131</v>
      </c>
      <c r="F219" s="43" t="s">
        <v>48</v>
      </c>
      <c r="G219" s="43" t="n">
        <v>2025</v>
      </c>
      <c r="H219" s="44" t="n">
        <v>0</v>
      </c>
      <c r="I219" s="43" t="n">
        <v>2025</v>
      </c>
      <c r="J219" s="43" t="n">
        <v>2</v>
      </c>
      <c r="K219" s="44" t="n">
        <v>41744</v>
      </c>
      <c r="L219" s="43" t="n">
        <v>2025</v>
      </c>
      <c r="M219" s="43" t="n">
        <v>3</v>
      </c>
      <c r="N219" s="44" t="n">
        <v>42469</v>
      </c>
      <c r="O219" s="43" t="n">
        <v>2025</v>
      </c>
      <c r="P219" s="43" t="n">
        <v>4</v>
      </c>
      <c r="Q219" s="44" t="n">
        <v>41744</v>
      </c>
      <c r="R219" s="43" t="s">
        <v>640</v>
      </c>
      <c r="S219" s="43" t="s">
        <v>84</v>
      </c>
      <c r="T219" s="43" t="s">
        <v>641</v>
      </c>
      <c r="U219" s="43" t="s">
        <v>647</v>
      </c>
      <c r="V219" s="43" t="n">
        <v>23</v>
      </c>
      <c r="W219" s="43" t="n">
        <v>27</v>
      </c>
      <c r="X219" s="43" t="n">
        <v>50</v>
      </c>
      <c r="Y219" s="43" t="s">
        <v>635</v>
      </c>
      <c r="Z219" s="43" t="s">
        <v>636</v>
      </c>
    </row>
    <row r="220" customFormat="false" ht="15" hidden="false" customHeight="false" outlineLevel="0" collapsed="false">
      <c r="A220" s="43" t="n">
        <v>218</v>
      </c>
      <c r="B220" s="43" t="s">
        <v>748</v>
      </c>
      <c r="C220" s="43" t="s">
        <v>749</v>
      </c>
      <c r="D220" s="43" t="s">
        <v>749</v>
      </c>
      <c r="E220" s="43" t="s">
        <v>131</v>
      </c>
      <c r="F220" s="43" t="s">
        <v>48</v>
      </c>
      <c r="G220" s="43" t="n">
        <v>2025</v>
      </c>
      <c r="H220" s="44" t="n">
        <v>0</v>
      </c>
      <c r="I220" s="43" t="n">
        <v>2025</v>
      </c>
      <c r="J220" s="43" t="n">
        <v>11</v>
      </c>
      <c r="K220" s="44" t="n">
        <v>21494</v>
      </c>
      <c r="L220" s="43" t="n">
        <v>2025</v>
      </c>
      <c r="M220" s="43" t="n">
        <v>11</v>
      </c>
      <c r="N220" s="44" t="n">
        <v>21494</v>
      </c>
      <c r="O220" s="43" t="n">
        <v>2025</v>
      </c>
      <c r="P220" s="43" t="n">
        <v>11</v>
      </c>
      <c r="Q220" s="44" t="n">
        <v>21494</v>
      </c>
      <c r="R220" s="43" t="s">
        <v>640</v>
      </c>
      <c r="S220" s="43" t="s">
        <v>84</v>
      </c>
      <c r="T220" s="43" t="s">
        <v>641</v>
      </c>
      <c r="U220" s="43" t="s">
        <v>647</v>
      </c>
      <c r="V220" s="43" t="n">
        <v>0</v>
      </c>
      <c r="W220" s="43" t="n">
        <v>9</v>
      </c>
      <c r="X220" s="43" t="n">
        <v>9</v>
      </c>
      <c r="Y220" s="43" t="s">
        <v>635</v>
      </c>
      <c r="Z220" s="43" t="s">
        <v>636</v>
      </c>
    </row>
    <row r="221" customFormat="false" ht="15" hidden="false" customHeight="false" outlineLevel="0" collapsed="false">
      <c r="A221" s="43" t="n">
        <v>219</v>
      </c>
      <c r="B221" s="43" t="s">
        <v>750</v>
      </c>
      <c r="C221" s="43" t="s">
        <v>751</v>
      </c>
      <c r="D221" s="43" t="s">
        <v>752</v>
      </c>
      <c r="E221" s="43" t="s">
        <v>131</v>
      </c>
      <c r="F221" s="43" t="s">
        <v>48</v>
      </c>
      <c r="G221" s="43" t="n">
        <v>2024</v>
      </c>
      <c r="H221" s="44" t="n">
        <v>29620</v>
      </c>
      <c r="I221" s="43" t="n">
        <v>2024</v>
      </c>
      <c r="J221" s="43" t="n">
        <v>1</v>
      </c>
      <c r="K221" s="44" t="n">
        <v>61461</v>
      </c>
      <c r="L221" s="43" t="n">
        <v>2024</v>
      </c>
      <c r="M221" s="43" t="n">
        <v>2</v>
      </c>
      <c r="N221" s="44" t="n">
        <v>61461</v>
      </c>
      <c r="O221" s="43" t="n">
        <v>2024</v>
      </c>
      <c r="P221" s="43" t="n">
        <v>3</v>
      </c>
      <c r="Q221" s="44" t="n">
        <v>57556</v>
      </c>
      <c r="R221" s="43" t="s">
        <v>687</v>
      </c>
      <c r="S221" s="43" t="s">
        <v>83</v>
      </c>
      <c r="T221" s="43" t="s">
        <v>641</v>
      </c>
      <c r="U221" s="43" t="s">
        <v>642</v>
      </c>
      <c r="V221" s="43" t="n">
        <v>26</v>
      </c>
      <c r="W221" s="43" t="n">
        <v>22</v>
      </c>
      <c r="X221" s="43" t="n">
        <v>48</v>
      </c>
      <c r="Y221" s="43" t="s">
        <v>635</v>
      </c>
      <c r="Z221" s="43" t="s">
        <v>636</v>
      </c>
    </row>
    <row r="222" customFormat="false" ht="15" hidden="false" customHeight="false" outlineLevel="0" collapsed="false">
      <c r="A222" s="43" t="n">
        <v>220</v>
      </c>
      <c r="B222" s="43" t="s">
        <v>750</v>
      </c>
      <c r="C222" s="43" t="s">
        <v>751</v>
      </c>
      <c r="D222" s="43" t="s">
        <v>752</v>
      </c>
      <c r="E222" s="43" t="s">
        <v>131</v>
      </c>
      <c r="F222" s="43" t="s">
        <v>48</v>
      </c>
      <c r="G222" s="43" t="n">
        <v>2024</v>
      </c>
      <c r="H222" s="44" t="n">
        <v>80000</v>
      </c>
      <c r="I222" s="43" t="n">
        <v>2024</v>
      </c>
      <c r="J222" s="43" t="n">
        <v>2</v>
      </c>
      <c r="K222" s="44" t="n">
        <v>61831</v>
      </c>
      <c r="L222" s="43" t="n">
        <v>2024</v>
      </c>
      <c r="M222" s="43" t="n">
        <v>3</v>
      </c>
      <c r="N222" s="44" t="n">
        <v>61831</v>
      </c>
      <c r="O222" s="43" t="n">
        <v>2024</v>
      </c>
      <c r="P222" s="43" t="n">
        <v>3</v>
      </c>
      <c r="Q222" s="44" t="n">
        <v>57902.4413844382</v>
      </c>
      <c r="R222" s="43" t="s">
        <v>687</v>
      </c>
      <c r="S222" s="43" t="s">
        <v>83</v>
      </c>
      <c r="T222" s="43" t="s">
        <v>641</v>
      </c>
      <c r="U222" s="43" t="s">
        <v>642</v>
      </c>
      <c r="V222" s="43" t="n">
        <v>8</v>
      </c>
      <c r="W222" s="43" t="n">
        <v>9</v>
      </c>
      <c r="X222" s="43" t="n">
        <v>17</v>
      </c>
      <c r="Y222" s="43" t="s">
        <v>635</v>
      </c>
      <c r="Z222" s="43" t="s">
        <v>636</v>
      </c>
    </row>
    <row r="223" customFormat="false" ht="15" hidden="false" customHeight="false" outlineLevel="0" collapsed="false">
      <c r="A223" s="43" t="n">
        <v>221</v>
      </c>
      <c r="B223" s="43" t="s">
        <v>750</v>
      </c>
      <c r="C223" s="43" t="s">
        <v>751</v>
      </c>
      <c r="D223" s="43" t="s">
        <v>752</v>
      </c>
      <c r="E223" s="43" t="s">
        <v>131</v>
      </c>
      <c r="F223" s="43" t="s">
        <v>48</v>
      </c>
      <c r="G223" s="43" t="n">
        <v>2024</v>
      </c>
      <c r="H223" s="44" t="n">
        <v>80000</v>
      </c>
      <c r="I223" s="43" t="n">
        <v>2024</v>
      </c>
      <c r="J223" s="43" t="n">
        <v>3</v>
      </c>
      <c r="K223" s="44" t="n">
        <v>61641</v>
      </c>
      <c r="L223" s="43" t="n">
        <v>2024</v>
      </c>
      <c r="M223" s="43" t="n">
        <v>4</v>
      </c>
      <c r="N223" s="44" t="n">
        <v>61641</v>
      </c>
      <c r="O223" s="43" t="n">
        <v>2024</v>
      </c>
      <c r="P223" s="43" t="n">
        <v>5</v>
      </c>
      <c r="Q223" s="44" t="n">
        <v>61641</v>
      </c>
      <c r="R223" s="43" t="s">
        <v>687</v>
      </c>
      <c r="S223" s="43" t="s">
        <v>83</v>
      </c>
      <c r="T223" s="43" t="s">
        <v>641</v>
      </c>
      <c r="U223" s="43" t="s">
        <v>642</v>
      </c>
      <c r="V223" s="43" t="n">
        <v>14</v>
      </c>
      <c r="W223" s="43" t="n">
        <v>51</v>
      </c>
      <c r="X223" s="43" t="n">
        <v>65</v>
      </c>
      <c r="Y223" s="43" t="s">
        <v>635</v>
      </c>
      <c r="Z223" s="43" t="s">
        <v>636</v>
      </c>
    </row>
    <row r="224" customFormat="false" ht="15" hidden="false" customHeight="false" outlineLevel="0" collapsed="false">
      <c r="A224" s="43" t="n">
        <v>222</v>
      </c>
      <c r="B224" s="43" t="s">
        <v>750</v>
      </c>
      <c r="C224" s="43" t="s">
        <v>751</v>
      </c>
      <c r="D224" s="43" t="s">
        <v>752</v>
      </c>
      <c r="E224" s="43" t="s">
        <v>131</v>
      </c>
      <c r="F224" s="43" t="s">
        <v>48</v>
      </c>
      <c r="G224" s="43" t="n">
        <v>2024</v>
      </c>
      <c r="H224" s="44" t="n">
        <v>6872</v>
      </c>
      <c r="I224" s="43" t="n">
        <v>2024</v>
      </c>
      <c r="J224" s="43" t="n">
        <v>4</v>
      </c>
      <c r="K224" s="44" t="n">
        <v>61831</v>
      </c>
      <c r="L224" s="43" t="n">
        <v>2024</v>
      </c>
      <c r="M224" s="43" t="n">
        <v>5</v>
      </c>
      <c r="N224" s="44" t="n">
        <v>61831</v>
      </c>
      <c r="O224" s="43" t="n">
        <v>2024</v>
      </c>
      <c r="P224" s="43" t="n">
        <v>5</v>
      </c>
      <c r="Q224" s="44" t="n">
        <v>61831</v>
      </c>
      <c r="R224" s="43" t="s">
        <v>687</v>
      </c>
      <c r="S224" s="43" t="s">
        <v>83</v>
      </c>
      <c r="T224" s="43" t="s">
        <v>641</v>
      </c>
      <c r="U224" s="43" t="s">
        <v>642</v>
      </c>
      <c r="V224" s="43" t="n">
        <v>13</v>
      </c>
      <c r="W224" s="43" t="n">
        <v>21</v>
      </c>
      <c r="X224" s="43" t="n">
        <v>34</v>
      </c>
      <c r="Y224" s="43" t="s">
        <v>635</v>
      </c>
      <c r="Z224" s="43" t="s">
        <v>636</v>
      </c>
    </row>
    <row r="225" customFormat="false" ht="15" hidden="false" customHeight="false" outlineLevel="0" collapsed="false">
      <c r="A225" s="43" t="n">
        <v>223</v>
      </c>
      <c r="B225" s="43" t="s">
        <v>750</v>
      </c>
      <c r="C225" s="43" t="s">
        <v>751</v>
      </c>
      <c r="D225" s="43" t="s">
        <v>752</v>
      </c>
      <c r="E225" s="43" t="s">
        <v>131</v>
      </c>
      <c r="F225" s="43" t="s">
        <v>48</v>
      </c>
      <c r="G225" s="43" t="n">
        <v>2024</v>
      </c>
      <c r="H225" s="44" t="n">
        <v>61831</v>
      </c>
      <c r="I225" s="43" t="n">
        <v>2024</v>
      </c>
      <c r="J225" s="43" t="n">
        <v>5</v>
      </c>
      <c r="K225" s="44" t="n">
        <v>34925.9</v>
      </c>
      <c r="L225" s="43" t="n">
        <v>2024</v>
      </c>
      <c r="M225" s="43" t="n">
        <v>6</v>
      </c>
      <c r="N225" s="44" t="n">
        <v>34926</v>
      </c>
      <c r="O225" s="43" t="n">
        <v>2024</v>
      </c>
      <c r="P225" s="43" t="n">
        <v>7</v>
      </c>
      <c r="Q225" s="44" t="n">
        <v>34926</v>
      </c>
      <c r="R225" s="43" t="s">
        <v>687</v>
      </c>
      <c r="S225" s="43" t="s">
        <v>83</v>
      </c>
      <c r="T225" s="43" t="s">
        <v>641</v>
      </c>
      <c r="U225" s="43" t="s">
        <v>642</v>
      </c>
      <c r="V225" s="43" t="n">
        <v>16</v>
      </c>
      <c r="W225" s="43" t="n">
        <v>41</v>
      </c>
      <c r="X225" s="43" t="n">
        <v>57</v>
      </c>
      <c r="Y225" s="43" t="s">
        <v>635</v>
      </c>
      <c r="Z225" s="43" t="s">
        <v>636</v>
      </c>
    </row>
    <row r="226" customFormat="false" ht="15" hidden="false" customHeight="false" outlineLevel="0" collapsed="false">
      <c r="A226" s="43" t="n">
        <v>224</v>
      </c>
      <c r="B226" s="43" t="s">
        <v>750</v>
      </c>
      <c r="C226" s="43" t="s">
        <v>751</v>
      </c>
      <c r="D226" s="43" t="s">
        <v>752</v>
      </c>
      <c r="E226" s="43" t="s">
        <v>131</v>
      </c>
      <c r="F226" s="43" t="s">
        <v>48</v>
      </c>
      <c r="G226" s="43" t="n">
        <v>2024</v>
      </c>
      <c r="H226" s="44" t="n">
        <v>0</v>
      </c>
      <c r="I226" s="43" t="n">
        <v>2024</v>
      </c>
      <c r="J226" s="43" t="n">
        <v>8</v>
      </c>
      <c r="K226" s="44" t="n">
        <v>60227</v>
      </c>
      <c r="L226" s="43" t="n">
        <v>2024</v>
      </c>
      <c r="M226" s="43" t="n">
        <v>10</v>
      </c>
      <c r="N226" s="44" t="n">
        <v>60804</v>
      </c>
      <c r="O226" s="43" t="n">
        <v>2025</v>
      </c>
      <c r="P226" s="43" t="n">
        <v>1</v>
      </c>
      <c r="Q226" s="44" t="n">
        <v>63096.3108</v>
      </c>
      <c r="R226" s="43" t="s">
        <v>687</v>
      </c>
      <c r="S226" s="43" t="s">
        <v>83</v>
      </c>
      <c r="T226" s="43" t="s">
        <v>641</v>
      </c>
      <c r="U226" s="43" t="s">
        <v>642</v>
      </c>
      <c r="V226" s="43" t="n">
        <v>58</v>
      </c>
      <c r="W226" s="43" t="n">
        <v>77</v>
      </c>
      <c r="X226" s="43" t="n">
        <v>135</v>
      </c>
      <c r="Y226" s="43" t="s">
        <v>635</v>
      </c>
      <c r="Z226" s="43" t="s">
        <v>636</v>
      </c>
    </row>
    <row r="227" customFormat="false" ht="15" hidden="false" customHeight="false" outlineLevel="0" collapsed="false">
      <c r="A227" s="43" t="n">
        <v>225</v>
      </c>
      <c r="B227" s="43" t="s">
        <v>750</v>
      </c>
      <c r="C227" s="43" t="s">
        <v>751</v>
      </c>
      <c r="D227" s="43" t="s">
        <v>752</v>
      </c>
      <c r="E227" s="43" t="s">
        <v>131</v>
      </c>
      <c r="F227" s="43" t="s">
        <v>48</v>
      </c>
      <c r="G227" s="43" t="n">
        <v>2024</v>
      </c>
      <c r="H227" s="44" t="n">
        <v>0</v>
      </c>
      <c r="I227" s="43" t="n">
        <v>2024</v>
      </c>
      <c r="J227" s="43" t="n">
        <v>9</v>
      </c>
      <c r="K227" s="44" t="n">
        <v>28407</v>
      </c>
      <c r="L227" s="43" t="n">
        <v>2024</v>
      </c>
      <c r="M227" s="43" t="n">
        <v>10</v>
      </c>
      <c r="N227" s="44" t="n">
        <v>28407</v>
      </c>
      <c r="O227" s="43" t="n">
        <v>2025</v>
      </c>
      <c r="P227" s="43" t="n">
        <v>1</v>
      </c>
      <c r="Q227" s="44" t="n">
        <v>29477.9439</v>
      </c>
      <c r="R227" s="43" t="s">
        <v>687</v>
      </c>
      <c r="S227" s="43" t="s">
        <v>83</v>
      </c>
      <c r="T227" s="43" t="s">
        <v>641</v>
      </c>
      <c r="U227" s="43" t="s">
        <v>642</v>
      </c>
      <c r="V227" s="43" t="n">
        <v>23</v>
      </c>
      <c r="W227" s="43" t="n">
        <v>77</v>
      </c>
      <c r="X227" s="43" t="n">
        <v>100</v>
      </c>
      <c r="Y227" s="43" t="s">
        <v>635</v>
      </c>
      <c r="Z227" s="43" t="s">
        <v>636</v>
      </c>
    </row>
    <row r="228" customFormat="false" ht="15" hidden="false" customHeight="false" outlineLevel="0" collapsed="false">
      <c r="A228" s="43" t="n">
        <v>226</v>
      </c>
      <c r="B228" s="43" t="s">
        <v>753</v>
      </c>
      <c r="C228" s="43" t="s">
        <v>754</v>
      </c>
      <c r="D228" s="43" t="s">
        <v>754</v>
      </c>
      <c r="E228" s="43" t="s">
        <v>134</v>
      </c>
      <c r="F228" s="43" t="s">
        <v>48</v>
      </c>
      <c r="G228" s="43" t="n">
        <v>2024</v>
      </c>
      <c r="H228" s="44" t="n">
        <v>0</v>
      </c>
      <c r="I228" s="43" t="n">
        <v>2024</v>
      </c>
      <c r="J228" s="43" t="n">
        <v>12</v>
      </c>
      <c r="K228" s="44" t="n">
        <v>23268</v>
      </c>
      <c r="L228" s="43" t="n">
        <v>2025</v>
      </c>
      <c r="M228" s="43" t="n">
        <v>1</v>
      </c>
      <c r="N228" s="44" t="n">
        <v>31715</v>
      </c>
      <c r="O228" s="43" t="n">
        <v>2025</v>
      </c>
      <c r="P228" s="43" t="n">
        <v>2</v>
      </c>
      <c r="Q228" s="44" t="n">
        <v>32910.6555</v>
      </c>
      <c r="R228" s="43" t="s">
        <v>651</v>
      </c>
      <c r="S228" s="43" t="s">
        <v>85</v>
      </c>
      <c r="T228" s="43" t="s">
        <v>633</v>
      </c>
      <c r="U228" s="43" t="s">
        <v>647</v>
      </c>
      <c r="V228" s="43" t="n">
        <v>18</v>
      </c>
      <c r="W228" s="43" t="n">
        <v>33</v>
      </c>
      <c r="X228" s="43" t="n">
        <v>51</v>
      </c>
      <c r="Y228" s="43" t="s">
        <v>635</v>
      </c>
      <c r="Z228" s="43" t="s">
        <v>636</v>
      </c>
    </row>
    <row r="229" customFormat="false" ht="15" hidden="false" customHeight="false" outlineLevel="0" collapsed="false">
      <c r="A229" s="43" t="n">
        <v>227</v>
      </c>
      <c r="B229" s="43" t="s">
        <v>753</v>
      </c>
      <c r="C229" s="43" t="s">
        <v>754</v>
      </c>
      <c r="D229" s="43" t="s">
        <v>754</v>
      </c>
      <c r="E229" s="43" t="s">
        <v>134</v>
      </c>
      <c r="F229" s="43" t="s">
        <v>48</v>
      </c>
      <c r="G229" s="43" t="n">
        <v>2025</v>
      </c>
      <c r="H229" s="44" t="n">
        <v>0</v>
      </c>
      <c r="I229" s="43" t="n">
        <v>2025</v>
      </c>
      <c r="J229" s="43" t="n">
        <v>1</v>
      </c>
      <c r="K229" s="44" t="n">
        <v>28753</v>
      </c>
      <c r="L229" s="43" t="n">
        <v>2025</v>
      </c>
      <c r="M229" s="43" t="n">
        <v>8</v>
      </c>
      <c r="N229" s="44" t="n">
        <v>28753</v>
      </c>
      <c r="O229" s="43" t="n">
        <v>2025</v>
      </c>
      <c r="P229" s="43" t="n">
        <v>9</v>
      </c>
      <c r="Q229" s="44" t="n">
        <v>28753</v>
      </c>
      <c r="R229" s="43" t="s">
        <v>651</v>
      </c>
      <c r="S229" s="43" t="s">
        <v>85</v>
      </c>
      <c r="T229" s="43" t="s">
        <v>633</v>
      </c>
      <c r="U229" s="43" t="s">
        <v>647</v>
      </c>
      <c r="V229" s="43" t="n">
        <v>205</v>
      </c>
      <c r="W229" s="43" t="n">
        <v>27</v>
      </c>
      <c r="X229" s="43" t="n">
        <v>232</v>
      </c>
      <c r="Y229" s="43" t="s">
        <v>635</v>
      </c>
      <c r="Z229" s="43" t="s">
        <v>636</v>
      </c>
    </row>
    <row r="230" customFormat="false" ht="15" hidden="false" customHeight="false" outlineLevel="0" collapsed="false">
      <c r="A230" s="43" t="n">
        <v>228</v>
      </c>
      <c r="B230" s="43" t="s">
        <v>753</v>
      </c>
      <c r="C230" s="43" t="s">
        <v>754</v>
      </c>
      <c r="D230" s="43" t="s">
        <v>754</v>
      </c>
      <c r="E230" s="43" t="s">
        <v>134</v>
      </c>
      <c r="F230" s="43" t="s">
        <v>48</v>
      </c>
      <c r="G230" s="43" t="n">
        <v>2025</v>
      </c>
      <c r="H230" s="44" t="n">
        <v>0</v>
      </c>
      <c r="I230" s="43" t="n">
        <v>2025</v>
      </c>
      <c r="J230" s="43" t="n">
        <v>2</v>
      </c>
      <c r="K230" s="44" t="n">
        <v>11360</v>
      </c>
      <c r="L230" s="43" t="n">
        <v>2025</v>
      </c>
      <c r="M230" s="43" t="n">
        <v>8</v>
      </c>
      <c r="N230" s="44" t="n">
        <v>11360</v>
      </c>
      <c r="O230" s="43" t="n">
        <v>2025</v>
      </c>
      <c r="P230" s="43" t="n">
        <v>9</v>
      </c>
      <c r="Q230" s="44" t="n">
        <v>11360</v>
      </c>
      <c r="R230" s="43" t="s">
        <v>651</v>
      </c>
      <c r="S230" s="43" t="s">
        <v>85</v>
      </c>
      <c r="T230" s="43" t="s">
        <v>633</v>
      </c>
      <c r="U230" s="43" t="s">
        <v>647</v>
      </c>
      <c r="V230" s="43" t="n">
        <v>183</v>
      </c>
      <c r="W230" s="43" t="n">
        <v>30</v>
      </c>
      <c r="X230" s="43" t="n">
        <v>213</v>
      </c>
      <c r="Y230" s="43" t="s">
        <v>635</v>
      </c>
      <c r="Z230" s="43" t="s">
        <v>636</v>
      </c>
    </row>
    <row r="231" customFormat="false" ht="15" hidden="false" customHeight="false" outlineLevel="0" collapsed="false">
      <c r="A231" s="43" t="n">
        <v>229</v>
      </c>
      <c r="B231" s="43" t="s">
        <v>755</v>
      </c>
      <c r="C231" s="43" t="s">
        <v>756</v>
      </c>
      <c r="D231" s="43" t="s">
        <v>756</v>
      </c>
      <c r="E231" s="43" t="s">
        <v>134</v>
      </c>
      <c r="F231" s="43" t="s">
        <v>48</v>
      </c>
      <c r="G231" s="43" t="n">
        <v>2026</v>
      </c>
      <c r="H231" s="44" t="n">
        <v>132679</v>
      </c>
      <c r="I231" s="43" t="n">
        <v>2026</v>
      </c>
      <c r="J231" s="43" t="n">
        <v>2</v>
      </c>
      <c r="K231" s="44" t="n">
        <v>103193</v>
      </c>
      <c r="L231" s="43" t="n">
        <v>2026</v>
      </c>
      <c r="M231" s="43" t="n">
        <v>4</v>
      </c>
      <c r="N231" s="44" t="n">
        <v>103193</v>
      </c>
      <c r="O231" s="43" t="n">
        <v>2026</v>
      </c>
      <c r="P231" s="43" t="n">
        <v>5</v>
      </c>
      <c r="Q231" s="44" t="n">
        <v>103193</v>
      </c>
      <c r="R231" s="43" t="s">
        <v>651</v>
      </c>
      <c r="S231" s="43" t="s">
        <v>85</v>
      </c>
      <c r="T231" s="43" t="s">
        <v>633</v>
      </c>
      <c r="U231" s="43" t="s">
        <v>682</v>
      </c>
      <c r="V231" s="43" t="n">
        <v>49</v>
      </c>
      <c r="W231" s="43" t="n">
        <v>30</v>
      </c>
      <c r="X231" s="43" t="n">
        <v>79</v>
      </c>
      <c r="Y231" s="43" t="s">
        <v>635</v>
      </c>
      <c r="Z231" s="43" t="s">
        <v>636</v>
      </c>
    </row>
    <row r="232" customFormat="false" ht="15" hidden="false" customHeight="false" outlineLevel="0" collapsed="false">
      <c r="A232" s="43" t="n">
        <v>230</v>
      </c>
      <c r="B232" s="43" t="s">
        <v>755</v>
      </c>
      <c r="C232" s="43" t="s">
        <v>756</v>
      </c>
      <c r="D232" s="43" t="s">
        <v>756</v>
      </c>
      <c r="E232" s="43" t="s">
        <v>134</v>
      </c>
      <c r="F232" s="43" t="s">
        <v>48</v>
      </c>
      <c r="G232" s="43" t="n">
        <v>2026</v>
      </c>
      <c r="H232" s="44" t="n">
        <v>154795</v>
      </c>
      <c r="I232" s="43" t="n">
        <v>2026</v>
      </c>
      <c r="J232" s="43" t="n">
        <v>3</v>
      </c>
      <c r="K232" s="44" t="n">
        <v>94715</v>
      </c>
      <c r="L232" s="43"/>
      <c r="M232" s="43"/>
      <c r="N232" s="44" t="n">
        <v>0</v>
      </c>
      <c r="O232" s="43"/>
      <c r="P232" s="43"/>
      <c r="Q232" s="44" t="n">
        <v>0</v>
      </c>
      <c r="R232" s="43" t="s">
        <v>651</v>
      </c>
      <c r="S232" s="43" t="s">
        <v>85</v>
      </c>
      <c r="T232" s="43" t="s">
        <v>633</v>
      </c>
      <c r="U232" s="43" t="s">
        <v>682</v>
      </c>
      <c r="V232" s="43"/>
      <c r="W232" s="43"/>
      <c r="X232" s="43"/>
      <c r="Y232" s="43" t="s">
        <v>635</v>
      </c>
      <c r="Z232" s="43" t="s">
        <v>636</v>
      </c>
    </row>
    <row r="233" customFormat="false" ht="15" hidden="false" customHeight="false" outlineLevel="0" collapsed="false">
      <c r="A233" s="43" t="n">
        <v>231</v>
      </c>
      <c r="B233" s="43" t="s">
        <v>755</v>
      </c>
      <c r="C233" s="43" t="s">
        <v>756</v>
      </c>
      <c r="D233" s="43" t="s">
        <v>756</v>
      </c>
      <c r="E233" s="43" t="s">
        <v>134</v>
      </c>
      <c r="F233" s="43" t="s">
        <v>48</v>
      </c>
      <c r="G233" s="43" t="n">
        <v>2026</v>
      </c>
      <c r="H233" s="44" t="n">
        <v>0</v>
      </c>
      <c r="I233" s="43" t="n">
        <v>2026</v>
      </c>
      <c r="J233" s="43" t="n">
        <v>4</v>
      </c>
      <c r="K233" s="44" t="n">
        <v>60080</v>
      </c>
      <c r="L233" s="43"/>
      <c r="M233" s="43"/>
      <c r="N233" s="44" t="n">
        <v>0</v>
      </c>
      <c r="O233" s="43"/>
      <c r="P233" s="43"/>
      <c r="Q233" s="44" t="n">
        <v>0</v>
      </c>
      <c r="R233" s="43" t="s">
        <v>651</v>
      </c>
      <c r="S233" s="43" t="s">
        <v>85</v>
      </c>
      <c r="T233" s="43" t="s">
        <v>633</v>
      </c>
      <c r="U233" s="43" t="s">
        <v>682</v>
      </c>
      <c r="V233" s="43"/>
      <c r="W233" s="43"/>
      <c r="X233" s="43"/>
      <c r="Y233" s="43" t="s">
        <v>635</v>
      </c>
      <c r="Z233" s="43" t="s">
        <v>636</v>
      </c>
    </row>
    <row r="234" customFormat="false" ht="15" hidden="false" customHeight="false" outlineLevel="0" collapsed="false">
      <c r="A234" s="43" t="n">
        <v>232</v>
      </c>
      <c r="B234" s="43" t="s">
        <v>757</v>
      </c>
      <c r="C234" s="43" t="s">
        <v>758</v>
      </c>
      <c r="D234" s="43" t="s">
        <v>759</v>
      </c>
      <c r="E234" s="43" t="s">
        <v>134</v>
      </c>
      <c r="F234" s="43" t="s">
        <v>48</v>
      </c>
      <c r="G234" s="43" t="n">
        <v>2023</v>
      </c>
      <c r="H234" s="44" t="n">
        <v>21600</v>
      </c>
      <c r="I234" s="43" t="n">
        <v>2023</v>
      </c>
      <c r="J234" s="43" t="n">
        <v>12</v>
      </c>
      <c r="K234" s="44" t="n">
        <v>29752</v>
      </c>
      <c r="L234" s="43" t="n">
        <v>2024</v>
      </c>
      <c r="M234" s="43" t="n">
        <v>2</v>
      </c>
      <c r="N234" s="44" t="n">
        <v>29752</v>
      </c>
      <c r="O234" s="43" t="n">
        <v>2024</v>
      </c>
      <c r="P234" s="43" t="n">
        <v>3</v>
      </c>
      <c r="Q234" s="44" t="n">
        <v>27862</v>
      </c>
      <c r="R234" s="43" t="s">
        <v>651</v>
      </c>
      <c r="S234" s="43" t="s">
        <v>85</v>
      </c>
      <c r="T234" s="43" t="s">
        <v>633</v>
      </c>
      <c r="U234" s="43" t="s">
        <v>647</v>
      </c>
      <c r="V234" s="43" t="n">
        <v>67</v>
      </c>
      <c r="W234" s="43" t="n">
        <v>4</v>
      </c>
      <c r="X234" s="43" t="n">
        <v>71</v>
      </c>
      <c r="Y234" s="43" t="s">
        <v>635</v>
      </c>
      <c r="Z234" s="43" t="s">
        <v>636</v>
      </c>
    </row>
    <row r="235" customFormat="false" ht="15" hidden="false" customHeight="false" outlineLevel="0" collapsed="false">
      <c r="A235" s="43" t="n">
        <v>233</v>
      </c>
      <c r="B235" s="43" t="s">
        <v>757</v>
      </c>
      <c r="C235" s="43" t="s">
        <v>758</v>
      </c>
      <c r="D235" s="43" t="s">
        <v>759</v>
      </c>
      <c r="E235" s="43" t="s">
        <v>134</v>
      </c>
      <c r="F235" s="43" t="s">
        <v>48</v>
      </c>
      <c r="G235" s="43" t="n">
        <v>2024</v>
      </c>
      <c r="H235" s="44" t="n">
        <v>14600</v>
      </c>
      <c r="I235" s="43" t="n">
        <v>2024</v>
      </c>
      <c r="J235" s="43" t="n">
        <v>2</v>
      </c>
      <c r="K235" s="44" t="n">
        <v>12534</v>
      </c>
      <c r="L235" s="43" t="n">
        <v>2024</v>
      </c>
      <c r="M235" s="43" t="n">
        <v>4</v>
      </c>
      <c r="N235" s="44" t="n">
        <v>12534</v>
      </c>
      <c r="O235" s="43" t="n">
        <v>2024</v>
      </c>
      <c r="P235" s="43" t="n">
        <v>5</v>
      </c>
      <c r="Q235" s="44" t="n">
        <v>12534</v>
      </c>
      <c r="R235" s="43" t="s">
        <v>651</v>
      </c>
      <c r="S235" s="43" t="s">
        <v>85</v>
      </c>
      <c r="T235" s="43" t="s">
        <v>633</v>
      </c>
      <c r="U235" s="43" t="s">
        <v>647</v>
      </c>
      <c r="V235" s="43" t="n">
        <v>39</v>
      </c>
      <c r="W235" s="43" t="n">
        <v>31</v>
      </c>
      <c r="X235" s="43" t="n">
        <v>70</v>
      </c>
      <c r="Y235" s="43" t="s">
        <v>635</v>
      </c>
      <c r="Z235" s="43" t="s">
        <v>636</v>
      </c>
    </row>
    <row r="236" customFormat="false" ht="15" hidden="false" customHeight="false" outlineLevel="0" collapsed="false">
      <c r="A236" s="43" t="n">
        <v>234</v>
      </c>
      <c r="B236" s="43" t="s">
        <v>757</v>
      </c>
      <c r="C236" s="43" t="s">
        <v>758</v>
      </c>
      <c r="D236" s="43" t="s">
        <v>759</v>
      </c>
      <c r="E236" s="43" t="s">
        <v>134</v>
      </c>
      <c r="F236" s="43" t="s">
        <v>48</v>
      </c>
      <c r="G236" s="43" t="n">
        <v>2024</v>
      </c>
      <c r="H236" s="44" t="n">
        <v>26714</v>
      </c>
      <c r="I236" s="43" t="n">
        <v>2024</v>
      </c>
      <c r="J236" s="43" t="n">
        <v>7</v>
      </c>
      <c r="K236" s="44" t="n">
        <v>13837</v>
      </c>
      <c r="L236" s="43" t="n">
        <v>2024</v>
      </c>
      <c r="M236" s="43" t="n">
        <v>9</v>
      </c>
      <c r="N236" s="44" t="n">
        <v>13837</v>
      </c>
      <c r="O236" s="43" t="n">
        <v>2024</v>
      </c>
      <c r="P236" s="43" t="n">
        <v>10</v>
      </c>
      <c r="Q236" s="44" t="n">
        <v>13837</v>
      </c>
      <c r="R236" s="43" t="s">
        <v>651</v>
      </c>
      <c r="S236" s="43" t="s">
        <v>85</v>
      </c>
      <c r="T236" s="43" t="s">
        <v>633</v>
      </c>
      <c r="U236" s="43" t="s">
        <v>647</v>
      </c>
      <c r="V236" s="43" t="n">
        <v>63</v>
      </c>
      <c r="W236" s="43" t="n">
        <v>30</v>
      </c>
      <c r="X236" s="43" t="n">
        <v>93</v>
      </c>
      <c r="Y236" s="43" t="s">
        <v>635</v>
      </c>
      <c r="Z236" s="43" t="s">
        <v>636</v>
      </c>
    </row>
    <row r="237" customFormat="false" ht="15" hidden="false" customHeight="false" outlineLevel="0" collapsed="false">
      <c r="A237" s="43" t="n">
        <v>235</v>
      </c>
      <c r="B237" s="43" t="s">
        <v>760</v>
      </c>
      <c r="C237" s="43" t="s">
        <v>761</v>
      </c>
      <c r="D237" s="43" t="s">
        <v>761</v>
      </c>
      <c r="E237" s="43" t="s">
        <v>134</v>
      </c>
      <c r="F237" s="43" t="s">
        <v>48</v>
      </c>
      <c r="G237" s="43" t="n">
        <v>2023</v>
      </c>
      <c r="H237" s="44" t="n">
        <v>5000</v>
      </c>
      <c r="I237" s="43" t="n">
        <v>2023</v>
      </c>
      <c r="J237" s="43" t="n">
        <v>11</v>
      </c>
      <c r="K237" s="44" t="n">
        <v>41755</v>
      </c>
      <c r="L237" s="43" t="n">
        <v>2024</v>
      </c>
      <c r="M237" s="43" t="n">
        <v>1</v>
      </c>
      <c r="N237" s="44" t="n">
        <v>41755</v>
      </c>
      <c r="O237" s="43" t="n">
        <v>2024</v>
      </c>
      <c r="P237" s="43" t="n">
        <v>2</v>
      </c>
      <c r="Q237" s="44" t="n">
        <v>38832.15</v>
      </c>
      <c r="R237" s="43" t="s">
        <v>646</v>
      </c>
      <c r="S237" s="43" t="s">
        <v>83</v>
      </c>
      <c r="T237" s="43" t="s">
        <v>641</v>
      </c>
      <c r="U237" s="43" t="s">
        <v>647</v>
      </c>
      <c r="V237" s="43" t="n">
        <v>51</v>
      </c>
      <c r="W237" s="43" t="n">
        <v>30</v>
      </c>
      <c r="X237" s="43" t="n">
        <v>81</v>
      </c>
      <c r="Y237" s="43" t="s">
        <v>635</v>
      </c>
      <c r="Z237" s="43" t="s">
        <v>636</v>
      </c>
    </row>
    <row r="238" customFormat="false" ht="15" hidden="false" customHeight="false" outlineLevel="0" collapsed="false">
      <c r="A238" s="43" t="n">
        <v>236</v>
      </c>
      <c r="B238" s="43" t="s">
        <v>760</v>
      </c>
      <c r="C238" s="43" t="s">
        <v>761</v>
      </c>
      <c r="D238" s="43" t="s">
        <v>761</v>
      </c>
      <c r="E238" s="43" t="s">
        <v>134</v>
      </c>
      <c r="F238" s="43" t="s">
        <v>48</v>
      </c>
      <c r="G238" s="43" t="n">
        <v>2023</v>
      </c>
      <c r="H238" s="44" t="n">
        <v>37700</v>
      </c>
      <c r="I238" s="43" t="n">
        <v>2023</v>
      </c>
      <c r="J238" s="43" t="n">
        <v>12</v>
      </c>
      <c r="K238" s="44" t="n">
        <v>38092</v>
      </c>
      <c r="L238" s="43" t="n">
        <v>2024</v>
      </c>
      <c r="M238" s="43" t="n">
        <v>1</v>
      </c>
      <c r="N238" s="44" t="n">
        <v>38092</v>
      </c>
      <c r="O238" s="43" t="n">
        <v>2024</v>
      </c>
      <c r="P238" s="43" t="n">
        <v>2</v>
      </c>
      <c r="Q238" s="44" t="n">
        <v>35425.56</v>
      </c>
      <c r="R238" s="43" t="s">
        <v>646</v>
      </c>
      <c r="S238" s="43" t="s">
        <v>83</v>
      </c>
      <c r="T238" s="43" t="s">
        <v>641</v>
      </c>
      <c r="U238" s="43" t="s">
        <v>647</v>
      </c>
      <c r="V238" s="43" t="n">
        <v>20</v>
      </c>
      <c r="W238" s="43" t="n">
        <v>30</v>
      </c>
      <c r="X238" s="43" t="n">
        <v>50</v>
      </c>
      <c r="Y238" s="43" t="s">
        <v>635</v>
      </c>
      <c r="Z238" s="43" t="s">
        <v>636</v>
      </c>
    </row>
    <row r="239" customFormat="false" ht="15" hidden="false" customHeight="false" outlineLevel="0" collapsed="false">
      <c r="A239" s="43" t="n">
        <v>237</v>
      </c>
      <c r="B239" s="43" t="s">
        <v>760</v>
      </c>
      <c r="C239" s="43" t="s">
        <v>761</v>
      </c>
      <c r="D239" s="43" t="s">
        <v>761</v>
      </c>
      <c r="E239" s="43" t="s">
        <v>134</v>
      </c>
      <c r="F239" s="43" t="s">
        <v>48</v>
      </c>
      <c r="G239" s="43" t="n">
        <v>2024</v>
      </c>
      <c r="H239" s="44" t="n">
        <v>2940</v>
      </c>
      <c r="I239" s="43" t="n">
        <v>2024</v>
      </c>
      <c r="J239" s="43" t="n">
        <v>1</v>
      </c>
      <c r="K239" s="44" t="n">
        <v>2940</v>
      </c>
      <c r="L239" s="43" t="n">
        <v>2024</v>
      </c>
      <c r="M239" s="43" t="n">
        <v>2</v>
      </c>
      <c r="N239" s="44" t="n">
        <v>2940</v>
      </c>
      <c r="O239" s="43" t="n">
        <v>2024</v>
      </c>
      <c r="P239" s="43" t="n">
        <v>3</v>
      </c>
      <c r="Q239" s="44" t="n">
        <v>2940</v>
      </c>
      <c r="R239" s="43" t="s">
        <v>646</v>
      </c>
      <c r="S239" s="43" t="s">
        <v>83</v>
      </c>
      <c r="T239" s="43" t="s">
        <v>641</v>
      </c>
      <c r="U239" s="43" t="s">
        <v>647</v>
      </c>
      <c r="V239" s="43" t="n">
        <v>21</v>
      </c>
      <c r="W239" s="43" t="n">
        <v>29</v>
      </c>
      <c r="X239" s="43" t="n">
        <v>50</v>
      </c>
      <c r="Y239" s="43" t="s">
        <v>635</v>
      </c>
      <c r="Z239" s="43" t="s">
        <v>636</v>
      </c>
    </row>
    <row r="240" customFormat="false" ht="15" hidden="false" customHeight="false" outlineLevel="0" collapsed="false">
      <c r="A240" s="43" t="n">
        <v>238</v>
      </c>
      <c r="B240" s="43" t="s">
        <v>762</v>
      </c>
      <c r="C240" s="43" t="s">
        <v>763</v>
      </c>
      <c r="D240" s="43" t="s">
        <v>763</v>
      </c>
      <c r="E240" s="43" t="s">
        <v>134</v>
      </c>
      <c r="F240" s="43" t="s">
        <v>48</v>
      </c>
      <c r="G240" s="43" t="n">
        <v>2026</v>
      </c>
      <c r="H240" s="44" t="n">
        <v>0</v>
      </c>
      <c r="I240" s="43" t="n">
        <v>2026</v>
      </c>
      <c r="J240" s="43" t="n">
        <v>5</v>
      </c>
      <c r="K240" s="44" t="n">
        <v>17443</v>
      </c>
      <c r="L240" s="43"/>
      <c r="M240" s="43"/>
      <c r="N240" s="44" t="n">
        <v>0</v>
      </c>
      <c r="O240" s="43"/>
      <c r="P240" s="43"/>
      <c r="Q240" s="44" t="n">
        <v>0</v>
      </c>
      <c r="R240" s="43" t="s">
        <v>646</v>
      </c>
      <c r="S240" s="43" t="s">
        <v>83</v>
      </c>
      <c r="T240" s="43" t="s">
        <v>641</v>
      </c>
      <c r="U240" s="43" t="s">
        <v>669</v>
      </c>
      <c r="V240" s="43"/>
      <c r="W240" s="43"/>
      <c r="X240" s="43"/>
      <c r="Y240" s="43" t="s">
        <v>635</v>
      </c>
      <c r="Z240" s="43" t="s">
        <v>636</v>
      </c>
    </row>
    <row r="241" customFormat="false" ht="15" hidden="false" customHeight="false" outlineLevel="0" collapsed="false">
      <c r="A241" s="43" t="n">
        <v>239</v>
      </c>
      <c r="B241" s="43" t="s">
        <v>764</v>
      </c>
      <c r="C241" s="43" t="s">
        <v>765</v>
      </c>
      <c r="D241" s="43" t="s">
        <v>765</v>
      </c>
      <c r="E241" s="43" t="s">
        <v>134</v>
      </c>
      <c r="F241" s="43" t="s">
        <v>48</v>
      </c>
      <c r="G241" s="43" t="n">
        <v>2023</v>
      </c>
      <c r="H241" s="44" t="n">
        <v>7500</v>
      </c>
      <c r="I241" s="43" t="n">
        <v>2023</v>
      </c>
      <c r="J241" s="43" t="n">
        <v>11</v>
      </c>
      <c r="K241" s="44" t="n">
        <v>14688</v>
      </c>
      <c r="L241" s="43" t="n">
        <v>2024</v>
      </c>
      <c r="M241" s="43" t="n">
        <v>1</v>
      </c>
      <c r="N241" s="44" t="n">
        <v>14688</v>
      </c>
      <c r="O241" s="43" t="n">
        <v>2024</v>
      </c>
      <c r="P241" s="43" t="n">
        <v>2</v>
      </c>
      <c r="Q241" s="44" t="n">
        <v>13659.84</v>
      </c>
      <c r="R241" s="43" t="s">
        <v>703</v>
      </c>
      <c r="S241" s="43" t="s">
        <v>83</v>
      </c>
      <c r="T241" s="43" t="s">
        <v>641</v>
      </c>
      <c r="U241" s="43" t="s">
        <v>647</v>
      </c>
      <c r="V241" s="43" t="n">
        <v>63</v>
      </c>
      <c r="W241" s="43" t="n">
        <v>29</v>
      </c>
      <c r="X241" s="43" t="n">
        <v>92</v>
      </c>
      <c r="Y241" s="43" t="s">
        <v>635</v>
      </c>
      <c r="Z241" s="43" t="s">
        <v>636</v>
      </c>
    </row>
    <row r="242" customFormat="false" ht="15" hidden="false" customHeight="false" outlineLevel="0" collapsed="false">
      <c r="A242" s="43" t="n">
        <v>240</v>
      </c>
      <c r="B242" s="43" t="s">
        <v>764</v>
      </c>
      <c r="C242" s="43" t="s">
        <v>765</v>
      </c>
      <c r="D242" s="43" t="s">
        <v>765</v>
      </c>
      <c r="E242" s="43" t="s">
        <v>134</v>
      </c>
      <c r="F242" s="43" t="s">
        <v>48</v>
      </c>
      <c r="G242" s="43" t="n">
        <v>2024</v>
      </c>
      <c r="H242" s="44" t="n">
        <v>63612</v>
      </c>
      <c r="I242" s="43" t="n">
        <v>2024</v>
      </c>
      <c r="J242" s="43" t="n">
        <v>1</v>
      </c>
      <c r="K242" s="44" t="n">
        <v>77671</v>
      </c>
      <c r="L242" s="43" t="n">
        <v>2024</v>
      </c>
      <c r="M242" s="43" t="n">
        <v>3</v>
      </c>
      <c r="N242" s="44" t="n">
        <v>77671</v>
      </c>
      <c r="O242" s="43" t="n">
        <v>2024</v>
      </c>
      <c r="P242" s="43" t="n">
        <v>4</v>
      </c>
      <c r="Q242" s="44" t="n">
        <v>77671</v>
      </c>
      <c r="R242" s="43" t="s">
        <v>703</v>
      </c>
      <c r="S242" s="43" t="s">
        <v>83</v>
      </c>
      <c r="T242" s="43" t="s">
        <v>641</v>
      </c>
      <c r="U242" s="43" t="s">
        <v>647</v>
      </c>
      <c r="V242" s="43" t="n">
        <v>40</v>
      </c>
      <c r="W242" s="43" t="n">
        <v>30</v>
      </c>
      <c r="X242" s="43" t="n">
        <v>70</v>
      </c>
      <c r="Y242" s="43" t="s">
        <v>635</v>
      </c>
      <c r="Z242" s="43" t="s">
        <v>636</v>
      </c>
    </row>
    <row r="243" customFormat="false" ht="15" hidden="false" customHeight="false" outlineLevel="0" collapsed="false">
      <c r="A243" s="43" t="n">
        <v>241</v>
      </c>
      <c r="B243" s="43" t="s">
        <v>764</v>
      </c>
      <c r="C243" s="43" t="s">
        <v>765</v>
      </c>
      <c r="D243" s="43" t="s">
        <v>765</v>
      </c>
      <c r="E243" s="43" t="s">
        <v>134</v>
      </c>
      <c r="F243" s="43" t="s">
        <v>48</v>
      </c>
      <c r="G243" s="43" t="n">
        <v>2024</v>
      </c>
      <c r="H243" s="44" t="n">
        <v>37545</v>
      </c>
      <c r="I243" s="43" t="n">
        <v>2024</v>
      </c>
      <c r="J243" s="43" t="n">
        <v>3</v>
      </c>
      <c r="K243" s="44" t="n">
        <v>41027</v>
      </c>
      <c r="L243" s="43" t="n">
        <v>2024</v>
      </c>
      <c r="M243" s="43" t="n">
        <v>7</v>
      </c>
      <c r="N243" s="44" t="n">
        <v>44268.2300875357</v>
      </c>
      <c r="O243" s="43" t="n">
        <v>2024</v>
      </c>
      <c r="P243" s="43" t="n">
        <v>8</v>
      </c>
      <c r="Q243" s="44" t="n">
        <v>44268</v>
      </c>
      <c r="R243" s="43" t="s">
        <v>703</v>
      </c>
      <c r="S243" s="43" t="s">
        <v>83</v>
      </c>
      <c r="T243" s="43" t="s">
        <v>641</v>
      </c>
      <c r="U243" s="43" t="s">
        <v>647</v>
      </c>
      <c r="V243" s="43" t="n">
        <v>115</v>
      </c>
      <c r="W243" s="43" t="n">
        <v>27</v>
      </c>
      <c r="X243" s="43" t="n">
        <v>142</v>
      </c>
      <c r="Y243" s="43" t="s">
        <v>635</v>
      </c>
      <c r="Z243" s="43" t="s">
        <v>636</v>
      </c>
    </row>
    <row r="244" customFormat="false" ht="15" hidden="false" customHeight="false" outlineLevel="0" collapsed="false">
      <c r="A244" s="43" t="n">
        <v>242</v>
      </c>
      <c r="B244" s="43" t="s">
        <v>766</v>
      </c>
      <c r="C244" s="43" t="s">
        <v>767</v>
      </c>
      <c r="D244" s="43" t="s">
        <v>767</v>
      </c>
      <c r="E244" s="43" t="s">
        <v>134</v>
      </c>
      <c r="F244" s="43" t="s">
        <v>48</v>
      </c>
      <c r="G244" s="43" t="n">
        <v>2024</v>
      </c>
      <c r="H244" s="44" t="n">
        <v>0</v>
      </c>
      <c r="I244" s="43" t="n">
        <v>2024</v>
      </c>
      <c r="J244" s="43" t="n">
        <v>11</v>
      </c>
      <c r="K244" s="44" t="n">
        <v>11004</v>
      </c>
      <c r="L244" s="43" t="n">
        <v>2025</v>
      </c>
      <c r="M244" s="43" t="n">
        <v>1</v>
      </c>
      <c r="N244" s="44" t="n">
        <v>11004</v>
      </c>
      <c r="O244" s="43" t="n">
        <v>2025</v>
      </c>
      <c r="P244" s="43" t="n">
        <v>2</v>
      </c>
      <c r="Q244" s="44" t="n">
        <v>11418.8508</v>
      </c>
      <c r="R244" s="43" t="s">
        <v>651</v>
      </c>
      <c r="S244" s="43" t="s">
        <v>85</v>
      </c>
      <c r="T244" s="43" t="s">
        <v>633</v>
      </c>
      <c r="U244" s="43" t="s">
        <v>647</v>
      </c>
      <c r="V244" s="43" t="n">
        <v>48</v>
      </c>
      <c r="W244" s="43" t="n">
        <v>33</v>
      </c>
      <c r="X244" s="43" t="n">
        <v>81</v>
      </c>
      <c r="Y244" s="43" t="s">
        <v>635</v>
      </c>
      <c r="Z244" s="43" t="s">
        <v>636</v>
      </c>
    </row>
    <row r="245" customFormat="false" ht="15" hidden="false" customHeight="false" outlineLevel="0" collapsed="false">
      <c r="A245" s="43" t="n">
        <v>243</v>
      </c>
      <c r="B245" s="43" t="s">
        <v>766</v>
      </c>
      <c r="C245" s="43" t="s">
        <v>767</v>
      </c>
      <c r="D245" s="43" t="s">
        <v>767</v>
      </c>
      <c r="E245" s="43" t="s">
        <v>134</v>
      </c>
      <c r="F245" s="43" t="s">
        <v>48</v>
      </c>
      <c r="G245" s="43" t="n">
        <v>2024</v>
      </c>
      <c r="H245" s="44" t="n">
        <v>0</v>
      </c>
      <c r="I245" s="43" t="n">
        <v>2024</v>
      </c>
      <c r="J245" s="43" t="n">
        <v>12</v>
      </c>
      <c r="K245" s="44" t="n">
        <v>18151</v>
      </c>
      <c r="L245" s="43" t="n">
        <v>2025</v>
      </c>
      <c r="M245" s="43" t="n">
        <v>1</v>
      </c>
      <c r="N245" s="44" t="n">
        <v>18151</v>
      </c>
      <c r="O245" s="43" t="n">
        <v>2025</v>
      </c>
      <c r="P245" s="43" t="n">
        <v>2</v>
      </c>
      <c r="Q245" s="44" t="n">
        <v>18835.2927</v>
      </c>
      <c r="R245" s="43" t="s">
        <v>651</v>
      </c>
      <c r="S245" s="43" t="s">
        <v>85</v>
      </c>
      <c r="T245" s="43" t="s">
        <v>633</v>
      </c>
      <c r="U245" s="43" t="s">
        <v>647</v>
      </c>
      <c r="V245" s="43" t="n">
        <v>18</v>
      </c>
      <c r="W245" s="43" t="n">
        <v>33</v>
      </c>
      <c r="X245" s="43" t="n">
        <v>51</v>
      </c>
      <c r="Y245" s="43" t="s">
        <v>635</v>
      </c>
      <c r="Z245" s="43" t="s">
        <v>636</v>
      </c>
    </row>
    <row r="246" customFormat="false" ht="15" hidden="false" customHeight="false" outlineLevel="0" collapsed="false">
      <c r="A246" s="43" t="n">
        <v>244</v>
      </c>
      <c r="B246" s="43" t="s">
        <v>766</v>
      </c>
      <c r="C246" s="43" t="s">
        <v>767</v>
      </c>
      <c r="D246" s="43" t="s">
        <v>767</v>
      </c>
      <c r="E246" s="43" t="s">
        <v>134</v>
      </c>
      <c r="F246" s="43" t="s">
        <v>48</v>
      </c>
      <c r="G246" s="43" t="n">
        <v>2025</v>
      </c>
      <c r="H246" s="44" t="n">
        <v>0</v>
      </c>
      <c r="I246" s="43" t="n">
        <v>2025</v>
      </c>
      <c r="J246" s="43" t="n">
        <v>1</v>
      </c>
      <c r="K246" s="44" t="n">
        <v>7263</v>
      </c>
      <c r="L246" s="43" t="n">
        <v>2025</v>
      </c>
      <c r="M246" s="43" t="n">
        <v>8</v>
      </c>
      <c r="N246" s="44" t="n">
        <v>7263</v>
      </c>
      <c r="O246" s="43" t="n">
        <v>2025</v>
      </c>
      <c r="P246" s="43" t="n">
        <v>9</v>
      </c>
      <c r="Q246" s="44" t="n">
        <v>7263</v>
      </c>
      <c r="R246" s="43" t="s">
        <v>651</v>
      </c>
      <c r="S246" s="43" t="s">
        <v>85</v>
      </c>
      <c r="T246" s="43" t="s">
        <v>633</v>
      </c>
      <c r="U246" s="43" t="s">
        <v>647</v>
      </c>
      <c r="V246" s="43" t="n">
        <v>211</v>
      </c>
      <c r="W246" s="43" t="n">
        <v>30</v>
      </c>
      <c r="X246" s="43" t="n">
        <v>241</v>
      </c>
      <c r="Y246" s="43" t="s">
        <v>635</v>
      </c>
      <c r="Z246" s="43" t="s">
        <v>636</v>
      </c>
    </row>
    <row r="247" customFormat="false" ht="15" hidden="false" customHeight="false" outlineLevel="0" collapsed="false">
      <c r="A247" s="43" t="n">
        <v>245</v>
      </c>
      <c r="B247" s="43" t="s">
        <v>768</v>
      </c>
      <c r="C247" s="43" t="s">
        <v>769</v>
      </c>
      <c r="D247" s="43" t="s">
        <v>769</v>
      </c>
      <c r="E247" s="43" t="s">
        <v>134</v>
      </c>
      <c r="F247" s="43" t="s">
        <v>48</v>
      </c>
      <c r="G247" s="43" t="n">
        <v>2023</v>
      </c>
      <c r="H247" s="44" t="n">
        <v>61712</v>
      </c>
      <c r="I247" s="43" t="n">
        <v>2023</v>
      </c>
      <c r="J247" s="43" t="n">
        <v>9</v>
      </c>
      <c r="K247" s="44" t="n">
        <v>67556</v>
      </c>
      <c r="L247" s="43" t="n">
        <v>2024</v>
      </c>
      <c r="M247" s="43" t="n">
        <v>2</v>
      </c>
      <c r="N247" s="44" t="n">
        <v>67556</v>
      </c>
      <c r="O247" s="43" t="n">
        <v>2024</v>
      </c>
      <c r="P247" s="43" t="n">
        <v>3</v>
      </c>
      <c r="Q247" s="44" t="n">
        <v>63264</v>
      </c>
      <c r="R247" s="43" t="s">
        <v>703</v>
      </c>
      <c r="S247" s="43" t="s">
        <v>83</v>
      </c>
      <c r="T247" s="43" t="s">
        <v>641</v>
      </c>
      <c r="U247" s="43" t="s">
        <v>647</v>
      </c>
      <c r="V247" s="43" t="n">
        <v>154</v>
      </c>
      <c r="W247" s="43" t="n">
        <v>4</v>
      </c>
      <c r="X247" s="43" t="n">
        <v>158</v>
      </c>
      <c r="Y247" s="43" t="s">
        <v>635</v>
      </c>
      <c r="Z247" s="43" t="s">
        <v>636</v>
      </c>
    </row>
    <row r="248" customFormat="false" ht="15" hidden="false" customHeight="false" outlineLevel="0" collapsed="false">
      <c r="A248" s="43" t="n">
        <v>246</v>
      </c>
      <c r="B248" s="43" t="s">
        <v>768</v>
      </c>
      <c r="C248" s="43" t="s">
        <v>769</v>
      </c>
      <c r="D248" s="43" t="s">
        <v>769</v>
      </c>
      <c r="E248" s="43" t="s">
        <v>134</v>
      </c>
      <c r="F248" s="43" t="s">
        <v>48</v>
      </c>
      <c r="G248" s="43" t="n">
        <v>2023</v>
      </c>
      <c r="H248" s="44" t="n">
        <v>20571</v>
      </c>
      <c r="I248" s="43" t="n">
        <v>2023</v>
      </c>
      <c r="J248" s="43" t="n">
        <v>10</v>
      </c>
      <c r="K248" s="44" t="n">
        <v>19139</v>
      </c>
      <c r="L248" s="43" t="n">
        <v>2024</v>
      </c>
      <c r="M248" s="43" t="n">
        <v>2</v>
      </c>
      <c r="N248" s="44" t="n">
        <v>19139</v>
      </c>
      <c r="O248" s="43" t="n">
        <v>2024</v>
      </c>
      <c r="P248" s="43" t="n">
        <v>3</v>
      </c>
      <c r="Q248" s="44" t="n">
        <v>17923</v>
      </c>
      <c r="R248" s="43" t="s">
        <v>703</v>
      </c>
      <c r="S248" s="43" t="s">
        <v>83</v>
      </c>
      <c r="T248" s="43" t="s">
        <v>641</v>
      </c>
      <c r="U248" s="43" t="s">
        <v>647</v>
      </c>
      <c r="V248" s="43" t="n">
        <v>126</v>
      </c>
      <c r="W248" s="43" t="n">
        <v>4</v>
      </c>
      <c r="X248" s="43" t="n">
        <v>130</v>
      </c>
      <c r="Y248" s="43" t="s">
        <v>635</v>
      </c>
      <c r="Z248" s="43" t="s">
        <v>636</v>
      </c>
    </row>
    <row r="249" customFormat="false" ht="15" hidden="false" customHeight="false" outlineLevel="0" collapsed="false">
      <c r="A249" s="43" t="n">
        <v>247</v>
      </c>
      <c r="B249" s="43" t="s">
        <v>768</v>
      </c>
      <c r="C249" s="43" t="s">
        <v>769</v>
      </c>
      <c r="D249" s="43" t="s">
        <v>769</v>
      </c>
      <c r="E249" s="43" t="s">
        <v>134</v>
      </c>
      <c r="F249" s="43" t="s">
        <v>48</v>
      </c>
      <c r="G249" s="43" t="n">
        <v>2023</v>
      </c>
      <c r="H249" s="44" t="n">
        <v>6808</v>
      </c>
      <c r="I249" s="43" t="n">
        <v>2023</v>
      </c>
      <c r="J249" s="43" t="n">
        <v>11</v>
      </c>
      <c r="K249" s="44" t="n">
        <v>6808</v>
      </c>
      <c r="L249" s="43" t="n">
        <v>2024</v>
      </c>
      <c r="M249" s="43" t="n">
        <v>1</v>
      </c>
      <c r="N249" s="44" t="n">
        <v>6808</v>
      </c>
      <c r="O249" s="43" t="n">
        <v>2024</v>
      </c>
      <c r="P249" s="43" t="n">
        <v>2</v>
      </c>
      <c r="Q249" s="44" t="n">
        <v>6331.44</v>
      </c>
      <c r="R249" s="43" t="s">
        <v>703</v>
      </c>
      <c r="S249" s="43" t="s">
        <v>83</v>
      </c>
      <c r="T249" s="43" t="s">
        <v>641</v>
      </c>
      <c r="U249" s="43" t="s">
        <v>647</v>
      </c>
      <c r="V249" s="43" t="n">
        <v>51</v>
      </c>
      <c r="W249" s="43" t="n">
        <v>30</v>
      </c>
      <c r="X249" s="43" t="n">
        <v>81</v>
      </c>
      <c r="Y249" s="43" t="s">
        <v>635</v>
      </c>
      <c r="Z249" s="43" t="s">
        <v>636</v>
      </c>
    </row>
    <row r="250" customFormat="false" ht="15" hidden="false" customHeight="false" outlineLevel="0" collapsed="false">
      <c r="A250" s="43" t="n">
        <v>248</v>
      </c>
      <c r="B250" s="43" t="s">
        <v>770</v>
      </c>
      <c r="C250" s="43" t="s">
        <v>266</v>
      </c>
      <c r="D250" s="43" t="s">
        <v>266</v>
      </c>
      <c r="E250" s="43" t="s">
        <v>134</v>
      </c>
      <c r="F250" s="43" t="s">
        <v>48</v>
      </c>
      <c r="G250" s="43" t="n">
        <v>2025</v>
      </c>
      <c r="H250" s="44" t="n">
        <v>0</v>
      </c>
      <c r="I250" s="43" t="n">
        <v>2025</v>
      </c>
      <c r="J250" s="43" t="n">
        <v>9</v>
      </c>
      <c r="K250" s="44" t="n">
        <v>21121.0395</v>
      </c>
      <c r="L250" s="43" t="n">
        <v>2026</v>
      </c>
      <c r="M250" s="43" t="n">
        <v>1</v>
      </c>
      <c r="N250" s="44" t="n">
        <v>21121.0395</v>
      </c>
      <c r="O250" s="43" t="n">
        <v>2026</v>
      </c>
      <c r="P250" s="43" t="n">
        <v>3</v>
      </c>
      <c r="Q250" s="44" t="n">
        <v>21121.0395</v>
      </c>
      <c r="R250" s="43" t="s">
        <v>646</v>
      </c>
      <c r="S250" s="43" t="s">
        <v>83</v>
      </c>
      <c r="T250" s="43" t="s">
        <v>641</v>
      </c>
      <c r="U250" s="43" t="s">
        <v>634</v>
      </c>
      <c r="V250" s="43" t="n">
        <v>127</v>
      </c>
      <c r="W250" s="43" t="n">
        <v>33</v>
      </c>
      <c r="X250" s="43" t="n">
        <v>160</v>
      </c>
      <c r="Y250" s="43" t="s">
        <v>635</v>
      </c>
      <c r="Z250" s="43" t="s">
        <v>636</v>
      </c>
    </row>
    <row r="251" customFormat="false" ht="15" hidden="false" customHeight="false" outlineLevel="0" collapsed="false">
      <c r="A251" s="43" t="n">
        <v>249</v>
      </c>
      <c r="B251" s="43" t="s">
        <v>770</v>
      </c>
      <c r="C251" s="43" t="s">
        <v>266</v>
      </c>
      <c r="D251" s="43" t="s">
        <v>266</v>
      </c>
      <c r="E251" s="43" t="s">
        <v>134</v>
      </c>
      <c r="F251" s="43" t="s">
        <v>48</v>
      </c>
      <c r="G251" s="43" t="n">
        <v>2025</v>
      </c>
      <c r="H251" s="44" t="n">
        <v>0</v>
      </c>
      <c r="I251" s="43" t="n">
        <v>2025</v>
      </c>
      <c r="J251" s="43" t="n">
        <v>10</v>
      </c>
      <c r="K251" s="44" t="n">
        <v>23592.813</v>
      </c>
      <c r="L251" s="43" t="n">
        <v>2026</v>
      </c>
      <c r="M251" s="43" t="n">
        <v>1</v>
      </c>
      <c r="N251" s="44" t="n">
        <v>23592.813</v>
      </c>
      <c r="O251" s="43" t="n">
        <v>2026</v>
      </c>
      <c r="P251" s="43" t="n">
        <v>3</v>
      </c>
      <c r="Q251" s="44" t="n">
        <v>23592.813</v>
      </c>
      <c r="R251" s="43" t="s">
        <v>646</v>
      </c>
      <c r="S251" s="43" t="s">
        <v>83</v>
      </c>
      <c r="T251" s="43" t="s">
        <v>641</v>
      </c>
      <c r="U251" s="43" t="s">
        <v>634</v>
      </c>
      <c r="V251" s="43" t="n">
        <v>98</v>
      </c>
      <c r="W251" s="43" t="n">
        <v>33</v>
      </c>
      <c r="X251" s="43" t="n">
        <v>131</v>
      </c>
      <c r="Y251" s="43" t="s">
        <v>635</v>
      </c>
      <c r="Z251" s="43" t="s">
        <v>636</v>
      </c>
    </row>
    <row r="252" customFormat="false" ht="15" hidden="false" customHeight="false" outlineLevel="0" collapsed="false">
      <c r="A252" s="43" t="n">
        <v>250</v>
      </c>
      <c r="B252" s="43" t="s">
        <v>770</v>
      </c>
      <c r="C252" s="43" t="s">
        <v>266</v>
      </c>
      <c r="D252" s="43" t="s">
        <v>266</v>
      </c>
      <c r="E252" s="43" t="s">
        <v>134</v>
      </c>
      <c r="F252" s="43" t="s">
        <v>48</v>
      </c>
      <c r="G252" s="43" t="n">
        <v>2025</v>
      </c>
      <c r="H252" s="44" t="n">
        <v>0</v>
      </c>
      <c r="I252" s="43" t="n">
        <v>2025</v>
      </c>
      <c r="J252" s="43" t="n">
        <v>11</v>
      </c>
      <c r="K252" s="44" t="n">
        <v>23600.8995</v>
      </c>
      <c r="L252" s="43" t="n">
        <v>2026</v>
      </c>
      <c r="M252" s="43" t="n">
        <v>1</v>
      </c>
      <c r="N252" s="44" t="n">
        <v>23600.8995</v>
      </c>
      <c r="O252" s="43" t="n">
        <v>2026</v>
      </c>
      <c r="P252" s="43" t="n">
        <v>3</v>
      </c>
      <c r="Q252" s="44" t="n">
        <v>23600.8995</v>
      </c>
      <c r="R252" s="43" t="s">
        <v>646</v>
      </c>
      <c r="S252" s="43" t="s">
        <v>83</v>
      </c>
      <c r="T252" s="43" t="s">
        <v>641</v>
      </c>
      <c r="U252" s="43" t="s">
        <v>634</v>
      </c>
      <c r="V252" s="43" t="n">
        <v>66</v>
      </c>
      <c r="W252" s="43" t="n">
        <v>33</v>
      </c>
      <c r="X252" s="43" t="n">
        <v>99</v>
      </c>
      <c r="Y252" s="43" t="s">
        <v>635</v>
      </c>
      <c r="Z252" s="43" t="s">
        <v>636</v>
      </c>
    </row>
    <row r="253" customFormat="false" ht="15" hidden="false" customHeight="false" outlineLevel="0" collapsed="false">
      <c r="A253" s="43" t="n">
        <v>251</v>
      </c>
      <c r="B253" s="43" t="s">
        <v>770</v>
      </c>
      <c r="C253" s="43" t="s">
        <v>266</v>
      </c>
      <c r="D253" s="43" t="s">
        <v>266</v>
      </c>
      <c r="E253" s="43" t="s">
        <v>134</v>
      </c>
      <c r="F253" s="43" t="s">
        <v>48</v>
      </c>
      <c r="G253" s="43" t="n">
        <v>2026</v>
      </c>
      <c r="H253" s="44" t="n">
        <v>0</v>
      </c>
      <c r="I253" s="43" t="n">
        <v>2026</v>
      </c>
      <c r="J253" s="43" t="n">
        <v>2</v>
      </c>
      <c r="K253" s="44" t="n">
        <v>17056</v>
      </c>
      <c r="L253" s="43" t="n">
        <v>2026</v>
      </c>
      <c r="M253" s="43" t="n">
        <v>5</v>
      </c>
      <c r="N253" s="44" t="n">
        <v>17056</v>
      </c>
      <c r="O253" s="43" t="n">
        <v>2026</v>
      </c>
      <c r="P253" s="43" t="n">
        <v>6</v>
      </c>
      <c r="Q253" s="44" t="n">
        <v>17056</v>
      </c>
      <c r="R253" s="43" t="s">
        <v>646</v>
      </c>
      <c r="S253" s="43" t="s">
        <v>83</v>
      </c>
      <c r="T253" s="43" t="s">
        <v>641</v>
      </c>
      <c r="U253" s="43" t="s">
        <v>634</v>
      </c>
      <c r="V253" s="43" t="n">
        <v>69</v>
      </c>
      <c r="W253" s="43" t="n">
        <v>30</v>
      </c>
      <c r="X253" s="43" t="n">
        <v>99</v>
      </c>
      <c r="Y253" s="43" t="s">
        <v>635</v>
      </c>
      <c r="Z253" s="43" t="s">
        <v>636</v>
      </c>
    </row>
    <row r="254" customFormat="false" ht="15" hidden="false" customHeight="false" outlineLevel="0" collapsed="false">
      <c r="A254" s="43" t="n">
        <v>252</v>
      </c>
      <c r="B254" s="43" t="s">
        <v>771</v>
      </c>
      <c r="C254" s="43" t="s">
        <v>772</v>
      </c>
      <c r="D254" s="43" t="s">
        <v>772</v>
      </c>
      <c r="E254" s="43" t="s">
        <v>134</v>
      </c>
      <c r="F254" s="43" t="s">
        <v>48</v>
      </c>
      <c r="G254" s="43" t="n">
        <v>2024</v>
      </c>
      <c r="H254" s="44" t="n">
        <v>0</v>
      </c>
      <c r="I254" s="43" t="n">
        <v>2024</v>
      </c>
      <c r="J254" s="43" t="n">
        <v>9</v>
      </c>
      <c r="K254" s="44" t="n">
        <v>40000</v>
      </c>
      <c r="L254" s="43" t="n">
        <v>2024</v>
      </c>
      <c r="M254" s="43" t="n">
        <v>11</v>
      </c>
      <c r="N254" s="44" t="n">
        <v>40000</v>
      </c>
      <c r="O254" s="43" t="n">
        <v>2024</v>
      </c>
      <c r="P254" s="43" t="n">
        <v>12</v>
      </c>
      <c r="Q254" s="44" t="n">
        <v>40000</v>
      </c>
      <c r="R254" s="43" t="s">
        <v>646</v>
      </c>
      <c r="S254" s="43" t="s">
        <v>83</v>
      </c>
      <c r="T254" s="43" t="s">
        <v>641</v>
      </c>
      <c r="U254" s="43" t="s">
        <v>669</v>
      </c>
      <c r="V254" s="43" t="n">
        <v>62</v>
      </c>
      <c r="W254" s="43" t="n">
        <v>28</v>
      </c>
      <c r="X254" s="43" t="n">
        <v>90</v>
      </c>
      <c r="Y254" s="43" t="s">
        <v>635</v>
      </c>
      <c r="Z254" s="43" t="s">
        <v>636</v>
      </c>
    </row>
    <row r="255" customFormat="false" ht="15" hidden="false" customHeight="false" outlineLevel="0" collapsed="false">
      <c r="A255" s="43" t="n">
        <v>253</v>
      </c>
      <c r="B255" s="43" t="s">
        <v>771</v>
      </c>
      <c r="C255" s="43" t="s">
        <v>772</v>
      </c>
      <c r="D255" s="43" t="s">
        <v>772</v>
      </c>
      <c r="E255" s="43" t="s">
        <v>134</v>
      </c>
      <c r="F255" s="43" t="s">
        <v>48</v>
      </c>
      <c r="G255" s="43" t="n">
        <v>2024</v>
      </c>
      <c r="H255" s="44" t="n">
        <v>0</v>
      </c>
      <c r="I255" s="43" t="n">
        <v>2024</v>
      </c>
      <c r="J255" s="43" t="n">
        <v>10</v>
      </c>
      <c r="K255" s="44" t="n">
        <v>35127</v>
      </c>
      <c r="L255" s="43" t="n">
        <v>2024</v>
      </c>
      <c r="M255" s="43" t="n">
        <v>11</v>
      </c>
      <c r="N255" s="44" t="n">
        <v>35127</v>
      </c>
      <c r="O255" s="43" t="n">
        <v>2024</v>
      </c>
      <c r="P255" s="43" t="n">
        <v>12</v>
      </c>
      <c r="Q255" s="44" t="n">
        <v>35127</v>
      </c>
      <c r="R255" s="43" t="s">
        <v>646</v>
      </c>
      <c r="S255" s="43" t="s">
        <v>83</v>
      </c>
      <c r="T255" s="43" t="s">
        <v>641</v>
      </c>
      <c r="U255" s="43" t="s">
        <v>669</v>
      </c>
      <c r="V255" s="43" t="n">
        <v>35</v>
      </c>
      <c r="W255" s="43" t="n">
        <v>28</v>
      </c>
      <c r="X255" s="43" t="n">
        <v>63</v>
      </c>
      <c r="Y255" s="43" t="s">
        <v>635</v>
      </c>
      <c r="Z255" s="43" t="s">
        <v>636</v>
      </c>
    </row>
    <row r="256" customFormat="false" ht="15" hidden="false" customHeight="false" outlineLevel="0" collapsed="false">
      <c r="A256" s="43" t="n">
        <v>254</v>
      </c>
      <c r="B256" s="43" t="s">
        <v>771</v>
      </c>
      <c r="C256" s="43" t="s">
        <v>772</v>
      </c>
      <c r="D256" s="43" t="s">
        <v>772</v>
      </c>
      <c r="E256" s="43" t="s">
        <v>134</v>
      </c>
      <c r="F256" s="43" t="s">
        <v>48</v>
      </c>
      <c r="G256" s="43" t="n">
        <v>2025</v>
      </c>
      <c r="H256" s="44" t="n">
        <v>0</v>
      </c>
      <c r="I256" s="43" t="n">
        <v>2025</v>
      </c>
      <c r="J256" s="43" t="n">
        <v>1</v>
      </c>
      <c r="K256" s="44" t="n">
        <v>10236</v>
      </c>
      <c r="L256" s="43" t="n">
        <v>2025</v>
      </c>
      <c r="M256" s="43" t="n">
        <v>6</v>
      </c>
      <c r="N256" s="44" t="n">
        <v>10236</v>
      </c>
      <c r="O256" s="43" t="n">
        <v>2025</v>
      </c>
      <c r="P256" s="43" t="n">
        <v>7</v>
      </c>
      <c r="Q256" s="44" t="n">
        <v>10263</v>
      </c>
      <c r="R256" s="43" t="s">
        <v>646</v>
      </c>
      <c r="S256" s="43" t="s">
        <v>83</v>
      </c>
      <c r="T256" s="43" t="s">
        <v>641</v>
      </c>
      <c r="U256" s="43" t="s">
        <v>669</v>
      </c>
      <c r="V256" s="43" t="n">
        <v>127</v>
      </c>
      <c r="W256" s="43" t="n">
        <v>30</v>
      </c>
      <c r="X256" s="43" t="n">
        <v>157</v>
      </c>
      <c r="Y256" s="43" t="s">
        <v>635</v>
      </c>
      <c r="Z256" s="43" t="s">
        <v>636</v>
      </c>
    </row>
    <row r="257" customFormat="false" ht="15" hidden="false" customHeight="false" outlineLevel="0" collapsed="false">
      <c r="A257" s="43" t="n">
        <v>255</v>
      </c>
      <c r="B257" s="43" t="s">
        <v>773</v>
      </c>
      <c r="C257" s="43" t="s">
        <v>774</v>
      </c>
      <c r="D257" s="43" t="s">
        <v>774</v>
      </c>
      <c r="E257" s="43" t="s">
        <v>134</v>
      </c>
      <c r="F257" s="43" t="s">
        <v>48</v>
      </c>
      <c r="G257" s="43" t="n">
        <v>2023</v>
      </c>
      <c r="H257" s="44" t="n">
        <v>55586</v>
      </c>
      <c r="I257" s="43" t="n">
        <v>2023</v>
      </c>
      <c r="J257" s="43" t="n">
        <v>9</v>
      </c>
      <c r="K257" s="44" t="n">
        <v>62838</v>
      </c>
      <c r="L257" s="43" t="n">
        <v>2024</v>
      </c>
      <c r="M257" s="43" t="n">
        <v>1</v>
      </c>
      <c r="N257" s="44" t="n">
        <v>62838</v>
      </c>
      <c r="O257" s="43" t="n">
        <v>2024</v>
      </c>
      <c r="P257" s="43" t="n">
        <v>2</v>
      </c>
      <c r="Q257" s="44" t="n">
        <v>58439.34</v>
      </c>
      <c r="R257" s="43" t="s">
        <v>703</v>
      </c>
      <c r="S257" s="43" t="s">
        <v>83</v>
      </c>
      <c r="T257" s="43" t="s">
        <v>641</v>
      </c>
      <c r="U257" s="43" t="s">
        <v>647</v>
      </c>
      <c r="V257" s="43" t="n">
        <v>107</v>
      </c>
      <c r="W257" s="43" t="n">
        <v>30</v>
      </c>
      <c r="X257" s="43" t="n">
        <v>137</v>
      </c>
      <c r="Y257" s="43" t="s">
        <v>635</v>
      </c>
      <c r="Z257" s="43" t="s">
        <v>636</v>
      </c>
    </row>
    <row r="258" customFormat="false" ht="15" hidden="false" customHeight="false" outlineLevel="0" collapsed="false">
      <c r="A258" s="43" t="n">
        <v>256</v>
      </c>
      <c r="B258" s="43" t="s">
        <v>773</v>
      </c>
      <c r="C258" s="43" t="s">
        <v>774</v>
      </c>
      <c r="D258" s="43" t="s">
        <v>774</v>
      </c>
      <c r="E258" s="43" t="s">
        <v>134</v>
      </c>
      <c r="F258" s="43" t="s">
        <v>48</v>
      </c>
      <c r="G258" s="43" t="n">
        <v>2023</v>
      </c>
      <c r="H258" s="44" t="n">
        <v>19411</v>
      </c>
      <c r="I258" s="43" t="n">
        <v>2023</v>
      </c>
      <c r="J258" s="43" t="n">
        <v>10</v>
      </c>
      <c r="K258" s="44" t="n">
        <v>17202</v>
      </c>
      <c r="L258" s="43" t="n">
        <v>2024</v>
      </c>
      <c r="M258" s="43" t="n">
        <v>2</v>
      </c>
      <c r="N258" s="44" t="n">
        <v>17202</v>
      </c>
      <c r="O258" s="43" t="n">
        <v>2024</v>
      </c>
      <c r="P258" s="43" t="n">
        <v>3</v>
      </c>
      <c r="Q258" s="44" t="n">
        <v>16109</v>
      </c>
      <c r="R258" s="43" t="s">
        <v>703</v>
      </c>
      <c r="S258" s="43" t="s">
        <v>83</v>
      </c>
      <c r="T258" s="43" t="s">
        <v>641</v>
      </c>
      <c r="U258" s="43" t="s">
        <v>647</v>
      </c>
      <c r="V258" s="43" t="n">
        <v>126</v>
      </c>
      <c r="W258" s="43" t="n">
        <v>4</v>
      </c>
      <c r="X258" s="43" t="n">
        <v>130</v>
      </c>
      <c r="Y258" s="43" t="s">
        <v>635</v>
      </c>
      <c r="Z258" s="43" t="s">
        <v>636</v>
      </c>
    </row>
    <row r="259" customFormat="false" ht="15" hidden="false" customHeight="false" outlineLevel="0" collapsed="false">
      <c r="A259" s="43" t="n">
        <v>257</v>
      </c>
      <c r="B259" s="43" t="s">
        <v>773</v>
      </c>
      <c r="C259" s="43" t="s">
        <v>774</v>
      </c>
      <c r="D259" s="43" t="s">
        <v>774</v>
      </c>
      <c r="E259" s="43" t="s">
        <v>134</v>
      </c>
      <c r="F259" s="43" t="s">
        <v>48</v>
      </c>
      <c r="G259" s="43" t="n">
        <v>2023</v>
      </c>
      <c r="H259" s="44" t="n">
        <v>8191</v>
      </c>
      <c r="I259" s="43" t="n">
        <v>2023</v>
      </c>
      <c r="J259" s="43" t="n">
        <v>11</v>
      </c>
      <c r="K259" s="44" t="n">
        <v>8131</v>
      </c>
      <c r="L259" s="43" t="n">
        <v>2024</v>
      </c>
      <c r="M259" s="43" t="n">
        <v>2</v>
      </c>
      <c r="N259" s="44" t="n">
        <v>8131</v>
      </c>
      <c r="O259" s="43" t="n">
        <v>2024</v>
      </c>
      <c r="P259" s="43" t="n">
        <v>3</v>
      </c>
      <c r="Q259" s="44" t="n">
        <v>8131</v>
      </c>
      <c r="R259" s="43" t="s">
        <v>703</v>
      </c>
      <c r="S259" s="43" t="s">
        <v>83</v>
      </c>
      <c r="T259" s="43" t="s">
        <v>641</v>
      </c>
      <c r="U259" s="43" t="s">
        <v>647</v>
      </c>
      <c r="V259" s="43" t="n">
        <v>98</v>
      </c>
      <c r="W259" s="43" t="n">
        <v>4</v>
      </c>
      <c r="X259" s="43" t="n">
        <v>102</v>
      </c>
      <c r="Y259" s="43" t="s">
        <v>635</v>
      </c>
      <c r="Z259" s="43" t="s">
        <v>636</v>
      </c>
    </row>
    <row r="260" customFormat="false" ht="15" hidden="false" customHeight="false" outlineLevel="0" collapsed="false">
      <c r="A260" s="43" t="n">
        <v>258</v>
      </c>
      <c r="B260" s="43" t="s">
        <v>775</v>
      </c>
      <c r="C260" s="43" t="s">
        <v>776</v>
      </c>
      <c r="D260" s="43" t="s">
        <v>776</v>
      </c>
      <c r="E260" s="43" t="s">
        <v>134</v>
      </c>
      <c r="F260" s="43" t="s">
        <v>48</v>
      </c>
      <c r="G260" s="43" t="n">
        <v>2024</v>
      </c>
      <c r="H260" s="44" t="n">
        <v>0</v>
      </c>
      <c r="I260" s="43" t="n">
        <v>2024</v>
      </c>
      <c r="J260" s="43" t="n">
        <v>11</v>
      </c>
      <c r="K260" s="44" t="n">
        <v>14342</v>
      </c>
      <c r="L260" s="43" t="n">
        <v>2025</v>
      </c>
      <c r="M260" s="43" t="n">
        <v>1</v>
      </c>
      <c r="N260" s="44" t="n">
        <v>14342</v>
      </c>
      <c r="O260" s="43" t="n">
        <v>2025</v>
      </c>
      <c r="P260" s="43" t="n">
        <v>2</v>
      </c>
      <c r="Q260" s="44" t="n">
        <v>14882.6934</v>
      </c>
      <c r="R260" s="43" t="s">
        <v>651</v>
      </c>
      <c r="S260" s="43" t="s">
        <v>85</v>
      </c>
      <c r="T260" s="43" t="s">
        <v>633</v>
      </c>
      <c r="U260" s="43" t="s">
        <v>669</v>
      </c>
      <c r="V260" s="43" t="n">
        <v>48</v>
      </c>
      <c r="W260" s="43" t="n">
        <v>33</v>
      </c>
      <c r="X260" s="43" t="n">
        <v>81</v>
      </c>
      <c r="Y260" s="43" t="s">
        <v>635</v>
      </c>
      <c r="Z260" s="43" t="s">
        <v>636</v>
      </c>
    </row>
    <row r="261" customFormat="false" ht="15" hidden="false" customHeight="false" outlineLevel="0" collapsed="false">
      <c r="A261" s="43" t="n">
        <v>259</v>
      </c>
      <c r="B261" s="43" t="s">
        <v>777</v>
      </c>
      <c r="C261" s="43" t="s">
        <v>778</v>
      </c>
      <c r="D261" s="43" t="s">
        <v>778</v>
      </c>
      <c r="E261" s="43" t="s">
        <v>779</v>
      </c>
      <c r="F261" s="43" t="s">
        <v>48</v>
      </c>
      <c r="G261" s="43" t="n">
        <v>2025</v>
      </c>
      <c r="H261" s="44" t="n">
        <v>0</v>
      </c>
      <c r="I261" s="43" t="n">
        <v>2025</v>
      </c>
      <c r="J261" s="43" t="n">
        <v>10</v>
      </c>
      <c r="K261" s="44" t="n">
        <v>33407</v>
      </c>
      <c r="L261" s="43" t="n">
        <v>2025</v>
      </c>
      <c r="M261" s="43" t="n">
        <v>10</v>
      </c>
      <c r="N261" s="44" t="n">
        <v>33407</v>
      </c>
      <c r="O261" s="43" t="n">
        <v>2025</v>
      </c>
      <c r="P261" s="43" t="n">
        <v>11</v>
      </c>
      <c r="Q261" s="44" t="n">
        <v>33407</v>
      </c>
      <c r="R261" s="43" t="s">
        <v>651</v>
      </c>
      <c r="S261" s="43" t="s">
        <v>85</v>
      </c>
      <c r="T261" s="43" t="s">
        <v>633</v>
      </c>
      <c r="U261" s="43" t="s">
        <v>682</v>
      </c>
      <c r="V261" s="43" t="n">
        <v>6</v>
      </c>
      <c r="W261" s="43" t="n">
        <v>8</v>
      </c>
      <c r="X261" s="43" t="n">
        <v>14</v>
      </c>
      <c r="Y261" s="43" t="s">
        <v>635</v>
      </c>
      <c r="Z261" s="43" t="s">
        <v>636</v>
      </c>
    </row>
    <row r="262" customFormat="false" ht="15" hidden="false" customHeight="false" outlineLevel="0" collapsed="false">
      <c r="A262" s="43" t="n">
        <v>260</v>
      </c>
      <c r="B262" s="43" t="s">
        <v>777</v>
      </c>
      <c r="C262" s="43" t="s">
        <v>778</v>
      </c>
      <c r="D262" s="43" t="s">
        <v>778</v>
      </c>
      <c r="E262" s="43" t="s">
        <v>779</v>
      </c>
      <c r="F262" s="43" t="s">
        <v>48</v>
      </c>
      <c r="G262" s="43" t="n">
        <v>2025</v>
      </c>
      <c r="H262" s="44" t="n">
        <v>0</v>
      </c>
      <c r="I262" s="43" t="n">
        <v>2025</v>
      </c>
      <c r="J262" s="43" t="n">
        <v>11</v>
      </c>
      <c r="K262" s="44" t="n">
        <v>7599</v>
      </c>
      <c r="L262" s="43" t="n">
        <v>2025</v>
      </c>
      <c r="M262" s="43" t="n">
        <v>12</v>
      </c>
      <c r="N262" s="44" t="n">
        <v>7660</v>
      </c>
      <c r="O262" s="43" t="n">
        <v>2025</v>
      </c>
      <c r="P262" s="43" t="n">
        <v>12</v>
      </c>
      <c r="Q262" s="44" t="n">
        <v>7660</v>
      </c>
      <c r="R262" s="43" t="s">
        <v>651</v>
      </c>
      <c r="S262" s="43" t="s">
        <v>85</v>
      </c>
      <c r="T262" s="43" t="s">
        <v>633</v>
      </c>
      <c r="U262" s="43" t="s">
        <v>682</v>
      </c>
      <c r="V262" s="43" t="n">
        <v>8</v>
      </c>
      <c r="W262" s="43" t="n">
        <v>9</v>
      </c>
      <c r="X262" s="43" t="n">
        <v>17</v>
      </c>
      <c r="Y262" s="43" t="s">
        <v>635</v>
      </c>
      <c r="Z262" s="43" t="s">
        <v>636</v>
      </c>
    </row>
    <row r="263" customFormat="false" ht="15" hidden="false" customHeight="false" outlineLevel="0" collapsed="false">
      <c r="A263" s="43" t="n">
        <v>261</v>
      </c>
      <c r="B263" s="43" t="s">
        <v>777</v>
      </c>
      <c r="C263" s="43" t="s">
        <v>778</v>
      </c>
      <c r="D263" s="43" t="s">
        <v>778</v>
      </c>
      <c r="E263" s="43" t="s">
        <v>779</v>
      </c>
      <c r="F263" s="43" t="s">
        <v>48</v>
      </c>
      <c r="G263" s="43" t="n">
        <v>2025</v>
      </c>
      <c r="H263" s="44" t="n">
        <v>0</v>
      </c>
      <c r="I263" s="43" t="n">
        <v>2025</v>
      </c>
      <c r="J263" s="43" t="n">
        <v>12</v>
      </c>
      <c r="K263" s="44" t="n">
        <v>7599</v>
      </c>
      <c r="L263" s="43" t="n">
        <v>2026</v>
      </c>
      <c r="M263" s="43" t="n">
        <v>2</v>
      </c>
      <c r="N263" s="44" t="n">
        <v>7599</v>
      </c>
      <c r="O263" s="43" t="n">
        <v>2026</v>
      </c>
      <c r="P263" s="43" t="n">
        <v>2</v>
      </c>
      <c r="Q263" s="44" t="n">
        <v>7599</v>
      </c>
      <c r="R263" s="43" t="s">
        <v>651</v>
      </c>
      <c r="S263" s="43" t="s">
        <v>85</v>
      </c>
      <c r="T263" s="43" t="s">
        <v>633</v>
      </c>
      <c r="U263" s="43" t="s">
        <v>682</v>
      </c>
      <c r="V263" s="43" t="n">
        <v>42</v>
      </c>
      <c r="W263" s="43" t="n">
        <v>9</v>
      </c>
      <c r="X263" s="43" t="n">
        <v>51</v>
      </c>
      <c r="Y263" s="43" t="s">
        <v>635</v>
      </c>
      <c r="Z263" s="43" t="s">
        <v>636</v>
      </c>
    </row>
    <row r="264" customFormat="false" ht="15" hidden="false" customHeight="false" outlineLevel="0" collapsed="false">
      <c r="A264" s="43" t="n">
        <v>262</v>
      </c>
      <c r="B264" s="43" t="s">
        <v>777</v>
      </c>
      <c r="C264" s="43" t="s">
        <v>778</v>
      </c>
      <c r="D264" s="43" t="s">
        <v>778</v>
      </c>
      <c r="E264" s="43" t="s">
        <v>779</v>
      </c>
      <c r="F264" s="43" t="s">
        <v>48</v>
      </c>
      <c r="G264" s="43" t="n">
        <v>2025</v>
      </c>
      <c r="H264" s="44" t="n">
        <v>0</v>
      </c>
      <c r="I264" s="43" t="n">
        <v>2025</v>
      </c>
      <c r="J264" s="43" t="n">
        <v>12</v>
      </c>
      <c r="K264" s="44" t="n">
        <v>5661</v>
      </c>
      <c r="L264" s="43" t="n">
        <v>2026</v>
      </c>
      <c r="M264" s="43" t="n">
        <v>2</v>
      </c>
      <c r="N264" s="44" t="n">
        <v>5661</v>
      </c>
      <c r="O264" s="43" t="n">
        <v>2026</v>
      </c>
      <c r="P264" s="43" t="n">
        <v>2</v>
      </c>
      <c r="Q264" s="44" t="n">
        <v>5661</v>
      </c>
      <c r="R264" s="43" t="s">
        <v>651</v>
      </c>
      <c r="S264" s="43" t="s">
        <v>85</v>
      </c>
      <c r="T264" s="43" t="s">
        <v>633</v>
      </c>
      <c r="U264" s="43" t="s">
        <v>682</v>
      </c>
      <c r="V264" s="43" t="n">
        <v>55</v>
      </c>
      <c r="W264" s="43" t="n">
        <v>10</v>
      </c>
      <c r="X264" s="43" t="n">
        <v>65</v>
      </c>
      <c r="Y264" s="43" t="s">
        <v>635</v>
      </c>
      <c r="Z264" s="43" t="s">
        <v>636</v>
      </c>
    </row>
    <row r="265" customFormat="false" ht="15" hidden="false" customHeight="false" outlineLevel="0" collapsed="false">
      <c r="A265" s="43" t="n">
        <v>263</v>
      </c>
      <c r="B265" s="43" t="s">
        <v>780</v>
      </c>
      <c r="C265" s="43" t="s">
        <v>781</v>
      </c>
      <c r="D265" s="43" t="s">
        <v>781</v>
      </c>
      <c r="E265" s="43" t="s">
        <v>779</v>
      </c>
      <c r="F265" s="43" t="s">
        <v>48</v>
      </c>
      <c r="G265" s="43" t="n">
        <v>2026</v>
      </c>
      <c r="H265" s="44" t="n">
        <v>4497</v>
      </c>
      <c r="I265" s="43" t="n">
        <v>2026</v>
      </c>
      <c r="J265" s="43" t="n">
        <v>2</v>
      </c>
      <c r="K265" s="44" t="n">
        <v>13169</v>
      </c>
      <c r="L265" s="43" t="n">
        <v>2026</v>
      </c>
      <c r="M265" s="43" t="n">
        <v>4</v>
      </c>
      <c r="N265" s="44" t="n">
        <v>13169</v>
      </c>
      <c r="O265" s="43" t="n">
        <v>2026</v>
      </c>
      <c r="P265" s="43" t="n">
        <v>4</v>
      </c>
      <c r="Q265" s="44" t="n">
        <v>13169</v>
      </c>
      <c r="R265" s="43" t="s">
        <v>651</v>
      </c>
      <c r="S265" s="43" t="s">
        <v>85</v>
      </c>
      <c r="T265" s="43" t="s">
        <v>633</v>
      </c>
      <c r="U265" s="43" t="s">
        <v>682</v>
      </c>
      <c r="V265" s="43" t="n">
        <v>55</v>
      </c>
      <c r="W265" s="43" t="n">
        <v>10</v>
      </c>
      <c r="X265" s="43" t="n">
        <v>65</v>
      </c>
      <c r="Y265" s="43" t="s">
        <v>635</v>
      </c>
      <c r="Z265" s="43" t="s">
        <v>636</v>
      </c>
    </row>
    <row r="266" customFormat="false" ht="15" hidden="false" customHeight="false" outlineLevel="0" collapsed="false">
      <c r="A266" s="43" t="n">
        <v>264</v>
      </c>
      <c r="B266" s="43" t="s">
        <v>780</v>
      </c>
      <c r="C266" s="43" t="s">
        <v>781</v>
      </c>
      <c r="D266" s="43" t="s">
        <v>781</v>
      </c>
      <c r="E266" s="43" t="s">
        <v>779</v>
      </c>
      <c r="F266" s="43" t="s">
        <v>48</v>
      </c>
      <c r="G266" s="43" t="n">
        <v>2026</v>
      </c>
      <c r="H266" s="44" t="n">
        <v>13143</v>
      </c>
      <c r="I266" s="43" t="n">
        <v>2026</v>
      </c>
      <c r="J266" s="43" t="n">
        <v>3</v>
      </c>
      <c r="K266" s="44" t="n">
        <v>40729</v>
      </c>
      <c r="L266" s="43" t="n">
        <v>2026</v>
      </c>
      <c r="M266" s="43" t="n">
        <v>4</v>
      </c>
      <c r="N266" s="44" t="n">
        <v>40729</v>
      </c>
      <c r="O266" s="43" t="n">
        <v>2026</v>
      </c>
      <c r="P266" s="43" t="n">
        <v>4</v>
      </c>
      <c r="Q266" s="44" t="n">
        <v>40729</v>
      </c>
      <c r="R266" s="43" t="s">
        <v>651</v>
      </c>
      <c r="S266" s="43" t="s">
        <v>85</v>
      </c>
      <c r="T266" s="43" t="s">
        <v>633</v>
      </c>
      <c r="U266" s="43" t="s">
        <v>682</v>
      </c>
      <c r="V266" s="43" t="n">
        <v>7</v>
      </c>
      <c r="W266" s="43" t="n">
        <v>11</v>
      </c>
      <c r="X266" s="43" t="n">
        <v>18</v>
      </c>
      <c r="Y266" s="43" t="s">
        <v>635</v>
      </c>
      <c r="Z266" s="43" t="s">
        <v>636</v>
      </c>
    </row>
    <row r="267" customFormat="false" ht="15" hidden="false" customHeight="false" outlineLevel="0" collapsed="false">
      <c r="A267" s="43" t="n">
        <v>265</v>
      </c>
      <c r="B267" s="43" t="s">
        <v>780</v>
      </c>
      <c r="C267" s="43" t="s">
        <v>781</v>
      </c>
      <c r="D267" s="43" t="s">
        <v>781</v>
      </c>
      <c r="E267" s="43" t="s">
        <v>779</v>
      </c>
      <c r="F267" s="43" t="s">
        <v>48</v>
      </c>
      <c r="G267" s="43" t="n">
        <v>2026</v>
      </c>
      <c r="H267" s="44" t="n">
        <v>0</v>
      </c>
      <c r="I267" s="43" t="n">
        <v>2026</v>
      </c>
      <c r="J267" s="43" t="n">
        <v>4</v>
      </c>
      <c r="K267" s="44" t="n">
        <v>16667</v>
      </c>
      <c r="L267" s="43" t="n">
        <v>2026</v>
      </c>
      <c r="M267" s="43" t="n">
        <v>5</v>
      </c>
      <c r="N267" s="44" t="n">
        <v>16667</v>
      </c>
      <c r="O267" s="43" t="n">
        <v>2026</v>
      </c>
      <c r="P267" s="43" t="n">
        <v>5</v>
      </c>
      <c r="Q267" s="44" t="n">
        <v>16667</v>
      </c>
      <c r="R267" s="43" t="s">
        <v>651</v>
      </c>
      <c r="S267" s="43" t="s">
        <v>85</v>
      </c>
      <c r="T267" s="43" t="s">
        <v>633</v>
      </c>
      <c r="U267" s="43" t="s">
        <v>682</v>
      </c>
      <c r="V267" s="43" t="n">
        <v>7</v>
      </c>
      <c r="W267" s="43" t="n">
        <v>7</v>
      </c>
      <c r="X267" s="43" t="n">
        <v>14</v>
      </c>
      <c r="Y267" s="43" t="s">
        <v>635</v>
      </c>
      <c r="Z267" s="43" t="s">
        <v>636</v>
      </c>
    </row>
    <row r="268" customFormat="false" ht="15" hidden="false" customHeight="false" outlineLevel="0" collapsed="false">
      <c r="A268" s="43" t="n">
        <v>266</v>
      </c>
      <c r="B268" s="43" t="s">
        <v>782</v>
      </c>
      <c r="C268" s="43" t="s">
        <v>783</v>
      </c>
      <c r="D268" s="43" t="s">
        <v>783</v>
      </c>
      <c r="E268" s="43" t="s">
        <v>136</v>
      </c>
      <c r="F268" s="43" t="s">
        <v>48</v>
      </c>
      <c r="G268" s="43" t="n">
        <v>2026</v>
      </c>
      <c r="H268" s="44" t="n">
        <v>0</v>
      </c>
      <c r="I268" s="43" t="n">
        <v>2026</v>
      </c>
      <c r="J268" s="43" t="n">
        <v>5</v>
      </c>
      <c r="K268" s="44" t="n">
        <v>106628</v>
      </c>
      <c r="L268" s="43"/>
      <c r="M268" s="43"/>
      <c r="N268" s="44" t="n">
        <v>0</v>
      </c>
      <c r="O268" s="43"/>
      <c r="P268" s="43"/>
      <c r="Q268" s="44" t="n">
        <v>0</v>
      </c>
      <c r="R268" s="43" t="s">
        <v>651</v>
      </c>
      <c r="S268" s="43" t="s">
        <v>85</v>
      </c>
      <c r="T268" s="43" t="s">
        <v>633</v>
      </c>
      <c r="U268" s="43" t="s">
        <v>784</v>
      </c>
      <c r="V268" s="43"/>
      <c r="W268" s="43"/>
      <c r="X268" s="43"/>
      <c r="Y268" s="43" t="s">
        <v>635</v>
      </c>
      <c r="Z268" s="43" t="s">
        <v>636</v>
      </c>
    </row>
    <row r="269" customFormat="false" ht="15" hidden="false" customHeight="false" outlineLevel="0" collapsed="false">
      <c r="A269" s="43" t="n">
        <v>267</v>
      </c>
      <c r="B269" s="43" t="s">
        <v>785</v>
      </c>
      <c r="C269" s="43" t="s">
        <v>276</v>
      </c>
      <c r="D269" s="43" t="s">
        <v>276</v>
      </c>
      <c r="E269" s="43" t="s">
        <v>779</v>
      </c>
      <c r="F269" s="43" t="s">
        <v>48</v>
      </c>
      <c r="G269" s="43" t="n">
        <v>2026</v>
      </c>
      <c r="H269" s="44" t="n">
        <v>22302</v>
      </c>
      <c r="I269" s="43" t="n">
        <v>2026</v>
      </c>
      <c r="J269" s="43" t="n">
        <v>2</v>
      </c>
      <c r="K269" s="44" t="n">
        <v>25294</v>
      </c>
      <c r="L269" s="43" t="n">
        <v>2026</v>
      </c>
      <c r="M269" s="43" t="n">
        <v>4</v>
      </c>
      <c r="N269" s="44" t="n">
        <v>25294</v>
      </c>
      <c r="O269" s="43" t="n">
        <v>2026</v>
      </c>
      <c r="P269" s="43" t="n">
        <v>4</v>
      </c>
      <c r="Q269" s="44" t="n">
        <v>25294</v>
      </c>
      <c r="R269" s="43" t="s">
        <v>651</v>
      </c>
      <c r="S269" s="43" t="s">
        <v>85</v>
      </c>
      <c r="T269" s="43" t="s">
        <v>633</v>
      </c>
      <c r="U269" s="43" t="s">
        <v>647</v>
      </c>
      <c r="V269" s="43" t="n">
        <v>38</v>
      </c>
      <c r="W269" s="43" t="n">
        <v>11</v>
      </c>
      <c r="X269" s="43" t="n">
        <v>49</v>
      </c>
      <c r="Y269" s="43" t="s">
        <v>635</v>
      </c>
      <c r="Z269" s="43" t="s">
        <v>636</v>
      </c>
    </row>
    <row r="270" customFormat="false" ht="15" hidden="false" customHeight="false" outlineLevel="0" collapsed="false">
      <c r="A270" s="43" t="n">
        <v>268</v>
      </c>
      <c r="B270" s="43" t="s">
        <v>785</v>
      </c>
      <c r="C270" s="43" t="s">
        <v>276</v>
      </c>
      <c r="D270" s="43" t="s">
        <v>276</v>
      </c>
      <c r="E270" s="43" t="s">
        <v>779</v>
      </c>
      <c r="F270" s="43" t="s">
        <v>48</v>
      </c>
      <c r="G270" s="43" t="n">
        <v>2026</v>
      </c>
      <c r="H270" s="44" t="n">
        <v>14826</v>
      </c>
      <c r="I270" s="43" t="n">
        <v>2026</v>
      </c>
      <c r="J270" s="43" t="n">
        <v>3</v>
      </c>
      <c r="K270" s="44" t="n">
        <v>13416</v>
      </c>
      <c r="L270" s="43" t="n">
        <v>2026</v>
      </c>
      <c r="M270" s="43" t="n">
        <v>5</v>
      </c>
      <c r="N270" s="44" t="n">
        <v>13416</v>
      </c>
      <c r="O270" s="43" t="n">
        <v>2026</v>
      </c>
      <c r="P270" s="43" t="n">
        <v>6</v>
      </c>
      <c r="Q270" s="44" t="n">
        <v>13416</v>
      </c>
      <c r="R270" s="43" t="s">
        <v>651</v>
      </c>
      <c r="S270" s="43" t="s">
        <v>85</v>
      </c>
      <c r="T270" s="43" t="s">
        <v>633</v>
      </c>
      <c r="U270" s="43" t="s">
        <v>647</v>
      </c>
      <c r="V270" s="43" t="n">
        <v>58</v>
      </c>
      <c r="W270" s="43" t="n">
        <v>9</v>
      </c>
      <c r="X270" s="43" t="n">
        <v>67</v>
      </c>
      <c r="Y270" s="43" t="s">
        <v>635</v>
      </c>
      <c r="Z270" s="43" t="s">
        <v>636</v>
      </c>
    </row>
    <row r="271" customFormat="false" ht="15" hidden="false" customHeight="false" outlineLevel="0" collapsed="false">
      <c r="A271" s="43" t="n">
        <v>269</v>
      </c>
      <c r="B271" s="43" t="s">
        <v>785</v>
      </c>
      <c r="C271" s="43" t="s">
        <v>276</v>
      </c>
      <c r="D271" s="43" t="s">
        <v>276</v>
      </c>
      <c r="E271" s="43" t="s">
        <v>779</v>
      </c>
      <c r="F271" s="43" t="s">
        <v>48</v>
      </c>
      <c r="G271" s="43" t="n">
        <v>2026</v>
      </c>
      <c r="H271" s="44" t="n">
        <v>0</v>
      </c>
      <c r="I271" s="43" t="n">
        <v>2026</v>
      </c>
      <c r="J271" s="43" t="n">
        <v>4</v>
      </c>
      <c r="K271" s="44" t="n">
        <v>1410</v>
      </c>
      <c r="L271" s="43"/>
      <c r="M271" s="43"/>
      <c r="N271" s="44" t="n">
        <v>0</v>
      </c>
      <c r="O271" s="43"/>
      <c r="P271" s="43"/>
      <c r="Q271" s="44" t="n">
        <v>0</v>
      </c>
      <c r="R271" s="43" t="s">
        <v>651</v>
      </c>
      <c r="S271" s="43" t="s">
        <v>85</v>
      </c>
      <c r="T271" s="43" t="s">
        <v>633</v>
      </c>
      <c r="U271" s="43" t="s">
        <v>647</v>
      </c>
      <c r="V271" s="43"/>
      <c r="W271" s="43"/>
      <c r="X271" s="43"/>
      <c r="Y271" s="43" t="s">
        <v>635</v>
      </c>
      <c r="Z271" s="43" t="s">
        <v>636</v>
      </c>
    </row>
    <row r="272" customFormat="false" ht="15" hidden="false" customHeight="false" outlineLevel="0" collapsed="false">
      <c r="A272" s="43" t="n">
        <v>270</v>
      </c>
      <c r="B272" s="43" t="s">
        <v>786</v>
      </c>
      <c r="C272" s="43" t="s">
        <v>787</v>
      </c>
      <c r="D272" s="43" t="s">
        <v>788</v>
      </c>
      <c r="E272" s="43" t="s">
        <v>143</v>
      </c>
      <c r="F272" s="43" t="s">
        <v>61</v>
      </c>
      <c r="G272" s="43" t="n">
        <v>2023</v>
      </c>
      <c r="H272" s="44" t="n">
        <v>0</v>
      </c>
      <c r="I272" s="43" t="n">
        <v>2023</v>
      </c>
      <c r="J272" s="43" t="n">
        <v>3</v>
      </c>
      <c r="K272" s="44" t="n">
        <v>18302.625</v>
      </c>
      <c r="L272" s="43" t="n">
        <v>2023</v>
      </c>
      <c r="M272" s="43" t="n">
        <v>4</v>
      </c>
      <c r="N272" s="44" t="n">
        <v>18302.61</v>
      </c>
      <c r="O272" s="43" t="n">
        <v>2023</v>
      </c>
      <c r="P272" s="43" t="n">
        <v>4</v>
      </c>
      <c r="Q272" s="44" t="n">
        <v>18302.61</v>
      </c>
      <c r="R272" s="43" t="s">
        <v>651</v>
      </c>
      <c r="S272" s="43" t="s">
        <v>85</v>
      </c>
      <c r="T272" s="43" t="s">
        <v>633</v>
      </c>
      <c r="U272" s="43" t="s">
        <v>682</v>
      </c>
      <c r="V272" s="43" t="n">
        <v>17</v>
      </c>
      <c r="W272" s="43" t="n">
        <v>14</v>
      </c>
      <c r="X272" s="43" t="n">
        <v>31</v>
      </c>
      <c r="Y272" s="43" t="s">
        <v>635</v>
      </c>
      <c r="Z272" s="43" t="s">
        <v>636</v>
      </c>
    </row>
    <row r="273" customFormat="false" ht="15" hidden="false" customHeight="false" outlineLevel="0" collapsed="false">
      <c r="A273" s="43" t="n">
        <v>271</v>
      </c>
      <c r="B273" s="43" t="s">
        <v>786</v>
      </c>
      <c r="C273" s="43" t="s">
        <v>787</v>
      </c>
      <c r="D273" s="43" t="s">
        <v>788</v>
      </c>
      <c r="E273" s="43" t="s">
        <v>143</v>
      </c>
      <c r="F273" s="43" t="s">
        <v>61</v>
      </c>
      <c r="G273" s="43" t="n">
        <v>2023</v>
      </c>
      <c r="H273" s="44" t="n">
        <v>0</v>
      </c>
      <c r="I273" s="43" t="n">
        <v>2023</v>
      </c>
      <c r="J273" s="43" t="n">
        <v>4</v>
      </c>
      <c r="K273" s="44" t="n">
        <v>7732.125</v>
      </c>
      <c r="L273" s="43" t="n">
        <v>2023</v>
      </c>
      <c r="M273" s="43" t="n">
        <v>5</v>
      </c>
      <c r="N273" s="44" t="n">
        <v>7732.4</v>
      </c>
      <c r="O273" s="43" t="n">
        <v>2023</v>
      </c>
      <c r="P273" s="43" t="n">
        <v>5</v>
      </c>
      <c r="Q273" s="44" t="n">
        <v>7732.4</v>
      </c>
      <c r="R273" s="43" t="s">
        <v>651</v>
      </c>
      <c r="S273" s="43" t="s">
        <v>85</v>
      </c>
      <c r="T273" s="43" t="s">
        <v>633</v>
      </c>
      <c r="U273" s="43" t="s">
        <v>682</v>
      </c>
      <c r="V273" s="43" t="n">
        <v>13</v>
      </c>
      <c r="W273" s="43" t="n">
        <v>15</v>
      </c>
      <c r="X273" s="43" t="n">
        <v>28</v>
      </c>
      <c r="Y273" s="43" t="s">
        <v>635</v>
      </c>
      <c r="Z273" s="43" t="s">
        <v>636</v>
      </c>
    </row>
    <row r="274" customFormat="false" ht="15" hidden="false" customHeight="false" outlineLevel="0" collapsed="false">
      <c r="A274" s="43" t="n">
        <v>272</v>
      </c>
      <c r="B274" s="43" t="s">
        <v>786</v>
      </c>
      <c r="C274" s="43" t="s">
        <v>787</v>
      </c>
      <c r="D274" s="43" t="s">
        <v>789</v>
      </c>
      <c r="E274" s="43" t="s">
        <v>143</v>
      </c>
      <c r="F274" s="43" t="s">
        <v>61</v>
      </c>
      <c r="G274" s="43" t="n">
        <v>2023</v>
      </c>
      <c r="H274" s="44" t="n">
        <v>0</v>
      </c>
      <c r="I274" s="43" t="n">
        <v>2023</v>
      </c>
      <c r="J274" s="43" t="n">
        <v>5</v>
      </c>
      <c r="K274" s="44" t="n">
        <v>18639.75</v>
      </c>
      <c r="L274" s="43" t="n">
        <v>2023</v>
      </c>
      <c r="M274" s="43" t="n">
        <v>6</v>
      </c>
      <c r="N274" s="44" t="n">
        <v>18639.75</v>
      </c>
      <c r="O274" s="43" t="n">
        <v>2023</v>
      </c>
      <c r="P274" s="43" t="n">
        <v>8</v>
      </c>
      <c r="Q274" s="44" t="n">
        <v>18639.75</v>
      </c>
      <c r="R274" s="43" t="s">
        <v>651</v>
      </c>
      <c r="S274" s="43" t="s">
        <v>85</v>
      </c>
      <c r="T274" s="43" t="s">
        <v>633</v>
      </c>
      <c r="U274" s="43" t="s">
        <v>682</v>
      </c>
      <c r="V274" s="43" t="n">
        <v>36</v>
      </c>
      <c r="W274" s="43" t="n">
        <v>38</v>
      </c>
      <c r="X274" s="43" t="n">
        <v>74</v>
      </c>
      <c r="Y274" s="43" t="s">
        <v>635</v>
      </c>
      <c r="Z274" s="43" t="s">
        <v>636</v>
      </c>
    </row>
    <row r="275" customFormat="false" ht="15" hidden="false" customHeight="false" outlineLevel="0" collapsed="false">
      <c r="A275" s="43" t="n">
        <v>273</v>
      </c>
      <c r="B275" s="43" t="s">
        <v>786</v>
      </c>
      <c r="C275" s="43" t="s">
        <v>787</v>
      </c>
      <c r="D275" s="43" t="s">
        <v>790</v>
      </c>
      <c r="E275" s="43" t="s">
        <v>143</v>
      </c>
      <c r="F275" s="43" t="s">
        <v>61</v>
      </c>
      <c r="G275" s="43" t="n">
        <v>2023</v>
      </c>
      <c r="H275" s="44" t="n">
        <v>0</v>
      </c>
      <c r="I275" s="43" t="n">
        <v>2023</v>
      </c>
      <c r="J275" s="43" t="n">
        <v>3</v>
      </c>
      <c r="K275" s="44" t="n">
        <v>14735.625</v>
      </c>
      <c r="L275" s="43" t="n">
        <v>2023</v>
      </c>
      <c r="M275" s="43" t="n">
        <v>4</v>
      </c>
      <c r="N275" s="44" t="n">
        <v>14736</v>
      </c>
      <c r="O275" s="43" t="n">
        <v>2023</v>
      </c>
      <c r="P275" s="43" t="n">
        <v>4</v>
      </c>
      <c r="Q275" s="44" t="n">
        <v>14736</v>
      </c>
      <c r="R275" s="43" t="s">
        <v>651</v>
      </c>
      <c r="S275" s="43" t="s">
        <v>85</v>
      </c>
      <c r="T275" s="43" t="s">
        <v>633</v>
      </c>
      <c r="U275" s="43" t="s">
        <v>682</v>
      </c>
      <c r="V275" s="43" t="n">
        <v>17</v>
      </c>
      <c r="W275" s="43" t="n">
        <v>14</v>
      </c>
      <c r="X275" s="43" t="n">
        <v>31</v>
      </c>
      <c r="Y275" s="43" t="s">
        <v>635</v>
      </c>
      <c r="Z275" s="43" t="s">
        <v>636</v>
      </c>
    </row>
    <row r="276" customFormat="false" ht="15" hidden="false" customHeight="false" outlineLevel="0" collapsed="false">
      <c r="A276" s="43" t="n">
        <v>274</v>
      </c>
      <c r="B276" s="43" t="s">
        <v>786</v>
      </c>
      <c r="C276" s="43" t="s">
        <v>787</v>
      </c>
      <c r="D276" s="43" t="s">
        <v>790</v>
      </c>
      <c r="E276" s="43" t="s">
        <v>143</v>
      </c>
      <c r="F276" s="43" t="s">
        <v>61</v>
      </c>
      <c r="G276" s="43" t="n">
        <v>2023</v>
      </c>
      <c r="H276" s="44" t="n">
        <v>0</v>
      </c>
      <c r="I276" s="43" t="n">
        <v>2023</v>
      </c>
      <c r="J276" s="43" t="n">
        <v>4</v>
      </c>
      <c r="K276" s="44" t="n">
        <v>6840.375</v>
      </c>
      <c r="L276" s="43" t="n">
        <v>2023</v>
      </c>
      <c r="M276" s="43" t="n">
        <v>7</v>
      </c>
      <c r="N276" s="44" t="n">
        <v>6840.375</v>
      </c>
      <c r="O276" s="43" t="n">
        <v>2023</v>
      </c>
      <c r="P276" s="43" t="n">
        <v>7</v>
      </c>
      <c r="Q276" s="44" t="n">
        <v>6840.375</v>
      </c>
      <c r="R276" s="43" t="s">
        <v>651</v>
      </c>
      <c r="S276" s="43" t="s">
        <v>85</v>
      </c>
      <c r="T276" s="43" t="s">
        <v>633</v>
      </c>
      <c r="U276" s="43" t="s">
        <v>682</v>
      </c>
      <c r="V276" s="43" t="n">
        <v>82</v>
      </c>
      <c r="W276" s="43" t="n">
        <v>9</v>
      </c>
      <c r="X276" s="43" t="n">
        <v>91</v>
      </c>
      <c r="Y276" s="43" t="s">
        <v>635</v>
      </c>
      <c r="Z276" s="43" t="s">
        <v>636</v>
      </c>
    </row>
    <row r="277" customFormat="false" ht="15" hidden="false" customHeight="false" outlineLevel="0" collapsed="false">
      <c r="A277" s="43" t="n">
        <v>275</v>
      </c>
      <c r="B277" s="43" t="s">
        <v>786</v>
      </c>
      <c r="C277" s="43" t="s">
        <v>787</v>
      </c>
      <c r="D277" s="43" t="s">
        <v>791</v>
      </c>
      <c r="E277" s="43" t="s">
        <v>143</v>
      </c>
      <c r="F277" s="43" t="s">
        <v>61</v>
      </c>
      <c r="G277" s="43" t="n">
        <v>2023</v>
      </c>
      <c r="H277" s="44" t="n">
        <v>0</v>
      </c>
      <c r="I277" s="43" t="n">
        <v>2023</v>
      </c>
      <c r="J277" s="43" t="n">
        <v>5</v>
      </c>
      <c r="K277" s="44" t="n">
        <v>22837.5</v>
      </c>
      <c r="L277" s="43" t="n">
        <v>2023</v>
      </c>
      <c r="M277" s="43" t="n">
        <v>6</v>
      </c>
      <c r="N277" s="44" t="n">
        <v>22837.5</v>
      </c>
      <c r="O277" s="43" t="n">
        <v>2023</v>
      </c>
      <c r="P277" s="43" t="n">
        <v>8</v>
      </c>
      <c r="Q277" s="44" t="n">
        <v>22837.5</v>
      </c>
      <c r="R277" s="43" t="s">
        <v>651</v>
      </c>
      <c r="S277" s="43" t="s">
        <v>85</v>
      </c>
      <c r="T277" s="43" t="s">
        <v>633</v>
      </c>
      <c r="U277" s="43" t="s">
        <v>682</v>
      </c>
      <c r="V277" s="43" t="n">
        <v>36</v>
      </c>
      <c r="W277" s="43" t="n">
        <v>38</v>
      </c>
      <c r="X277" s="43" t="n">
        <v>74</v>
      </c>
      <c r="Y277" s="43" t="s">
        <v>635</v>
      </c>
      <c r="Z277" s="43" t="s">
        <v>636</v>
      </c>
    </row>
    <row r="278" customFormat="false" ht="15" hidden="false" customHeight="false" outlineLevel="0" collapsed="false">
      <c r="A278" s="43" t="n">
        <v>276</v>
      </c>
      <c r="B278" s="43" t="s">
        <v>792</v>
      </c>
      <c r="C278" s="43" t="s">
        <v>272</v>
      </c>
      <c r="D278" s="43" t="s">
        <v>272</v>
      </c>
      <c r="E278" s="43" t="s">
        <v>793</v>
      </c>
      <c r="F278" s="43" t="s">
        <v>48</v>
      </c>
      <c r="G278" s="43" t="n">
        <v>2025</v>
      </c>
      <c r="H278" s="44" t="n">
        <v>0</v>
      </c>
      <c r="I278" s="43" t="n">
        <v>2025</v>
      </c>
      <c r="J278" s="43" t="n">
        <v>12</v>
      </c>
      <c r="K278" s="44" t="n">
        <v>20125</v>
      </c>
      <c r="L278" s="43" t="n">
        <v>2025</v>
      </c>
      <c r="M278" s="43" t="n">
        <v>12</v>
      </c>
      <c r="N278" s="44" t="n">
        <v>20125</v>
      </c>
      <c r="O278" s="43" t="n">
        <v>2026</v>
      </c>
      <c r="P278" s="43" t="n">
        <v>1</v>
      </c>
      <c r="Q278" s="44" t="n">
        <v>20125</v>
      </c>
      <c r="R278" s="43" t="s">
        <v>646</v>
      </c>
      <c r="S278" s="43" t="s">
        <v>83</v>
      </c>
      <c r="T278" s="43" t="s">
        <v>641</v>
      </c>
      <c r="U278" s="43" t="s">
        <v>647</v>
      </c>
      <c r="V278" s="43" t="n">
        <v>3</v>
      </c>
      <c r="W278" s="43" t="n">
        <v>9</v>
      </c>
      <c r="X278" s="43" t="n">
        <v>12</v>
      </c>
      <c r="Y278" s="43" t="s">
        <v>635</v>
      </c>
      <c r="Z278" s="43" t="s">
        <v>636</v>
      </c>
    </row>
    <row r="279" customFormat="false" ht="15" hidden="false" customHeight="false" outlineLevel="0" collapsed="false">
      <c r="A279" s="43" t="n">
        <v>277</v>
      </c>
      <c r="B279" s="43" t="s">
        <v>792</v>
      </c>
      <c r="C279" s="43" t="s">
        <v>272</v>
      </c>
      <c r="D279" s="43" t="s">
        <v>272</v>
      </c>
      <c r="E279" s="43" t="s">
        <v>793</v>
      </c>
      <c r="F279" s="43" t="s">
        <v>48</v>
      </c>
      <c r="G279" s="43" t="n">
        <v>2025</v>
      </c>
      <c r="H279" s="44" t="n">
        <v>0</v>
      </c>
      <c r="I279" s="43" t="n">
        <v>2025</v>
      </c>
      <c r="J279" s="43" t="n">
        <v>12</v>
      </c>
      <c r="K279" s="44" t="n">
        <v>21713</v>
      </c>
      <c r="L279" s="43" t="n">
        <v>2025</v>
      </c>
      <c r="M279" s="43" t="n">
        <v>12</v>
      </c>
      <c r="N279" s="44" t="n">
        <v>21713</v>
      </c>
      <c r="O279" s="43" t="n">
        <v>2026</v>
      </c>
      <c r="P279" s="43" t="n">
        <v>1</v>
      </c>
      <c r="Q279" s="44" t="n">
        <v>21713</v>
      </c>
      <c r="R279" s="43" t="s">
        <v>646</v>
      </c>
      <c r="S279" s="43" t="s">
        <v>83</v>
      </c>
      <c r="T279" s="43" t="s">
        <v>641</v>
      </c>
      <c r="U279" s="43" t="s">
        <v>647</v>
      </c>
      <c r="V279" s="43" t="n">
        <v>0</v>
      </c>
      <c r="W279" s="43" t="n">
        <v>9</v>
      </c>
      <c r="X279" s="43" t="n">
        <v>9</v>
      </c>
      <c r="Y279" s="43" t="s">
        <v>635</v>
      </c>
      <c r="Z279" s="43" t="s">
        <v>636</v>
      </c>
    </row>
    <row r="280" customFormat="false" ht="15" hidden="false" customHeight="false" outlineLevel="0" collapsed="false">
      <c r="A280" s="43" t="n">
        <v>278</v>
      </c>
      <c r="B280" s="43" t="s">
        <v>794</v>
      </c>
      <c r="C280" s="43" t="s">
        <v>795</v>
      </c>
      <c r="D280" s="43" t="s">
        <v>795</v>
      </c>
      <c r="E280" s="43" t="s">
        <v>796</v>
      </c>
      <c r="F280" s="43" t="s">
        <v>61</v>
      </c>
      <c r="G280" s="43" t="n">
        <v>2024</v>
      </c>
      <c r="H280" s="44" t="n">
        <v>46933</v>
      </c>
      <c r="I280" s="43" t="n">
        <v>2024</v>
      </c>
      <c r="J280" s="43" t="n">
        <v>7</v>
      </c>
      <c r="K280" s="44" t="n">
        <v>105000</v>
      </c>
      <c r="L280" s="43" t="n">
        <v>2024</v>
      </c>
      <c r="M280" s="43" t="n">
        <v>8</v>
      </c>
      <c r="N280" s="44" t="n">
        <v>105000</v>
      </c>
      <c r="O280" s="43" t="n">
        <v>2024</v>
      </c>
      <c r="P280" s="43" t="n">
        <v>11</v>
      </c>
      <c r="Q280" s="44" t="n">
        <v>102860</v>
      </c>
      <c r="R280" s="43" t="s">
        <v>646</v>
      </c>
      <c r="S280" s="43" t="s">
        <v>83</v>
      </c>
      <c r="T280" s="43" t="s">
        <v>641</v>
      </c>
      <c r="U280" s="43" t="s">
        <v>669</v>
      </c>
      <c r="V280" s="43" t="n">
        <v>22</v>
      </c>
      <c r="W280" s="43" t="n">
        <v>102</v>
      </c>
      <c r="X280" s="43" t="n">
        <v>124</v>
      </c>
      <c r="Y280" s="43" t="s">
        <v>635</v>
      </c>
      <c r="Z280" s="43" t="s">
        <v>636</v>
      </c>
    </row>
    <row r="281" customFormat="false" ht="15" hidden="false" customHeight="false" outlineLevel="0" collapsed="false">
      <c r="A281" s="43" t="n">
        <v>279</v>
      </c>
      <c r="B281" s="43" t="s">
        <v>797</v>
      </c>
      <c r="C281" s="43" t="s">
        <v>798</v>
      </c>
      <c r="D281" s="43" t="s">
        <v>799</v>
      </c>
      <c r="E281" s="43" t="s">
        <v>800</v>
      </c>
      <c r="F281" s="43" t="s">
        <v>48</v>
      </c>
      <c r="G281" s="43" t="n">
        <v>2023</v>
      </c>
      <c r="H281" s="44" t="n">
        <v>19065</v>
      </c>
      <c r="I281" s="43" t="n">
        <v>2023</v>
      </c>
      <c r="J281" s="43" t="n">
        <v>12</v>
      </c>
      <c r="K281" s="44" t="n">
        <v>19065</v>
      </c>
      <c r="L281" s="43" t="n">
        <v>2024</v>
      </c>
      <c r="M281" s="43" t="n">
        <v>1</v>
      </c>
      <c r="N281" s="44" t="n">
        <v>19065</v>
      </c>
      <c r="O281" s="43" t="n">
        <v>2024</v>
      </c>
      <c r="P281" s="43" t="n">
        <v>2</v>
      </c>
      <c r="Q281" s="44" t="n">
        <v>19065</v>
      </c>
      <c r="R281" s="43" t="s">
        <v>646</v>
      </c>
      <c r="S281" s="43" t="s">
        <v>83</v>
      </c>
      <c r="T281" s="43" t="s">
        <v>641</v>
      </c>
      <c r="U281" s="43" t="s">
        <v>642</v>
      </c>
      <c r="V281" s="43" t="n">
        <v>27</v>
      </c>
      <c r="W281" s="43" t="n">
        <v>34</v>
      </c>
      <c r="X281" s="43" t="n">
        <v>61</v>
      </c>
      <c r="Y281" s="43" t="s">
        <v>635</v>
      </c>
      <c r="Z281" s="43" t="s">
        <v>636</v>
      </c>
    </row>
    <row r="282" customFormat="false" ht="15" hidden="false" customHeight="false" outlineLevel="0" collapsed="false">
      <c r="A282" s="43" t="n">
        <v>280</v>
      </c>
      <c r="B282" s="43" t="s">
        <v>797</v>
      </c>
      <c r="C282" s="43" t="s">
        <v>798</v>
      </c>
      <c r="D282" s="43" t="s">
        <v>799</v>
      </c>
      <c r="E282" s="43" t="s">
        <v>800</v>
      </c>
      <c r="F282" s="43" t="s">
        <v>48</v>
      </c>
      <c r="G282" s="43" t="n">
        <v>2024</v>
      </c>
      <c r="H282" s="44" t="n">
        <v>19064</v>
      </c>
      <c r="I282" s="43" t="n">
        <v>2024</v>
      </c>
      <c r="J282" s="43" t="n">
        <v>1</v>
      </c>
      <c r="K282" s="44" t="n">
        <v>19065</v>
      </c>
      <c r="L282" s="43" t="n">
        <v>2024</v>
      </c>
      <c r="M282" s="43" t="n">
        <v>3</v>
      </c>
      <c r="N282" s="44" t="n">
        <v>19065</v>
      </c>
      <c r="O282" s="43" t="n">
        <v>2024</v>
      </c>
      <c r="P282" s="43" t="n">
        <v>4</v>
      </c>
      <c r="Q282" s="44" t="n">
        <v>19065</v>
      </c>
      <c r="R282" s="43" t="s">
        <v>646</v>
      </c>
      <c r="S282" s="43" t="s">
        <v>83</v>
      </c>
      <c r="T282" s="43" t="s">
        <v>641</v>
      </c>
      <c r="U282" s="43" t="s">
        <v>642</v>
      </c>
      <c r="V282" s="43" t="n">
        <v>48</v>
      </c>
      <c r="W282" s="43" t="n">
        <v>31</v>
      </c>
      <c r="X282" s="43" t="n">
        <v>79</v>
      </c>
      <c r="Y282" s="43" t="s">
        <v>635</v>
      </c>
      <c r="Z282" s="43" t="s">
        <v>636</v>
      </c>
    </row>
    <row r="283" customFormat="false" ht="15" hidden="false" customHeight="false" outlineLevel="0" collapsed="false">
      <c r="A283" s="43" t="n">
        <v>281</v>
      </c>
      <c r="B283" s="43" t="s">
        <v>797</v>
      </c>
      <c r="C283" s="43" t="s">
        <v>798</v>
      </c>
      <c r="D283" s="43" t="s">
        <v>799</v>
      </c>
      <c r="E283" s="43" t="s">
        <v>800</v>
      </c>
      <c r="F283" s="43" t="s">
        <v>48</v>
      </c>
      <c r="G283" s="43" t="n">
        <v>2024</v>
      </c>
      <c r="H283" s="44" t="n">
        <v>19065</v>
      </c>
      <c r="I283" s="43" t="n">
        <v>2024</v>
      </c>
      <c r="J283" s="43" t="n">
        <v>2</v>
      </c>
      <c r="K283" s="44" t="n">
        <v>19065</v>
      </c>
      <c r="L283" s="43" t="n">
        <v>2024</v>
      </c>
      <c r="M283" s="43" t="n">
        <v>3</v>
      </c>
      <c r="N283" s="44" t="n">
        <v>19065</v>
      </c>
      <c r="O283" s="43" t="n">
        <v>2024</v>
      </c>
      <c r="P283" s="43" t="n">
        <v>4</v>
      </c>
      <c r="Q283" s="44" t="n">
        <v>19065</v>
      </c>
      <c r="R283" s="43" t="s">
        <v>646</v>
      </c>
      <c r="S283" s="43" t="s">
        <v>83</v>
      </c>
      <c r="T283" s="43" t="s">
        <v>641</v>
      </c>
      <c r="U283" s="43" t="s">
        <v>642</v>
      </c>
      <c r="V283" s="43" t="n">
        <v>18</v>
      </c>
      <c r="W283" s="43" t="n">
        <v>31</v>
      </c>
      <c r="X283" s="43" t="n">
        <v>49</v>
      </c>
      <c r="Y283" s="43" t="s">
        <v>635</v>
      </c>
      <c r="Z283" s="43" t="s">
        <v>636</v>
      </c>
    </row>
    <row r="284" customFormat="false" ht="15" hidden="false" customHeight="false" outlineLevel="0" collapsed="false">
      <c r="A284" s="43" t="n">
        <v>282</v>
      </c>
      <c r="B284" s="43" t="s">
        <v>797</v>
      </c>
      <c r="C284" s="43" t="s">
        <v>798</v>
      </c>
      <c r="D284" s="43" t="s">
        <v>799</v>
      </c>
      <c r="E284" s="43" t="s">
        <v>800</v>
      </c>
      <c r="F284" s="43" t="s">
        <v>48</v>
      </c>
      <c r="G284" s="43" t="n">
        <v>2024</v>
      </c>
      <c r="H284" s="44" t="n">
        <v>19065</v>
      </c>
      <c r="I284" s="43" t="n">
        <v>2024</v>
      </c>
      <c r="J284" s="43" t="n">
        <v>3</v>
      </c>
      <c r="K284" s="44" t="n">
        <v>19065</v>
      </c>
      <c r="L284" s="43" t="n">
        <v>2024</v>
      </c>
      <c r="M284" s="43" t="n">
        <v>4</v>
      </c>
      <c r="N284" s="44" t="n">
        <v>19065</v>
      </c>
      <c r="O284" s="43" t="n">
        <v>2024</v>
      </c>
      <c r="P284" s="43" t="n">
        <v>5</v>
      </c>
      <c r="Q284" s="44" t="n">
        <v>19065</v>
      </c>
      <c r="R284" s="43" t="s">
        <v>646</v>
      </c>
      <c r="S284" s="43" t="s">
        <v>83</v>
      </c>
      <c r="T284" s="43" t="s">
        <v>641</v>
      </c>
      <c r="U284" s="43" t="s">
        <v>642</v>
      </c>
      <c r="V284" s="43" t="n">
        <v>31</v>
      </c>
      <c r="W284" s="43" t="n">
        <v>30</v>
      </c>
      <c r="X284" s="43" t="n">
        <v>61</v>
      </c>
      <c r="Y284" s="43" t="s">
        <v>635</v>
      </c>
      <c r="Z284" s="43" t="s">
        <v>636</v>
      </c>
    </row>
    <row r="285" customFormat="false" ht="15" hidden="false" customHeight="false" outlineLevel="0" collapsed="false">
      <c r="A285" s="43" t="n">
        <v>283</v>
      </c>
      <c r="B285" s="43" t="s">
        <v>797</v>
      </c>
      <c r="C285" s="43" t="s">
        <v>798</v>
      </c>
      <c r="D285" s="43" t="s">
        <v>799</v>
      </c>
      <c r="E285" s="43" t="s">
        <v>800</v>
      </c>
      <c r="F285" s="43" t="s">
        <v>48</v>
      </c>
      <c r="G285" s="43" t="n">
        <v>2024</v>
      </c>
      <c r="H285" s="44" t="n">
        <v>19065</v>
      </c>
      <c r="I285" s="43" t="n">
        <v>2024</v>
      </c>
      <c r="J285" s="43" t="n">
        <v>4</v>
      </c>
      <c r="K285" s="44" t="n">
        <v>19065</v>
      </c>
      <c r="L285" s="43" t="n">
        <v>2024</v>
      </c>
      <c r="M285" s="43" t="n">
        <v>5</v>
      </c>
      <c r="N285" s="44" t="n">
        <v>19065</v>
      </c>
      <c r="O285" s="43" t="n">
        <v>2024</v>
      </c>
      <c r="P285" s="43" t="n">
        <v>6</v>
      </c>
      <c r="Q285" s="44" t="n">
        <v>19065</v>
      </c>
      <c r="R285" s="43" t="s">
        <v>646</v>
      </c>
      <c r="S285" s="43" t="s">
        <v>83</v>
      </c>
      <c r="T285" s="43" t="s">
        <v>641</v>
      </c>
      <c r="U285" s="43" t="s">
        <v>642</v>
      </c>
      <c r="V285" s="43" t="n">
        <v>12</v>
      </c>
      <c r="W285" s="43" t="n">
        <v>31</v>
      </c>
      <c r="X285" s="43" t="n">
        <v>43</v>
      </c>
      <c r="Y285" s="43" t="s">
        <v>635</v>
      </c>
      <c r="Z285" s="43" t="s">
        <v>636</v>
      </c>
    </row>
    <row r="286" customFormat="false" ht="15" hidden="false" customHeight="false" outlineLevel="0" collapsed="false">
      <c r="A286" s="43" t="n">
        <v>284</v>
      </c>
      <c r="B286" s="43" t="s">
        <v>797</v>
      </c>
      <c r="C286" s="43" t="s">
        <v>798</v>
      </c>
      <c r="D286" s="43" t="s">
        <v>799</v>
      </c>
      <c r="E286" s="43" t="s">
        <v>800</v>
      </c>
      <c r="F286" s="43" t="s">
        <v>48</v>
      </c>
      <c r="G286" s="43" t="n">
        <v>2024</v>
      </c>
      <c r="H286" s="44" t="n">
        <v>19065</v>
      </c>
      <c r="I286" s="43" t="n">
        <v>2024</v>
      </c>
      <c r="J286" s="43" t="n">
        <v>7</v>
      </c>
      <c r="K286" s="44" t="n">
        <v>19065</v>
      </c>
      <c r="L286" s="43" t="n">
        <v>2024</v>
      </c>
      <c r="M286" s="43" t="n">
        <v>9</v>
      </c>
      <c r="N286" s="44" t="n">
        <v>19065</v>
      </c>
      <c r="O286" s="43" t="n">
        <v>2024</v>
      </c>
      <c r="P286" s="43" t="n">
        <v>10</v>
      </c>
      <c r="Q286" s="44" t="n">
        <v>19065</v>
      </c>
      <c r="R286" s="43" t="s">
        <v>646</v>
      </c>
      <c r="S286" s="43" t="s">
        <v>83</v>
      </c>
      <c r="T286" s="43" t="s">
        <v>641</v>
      </c>
      <c r="U286" s="43" t="s">
        <v>642</v>
      </c>
      <c r="V286" s="43" t="n">
        <v>53</v>
      </c>
      <c r="W286" s="43" t="n">
        <v>30</v>
      </c>
      <c r="X286" s="43" t="n">
        <v>83</v>
      </c>
      <c r="Y286" s="43" t="s">
        <v>635</v>
      </c>
      <c r="Z286" s="43" t="s">
        <v>636</v>
      </c>
    </row>
    <row r="287" customFormat="false" ht="15" hidden="false" customHeight="false" outlineLevel="0" collapsed="false">
      <c r="A287" s="43" t="n">
        <v>285</v>
      </c>
      <c r="B287" s="43" t="s">
        <v>801</v>
      </c>
      <c r="C287" s="43" t="s">
        <v>802</v>
      </c>
      <c r="D287" s="43" t="s">
        <v>803</v>
      </c>
      <c r="E287" s="43" t="s">
        <v>133</v>
      </c>
      <c r="F287" s="43" t="s">
        <v>48</v>
      </c>
      <c r="G287" s="43" t="n">
        <v>2023</v>
      </c>
      <c r="H287" s="44" t="n">
        <v>0</v>
      </c>
      <c r="I287" s="43" t="n">
        <v>2023</v>
      </c>
      <c r="J287" s="43" t="n">
        <v>2</v>
      </c>
      <c r="K287" s="44" t="n">
        <v>50688.3225</v>
      </c>
      <c r="L287" s="43" t="n">
        <v>2023</v>
      </c>
      <c r="M287" s="43" t="n">
        <v>3</v>
      </c>
      <c r="N287" s="44" t="n">
        <v>50688.3225</v>
      </c>
      <c r="O287" s="43" t="n">
        <v>2023</v>
      </c>
      <c r="P287" s="43" t="n">
        <v>3</v>
      </c>
      <c r="Q287" s="44" t="n">
        <v>50688.3225</v>
      </c>
      <c r="R287" s="43" t="s">
        <v>651</v>
      </c>
      <c r="S287" s="43" t="s">
        <v>85</v>
      </c>
      <c r="T287" s="43" t="s">
        <v>633</v>
      </c>
      <c r="U287" s="43" t="s">
        <v>647</v>
      </c>
      <c r="V287" s="43" t="n">
        <v>13</v>
      </c>
      <c r="W287" s="43" t="n">
        <v>7</v>
      </c>
      <c r="X287" s="43" t="n">
        <v>20</v>
      </c>
      <c r="Y287" s="43" t="s">
        <v>635</v>
      </c>
      <c r="Z287" s="43" t="s">
        <v>636</v>
      </c>
    </row>
    <row r="288" customFormat="false" ht="15" hidden="false" customHeight="false" outlineLevel="0" collapsed="false">
      <c r="A288" s="43" t="n">
        <v>286</v>
      </c>
      <c r="B288" s="43" t="s">
        <v>804</v>
      </c>
      <c r="C288" s="43" t="s">
        <v>805</v>
      </c>
      <c r="D288" s="43" t="s">
        <v>805</v>
      </c>
      <c r="E288" s="43" t="s">
        <v>151</v>
      </c>
      <c r="F288" s="43" t="s">
        <v>61</v>
      </c>
      <c r="G288" s="43" t="n">
        <v>2023</v>
      </c>
      <c r="H288" s="44" t="n">
        <v>0</v>
      </c>
      <c r="I288" s="43" t="n">
        <v>2022</v>
      </c>
      <c r="J288" s="43" t="n">
        <v>11</v>
      </c>
      <c r="K288" s="44" t="n">
        <v>14112</v>
      </c>
      <c r="L288" s="43" t="n">
        <v>2023</v>
      </c>
      <c r="M288" s="43" t="n">
        <v>1</v>
      </c>
      <c r="N288" s="44" t="n">
        <v>14112</v>
      </c>
      <c r="O288" s="43" t="n">
        <v>2023</v>
      </c>
      <c r="P288" s="43" t="n">
        <v>2</v>
      </c>
      <c r="Q288" s="44" t="n">
        <v>14112</v>
      </c>
      <c r="R288" s="43" t="s">
        <v>651</v>
      </c>
      <c r="S288" s="43" t="s">
        <v>85</v>
      </c>
      <c r="T288" s="43" t="s">
        <v>633</v>
      </c>
      <c r="U288" s="43" t="s">
        <v>642</v>
      </c>
      <c r="V288" s="43" t="n">
        <v>67</v>
      </c>
      <c r="W288" s="43" t="n">
        <v>20</v>
      </c>
      <c r="X288" s="43" t="n">
        <v>87</v>
      </c>
      <c r="Y288" s="43" t="s">
        <v>635</v>
      </c>
      <c r="Z288" s="43" t="s">
        <v>636</v>
      </c>
    </row>
    <row r="289" customFormat="false" ht="15" hidden="false" customHeight="false" outlineLevel="0" collapsed="false">
      <c r="A289" s="43" t="n">
        <v>287</v>
      </c>
      <c r="B289" s="43" t="s">
        <v>806</v>
      </c>
      <c r="C289" s="43" t="s">
        <v>807</v>
      </c>
      <c r="D289" s="43" t="s">
        <v>807</v>
      </c>
      <c r="E289" s="43" t="s">
        <v>147</v>
      </c>
      <c r="F289" s="43" t="s">
        <v>61</v>
      </c>
      <c r="G289" s="43" t="n">
        <v>2023</v>
      </c>
      <c r="H289" s="44" t="n">
        <v>0</v>
      </c>
      <c r="I289" s="43" t="n">
        <v>2023</v>
      </c>
      <c r="J289" s="43" t="n">
        <v>4</v>
      </c>
      <c r="K289" s="44" t="n">
        <v>36335.7</v>
      </c>
      <c r="L289" s="43" t="n">
        <v>2023</v>
      </c>
      <c r="M289" s="43" t="n">
        <v>5</v>
      </c>
      <c r="N289" s="44" t="n">
        <v>36335.7</v>
      </c>
      <c r="O289" s="43" t="n">
        <v>2023</v>
      </c>
      <c r="P289" s="43" t="n">
        <v>6</v>
      </c>
      <c r="Q289" s="44" t="n">
        <v>36335.7</v>
      </c>
      <c r="R289" s="43" t="s">
        <v>651</v>
      </c>
      <c r="S289" s="43" t="s">
        <v>85</v>
      </c>
      <c r="T289" s="43" t="s">
        <v>633</v>
      </c>
      <c r="U289" s="43" t="s">
        <v>669</v>
      </c>
      <c r="V289" s="43" t="n">
        <v>18</v>
      </c>
      <c r="W289" s="43" t="n">
        <v>35</v>
      </c>
      <c r="X289" s="43" t="n">
        <v>53</v>
      </c>
      <c r="Y289" s="43" t="s">
        <v>635</v>
      </c>
      <c r="Z289" s="43" t="s">
        <v>636</v>
      </c>
    </row>
    <row r="290" customFormat="false" ht="15" hidden="false" customHeight="false" outlineLevel="0" collapsed="false">
      <c r="A290" s="43" t="n">
        <v>288</v>
      </c>
      <c r="B290" s="43" t="s">
        <v>806</v>
      </c>
      <c r="C290" s="43" t="s">
        <v>807</v>
      </c>
      <c r="D290" s="43" t="s">
        <v>807</v>
      </c>
      <c r="E290" s="43" t="s">
        <v>147</v>
      </c>
      <c r="F290" s="43" t="s">
        <v>61</v>
      </c>
      <c r="G290" s="43" t="n">
        <v>2023</v>
      </c>
      <c r="H290" s="44" t="n">
        <v>0</v>
      </c>
      <c r="I290" s="43" t="n">
        <v>2023</v>
      </c>
      <c r="J290" s="43" t="n">
        <v>6</v>
      </c>
      <c r="K290" s="44" t="n">
        <v>3345.3</v>
      </c>
      <c r="L290" s="43" t="n">
        <v>2023</v>
      </c>
      <c r="M290" s="43" t="n">
        <v>12</v>
      </c>
      <c r="N290" s="44" t="n">
        <v>3345.3</v>
      </c>
      <c r="O290" s="43" t="n">
        <v>2023</v>
      </c>
      <c r="P290" s="43" t="n">
        <v>12</v>
      </c>
      <c r="Q290" s="44" t="n">
        <v>3345.3</v>
      </c>
      <c r="R290" s="43" t="s">
        <v>651</v>
      </c>
      <c r="S290" s="43" t="s">
        <v>85</v>
      </c>
      <c r="T290" s="43" t="s">
        <v>633</v>
      </c>
      <c r="U290" s="43" t="s">
        <v>669</v>
      </c>
      <c r="V290" s="43" t="n">
        <v>168</v>
      </c>
      <c r="W290" s="43" t="n">
        <v>3</v>
      </c>
      <c r="X290" s="43" t="n">
        <v>171</v>
      </c>
      <c r="Y290" s="43" t="s">
        <v>635</v>
      </c>
      <c r="Z290" s="43" t="s">
        <v>636</v>
      </c>
    </row>
    <row r="291" customFormat="false" ht="15" hidden="false" customHeight="false" outlineLevel="0" collapsed="false">
      <c r="A291" s="43" t="n">
        <v>289</v>
      </c>
      <c r="B291" s="43" t="s">
        <v>808</v>
      </c>
      <c r="C291" s="43" t="s">
        <v>809</v>
      </c>
      <c r="D291" s="43" t="s">
        <v>809</v>
      </c>
      <c r="E291" s="43" t="s">
        <v>151</v>
      </c>
      <c r="F291" s="43" t="s">
        <v>61</v>
      </c>
      <c r="G291" s="43" t="n">
        <v>2023</v>
      </c>
      <c r="H291" s="44" t="n">
        <v>0</v>
      </c>
      <c r="I291" s="43" t="n">
        <v>2022</v>
      </c>
      <c r="J291" s="43" t="n">
        <v>12</v>
      </c>
      <c r="K291" s="44" t="n">
        <v>32480</v>
      </c>
      <c r="L291" s="43" t="n">
        <v>2023</v>
      </c>
      <c r="M291" s="43" t="n">
        <v>4</v>
      </c>
      <c r="N291" s="44" t="n">
        <v>32480</v>
      </c>
      <c r="O291" s="43" t="n">
        <v>2023</v>
      </c>
      <c r="P291" s="43" t="n">
        <v>4</v>
      </c>
      <c r="Q291" s="44" t="n">
        <v>32480</v>
      </c>
      <c r="R291" s="43" t="s">
        <v>651</v>
      </c>
      <c r="S291" s="43" t="s">
        <v>85</v>
      </c>
      <c r="T291" s="43" t="s">
        <v>633</v>
      </c>
      <c r="U291" s="43" t="s">
        <v>642</v>
      </c>
      <c r="V291" s="43" t="n">
        <v>110</v>
      </c>
      <c r="W291" s="43" t="n">
        <v>14</v>
      </c>
      <c r="X291" s="43" t="n">
        <v>124</v>
      </c>
      <c r="Y291" s="43" t="s">
        <v>635</v>
      </c>
      <c r="Z291" s="43" t="s">
        <v>636</v>
      </c>
    </row>
    <row r="292" customFormat="false" ht="15" hidden="false" customHeight="false" outlineLevel="0" collapsed="false">
      <c r="A292" s="43" t="n">
        <v>290</v>
      </c>
      <c r="B292" s="43" t="s">
        <v>808</v>
      </c>
      <c r="C292" s="43" t="s">
        <v>809</v>
      </c>
      <c r="D292" s="43" t="s">
        <v>809</v>
      </c>
      <c r="E292" s="43" t="s">
        <v>143</v>
      </c>
      <c r="F292" s="43" t="s">
        <v>61</v>
      </c>
      <c r="G292" s="43" t="n">
        <v>2023</v>
      </c>
      <c r="H292" s="44" t="n">
        <v>0</v>
      </c>
      <c r="I292" s="43" t="n">
        <v>2023</v>
      </c>
      <c r="J292" s="43" t="n">
        <v>2</v>
      </c>
      <c r="K292" s="44" t="n">
        <v>32320</v>
      </c>
      <c r="L292" s="43" t="n">
        <v>2023</v>
      </c>
      <c r="M292" s="43" t="n">
        <v>4</v>
      </c>
      <c r="N292" s="44" t="n">
        <v>32320</v>
      </c>
      <c r="O292" s="43" t="n">
        <v>2023</v>
      </c>
      <c r="P292" s="43" t="n">
        <v>4</v>
      </c>
      <c r="Q292" s="44" t="n">
        <v>32320</v>
      </c>
      <c r="R292" s="43" t="s">
        <v>651</v>
      </c>
      <c r="S292" s="43" t="s">
        <v>85</v>
      </c>
      <c r="T292" s="43" t="s">
        <v>633</v>
      </c>
      <c r="U292" s="43" t="s">
        <v>642</v>
      </c>
      <c r="V292" s="43" t="n">
        <v>48</v>
      </c>
      <c r="W292" s="43" t="n">
        <v>14</v>
      </c>
      <c r="X292" s="43" t="n">
        <v>62</v>
      </c>
      <c r="Y292" s="43" t="s">
        <v>635</v>
      </c>
      <c r="Z292" s="43" t="s">
        <v>636</v>
      </c>
    </row>
    <row r="293" customFormat="false" ht="15" hidden="false" customHeight="false" outlineLevel="0" collapsed="false">
      <c r="A293" s="43" t="n">
        <v>291</v>
      </c>
      <c r="B293" s="43" t="s">
        <v>810</v>
      </c>
      <c r="C293" s="43" t="s">
        <v>811</v>
      </c>
      <c r="D293" s="43" t="s">
        <v>812</v>
      </c>
      <c r="E293" s="43" t="s">
        <v>135</v>
      </c>
      <c r="F293" s="43" t="s">
        <v>48</v>
      </c>
      <c r="G293" s="43" t="n">
        <v>2023</v>
      </c>
      <c r="H293" s="44" t="n">
        <v>0</v>
      </c>
      <c r="I293" s="43" t="n">
        <v>2023</v>
      </c>
      <c r="J293" s="43" t="n">
        <v>5</v>
      </c>
      <c r="K293" s="44" t="n">
        <v>93882.67</v>
      </c>
      <c r="L293" s="43" t="n">
        <v>2023</v>
      </c>
      <c r="M293" s="43" t="n">
        <v>6</v>
      </c>
      <c r="N293" s="44" t="n">
        <v>96154</v>
      </c>
      <c r="O293" s="43" t="n">
        <v>2023</v>
      </c>
      <c r="P293" s="43" t="n">
        <v>6</v>
      </c>
      <c r="Q293" s="44" t="n">
        <v>96154</v>
      </c>
      <c r="R293" s="43" t="s">
        <v>651</v>
      </c>
      <c r="S293" s="43" t="s">
        <v>85</v>
      </c>
      <c r="T293" s="43" t="s">
        <v>633</v>
      </c>
      <c r="U293" s="43" t="s">
        <v>647</v>
      </c>
      <c r="V293" s="43" t="n">
        <v>18</v>
      </c>
      <c r="W293" s="43" t="n">
        <v>22</v>
      </c>
      <c r="X293" s="43" t="n">
        <v>40</v>
      </c>
      <c r="Y293" s="43" t="s">
        <v>635</v>
      </c>
      <c r="Z293" s="43" t="s">
        <v>636</v>
      </c>
    </row>
    <row r="294" customFormat="false" ht="15" hidden="false" customHeight="false" outlineLevel="0" collapsed="false">
      <c r="A294" s="43" t="n">
        <v>292</v>
      </c>
      <c r="B294" s="43" t="s">
        <v>810</v>
      </c>
      <c r="C294" s="43" t="s">
        <v>811</v>
      </c>
      <c r="D294" s="43" t="s">
        <v>812</v>
      </c>
      <c r="E294" s="43" t="s">
        <v>135</v>
      </c>
      <c r="F294" s="43" t="s">
        <v>48</v>
      </c>
      <c r="G294" s="43" t="n">
        <v>2023</v>
      </c>
      <c r="H294" s="44" t="n">
        <v>0</v>
      </c>
      <c r="I294" s="43" t="n">
        <v>2023</v>
      </c>
      <c r="J294" s="43" t="n">
        <v>6</v>
      </c>
      <c r="K294" s="44" t="n">
        <v>14927</v>
      </c>
      <c r="L294" s="43" t="n">
        <v>2023</v>
      </c>
      <c r="M294" s="43" t="n">
        <v>9</v>
      </c>
      <c r="N294" s="44" t="n">
        <v>14927</v>
      </c>
      <c r="O294" s="43" t="n">
        <v>2023</v>
      </c>
      <c r="P294" s="43" t="n">
        <v>10</v>
      </c>
      <c r="Q294" s="44" t="n">
        <v>14927</v>
      </c>
      <c r="R294" s="43" t="s">
        <v>651</v>
      </c>
      <c r="S294" s="43" t="s">
        <v>85</v>
      </c>
      <c r="T294" s="43" t="s">
        <v>633</v>
      </c>
      <c r="U294" s="43" t="s">
        <v>647</v>
      </c>
      <c r="V294" s="43" t="n">
        <v>85</v>
      </c>
      <c r="W294" s="43" t="n">
        <v>22</v>
      </c>
      <c r="X294" s="43" t="n">
        <v>107</v>
      </c>
      <c r="Y294" s="43" t="s">
        <v>635</v>
      </c>
      <c r="Z294" s="43" t="s">
        <v>636</v>
      </c>
    </row>
    <row r="295" customFormat="false" ht="15" hidden="false" customHeight="false" outlineLevel="0" collapsed="false">
      <c r="A295" s="43" t="n">
        <v>293</v>
      </c>
      <c r="B295" s="43" t="s">
        <v>810</v>
      </c>
      <c r="C295" s="43" t="s">
        <v>811</v>
      </c>
      <c r="D295" s="43" t="s">
        <v>812</v>
      </c>
      <c r="E295" s="43" t="s">
        <v>135</v>
      </c>
      <c r="F295" s="43" t="s">
        <v>48</v>
      </c>
      <c r="G295" s="43" t="n">
        <v>2023</v>
      </c>
      <c r="H295" s="44" t="n">
        <v>0</v>
      </c>
      <c r="I295" s="43" t="n">
        <v>2023</v>
      </c>
      <c r="J295" s="43" t="n">
        <v>7</v>
      </c>
      <c r="K295" s="44" t="n">
        <v>20074.29</v>
      </c>
      <c r="L295" s="43" t="n">
        <v>2023</v>
      </c>
      <c r="M295" s="43" t="n">
        <v>9</v>
      </c>
      <c r="N295" s="44" t="n">
        <v>20074</v>
      </c>
      <c r="O295" s="43" t="n">
        <v>2023</v>
      </c>
      <c r="P295" s="43" t="n">
        <v>10</v>
      </c>
      <c r="Q295" s="44" t="n">
        <v>20074</v>
      </c>
      <c r="R295" s="43" t="s">
        <v>651</v>
      </c>
      <c r="S295" s="43" t="s">
        <v>85</v>
      </c>
      <c r="T295" s="43" t="s">
        <v>633</v>
      </c>
      <c r="U295" s="43" t="s">
        <v>647</v>
      </c>
      <c r="V295" s="43" t="n">
        <v>49</v>
      </c>
      <c r="W295" s="43" t="n">
        <v>22</v>
      </c>
      <c r="X295" s="43" t="n">
        <v>71</v>
      </c>
      <c r="Y295" s="43" t="s">
        <v>635</v>
      </c>
      <c r="Z295" s="43" t="s">
        <v>636</v>
      </c>
    </row>
    <row r="296" customFormat="false" ht="15" hidden="false" customHeight="false" outlineLevel="0" collapsed="false">
      <c r="A296" s="43" t="n">
        <v>294</v>
      </c>
      <c r="B296" s="43" t="s">
        <v>810</v>
      </c>
      <c r="C296" s="43" t="s">
        <v>811</v>
      </c>
      <c r="D296" s="43" t="s">
        <v>812</v>
      </c>
      <c r="E296" s="43" t="s">
        <v>135</v>
      </c>
      <c r="F296" s="43" t="s">
        <v>48</v>
      </c>
      <c r="G296" s="43" t="n">
        <v>2023</v>
      </c>
      <c r="H296" s="44" t="n">
        <v>0</v>
      </c>
      <c r="I296" s="43" t="n">
        <v>2023</v>
      </c>
      <c r="J296" s="43" t="n">
        <v>8</v>
      </c>
      <c r="K296" s="44" t="n">
        <v>20556</v>
      </c>
      <c r="L296" s="43" t="n">
        <v>2023</v>
      </c>
      <c r="M296" s="43" t="n">
        <v>10</v>
      </c>
      <c r="N296" s="44" t="n">
        <v>20556</v>
      </c>
      <c r="O296" s="43" t="n">
        <v>2023</v>
      </c>
      <c r="P296" s="43" t="n">
        <v>10</v>
      </c>
      <c r="Q296" s="44" t="n">
        <v>20556</v>
      </c>
      <c r="R296" s="43" t="s">
        <v>651</v>
      </c>
      <c r="S296" s="43" t="s">
        <v>85</v>
      </c>
      <c r="T296" s="43" t="s">
        <v>633</v>
      </c>
      <c r="U296" s="43" t="s">
        <v>647</v>
      </c>
      <c r="V296" s="43" t="n">
        <v>39</v>
      </c>
      <c r="W296" s="43" t="n">
        <v>23</v>
      </c>
      <c r="X296" s="43" t="n">
        <v>62</v>
      </c>
      <c r="Y296" s="43" t="s">
        <v>635</v>
      </c>
      <c r="Z296" s="43" t="s">
        <v>636</v>
      </c>
    </row>
    <row r="297" customFormat="false" ht="15" hidden="false" customHeight="false" outlineLevel="0" collapsed="false">
      <c r="A297" s="43" t="n">
        <v>295</v>
      </c>
      <c r="B297" s="43" t="s">
        <v>810</v>
      </c>
      <c r="C297" s="43" t="s">
        <v>811</v>
      </c>
      <c r="D297" s="43" t="s">
        <v>812</v>
      </c>
      <c r="E297" s="43" t="s">
        <v>135</v>
      </c>
      <c r="F297" s="43" t="s">
        <v>48</v>
      </c>
      <c r="G297" s="43" t="n">
        <v>2023</v>
      </c>
      <c r="H297" s="44" t="n">
        <v>21776</v>
      </c>
      <c r="I297" s="43" t="n">
        <v>2023</v>
      </c>
      <c r="J297" s="43" t="n">
        <v>9</v>
      </c>
      <c r="K297" s="44" t="n">
        <v>29101</v>
      </c>
      <c r="L297" s="43" t="n">
        <v>2023</v>
      </c>
      <c r="M297" s="43" t="n">
        <v>10</v>
      </c>
      <c r="N297" s="44" t="n">
        <v>29101</v>
      </c>
      <c r="O297" s="43" t="n">
        <v>2023</v>
      </c>
      <c r="P297" s="43" t="n">
        <v>10</v>
      </c>
      <c r="Q297" s="44" t="n">
        <v>29101</v>
      </c>
      <c r="R297" s="43" t="s">
        <v>651</v>
      </c>
      <c r="S297" s="43" t="s">
        <v>85</v>
      </c>
      <c r="T297" s="43" t="s">
        <v>633</v>
      </c>
      <c r="U297" s="43" t="s">
        <v>647</v>
      </c>
      <c r="V297" s="43" t="n">
        <v>8</v>
      </c>
      <c r="W297" s="43" t="n">
        <v>23</v>
      </c>
      <c r="X297" s="43" t="n">
        <v>31</v>
      </c>
      <c r="Y297" s="43" t="s">
        <v>635</v>
      </c>
      <c r="Z297" s="43" t="s">
        <v>636</v>
      </c>
    </row>
    <row r="298" customFormat="false" ht="15" hidden="false" customHeight="false" outlineLevel="0" collapsed="false">
      <c r="A298" s="43" t="n">
        <v>296</v>
      </c>
      <c r="B298" s="43" t="s">
        <v>813</v>
      </c>
      <c r="C298" s="43" t="s">
        <v>814</v>
      </c>
      <c r="D298" s="43" t="s">
        <v>814</v>
      </c>
      <c r="E298" s="43" t="s">
        <v>815</v>
      </c>
      <c r="F298" s="43" t="s">
        <v>61</v>
      </c>
      <c r="G298" s="43" t="n">
        <v>2026</v>
      </c>
      <c r="H298" s="44" t="n">
        <v>0</v>
      </c>
      <c r="I298" s="43" t="n">
        <v>2026</v>
      </c>
      <c r="J298" s="43" t="n">
        <v>1</v>
      </c>
      <c r="K298" s="44" t="n">
        <v>9596</v>
      </c>
      <c r="L298" s="43" t="n">
        <v>2026</v>
      </c>
      <c r="M298" s="43" t="n">
        <v>2</v>
      </c>
      <c r="N298" s="44" t="n">
        <v>9596</v>
      </c>
      <c r="O298" s="43" t="n">
        <v>2026</v>
      </c>
      <c r="P298" s="43" t="n">
        <v>3</v>
      </c>
      <c r="Q298" s="44" t="n">
        <v>9596</v>
      </c>
      <c r="R298" s="43" t="s">
        <v>646</v>
      </c>
      <c r="S298" s="43" t="s">
        <v>83</v>
      </c>
      <c r="T298" s="43" t="s">
        <v>641</v>
      </c>
      <c r="U298" s="43" t="s">
        <v>660</v>
      </c>
      <c r="V298" s="43" t="n">
        <v>14</v>
      </c>
      <c r="W298" s="43" t="n">
        <v>46</v>
      </c>
      <c r="X298" s="43" t="n">
        <v>60</v>
      </c>
      <c r="Y298" s="43" t="s">
        <v>635</v>
      </c>
      <c r="Z298" s="43" t="s">
        <v>636</v>
      </c>
    </row>
    <row r="299" customFormat="false" ht="15" hidden="false" customHeight="false" outlineLevel="0" collapsed="false">
      <c r="A299" s="43" t="n">
        <v>297</v>
      </c>
      <c r="B299" s="43" t="s">
        <v>813</v>
      </c>
      <c r="C299" s="43" t="s">
        <v>814</v>
      </c>
      <c r="D299" s="43" t="s">
        <v>814</v>
      </c>
      <c r="E299" s="43" t="s">
        <v>815</v>
      </c>
      <c r="F299" s="43" t="s">
        <v>61</v>
      </c>
      <c r="G299" s="43" t="n">
        <v>2026</v>
      </c>
      <c r="H299" s="44" t="n">
        <v>54480</v>
      </c>
      <c r="I299" s="43" t="n">
        <v>2026</v>
      </c>
      <c r="J299" s="43" t="n">
        <v>2</v>
      </c>
      <c r="K299" s="44" t="n">
        <v>26815</v>
      </c>
      <c r="L299" s="43" t="n">
        <v>2026</v>
      </c>
      <c r="M299" s="43" t="n">
        <v>3</v>
      </c>
      <c r="N299" s="44" t="n">
        <v>26815</v>
      </c>
      <c r="O299" s="43" t="n">
        <v>2026</v>
      </c>
      <c r="P299" s="43" t="n">
        <v>3</v>
      </c>
      <c r="Q299" s="44" t="n">
        <v>26814</v>
      </c>
      <c r="R299" s="43" t="s">
        <v>646</v>
      </c>
      <c r="S299" s="43" t="s">
        <v>83</v>
      </c>
      <c r="T299" s="43" t="s">
        <v>641</v>
      </c>
      <c r="U299" s="43" t="s">
        <v>660</v>
      </c>
      <c r="V299" s="43" t="n">
        <v>20</v>
      </c>
      <c r="W299" s="43" t="n">
        <v>5</v>
      </c>
      <c r="X299" s="43" t="n">
        <v>25</v>
      </c>
      <c r="Y299" s="43" t="s">
        <v>635</v>
      </c>
      <c r="Z299" s="43" t="s">
        <v>636</v>
      </c>
    </row>
    <row r="300" customFormat="false" ht="15" hidden="false" customHeight="false" outlineLevel="0" collapsed="false">
      <c r="A300" s="43" t="n">
        <v>298</v>
      </c>
      <c r="B300" s="43" t="s">
        <v>813</v>
      </c>
      <c r="C300" s="43" t="s">
        <v>814</v>
      </c>
      <c r="D300" s="43" t="s">
        <v>814</v>
      </c>
      <c r="E300" s="43" t="s">
        <v>815</v>
      </c>
      <c r="F300" s="43" t="s">
        <v>61</v>
      </c>
      <c r="G300" s="43" t="n">
        <v>2026</v>
      </c>
      <c r="H300" s="44" t="n">
        <v>35000</v>
      </c>
      <c r="I300" s="43" t="n">
        <v>2026</v>
      </c>
      <c r="J300" s="43" t="n">
        <v>3</v>
      </c>
      <c r="K300" s="44" t="n">
        <v>35429</v>
      </c>
      <c r="L300" s="43" t="n">
        <v>2026</v>
      </c>
      <c r="M300" s="43" t="n">
        <v>4</v>
      </c>
      <c r="N300" s="44" t="n">
        <v>35429</v>
      </c>
      <c r="O300" s="43" t="n">
        <v>2026</v>
      </c>
      <c r="P300" s="43" t="n">
        <v>4</v>
      </c>
      <c r="Q300" s="44" t="n">
        <v>35429</v>
      </c>
      <c r="R300" s="43" t="s">
        <v>646</v>
      </c>
      <c r="S300" s="43" t="s">
        <v>83</v>
      </c>
      <c r="T300" s="43" t="s">
        <v>641</v>
      </c>
      <c r="U300" s="43" t="s">
        <v>660</v>
      </c>
      <c r="V300" s="43" t="n">
        <v>7</v>
      </c>
      <c r="W300" s="43" t="n">
        <v>18</v>
      </c>
      <c r="X300" s="43" t="n">
        <v>25</v>
      </c>
      <c r="Y300" s="43" t="s">
        <v>635</v>
      </c>
      <c r="Z300" s="43" t="s">
        <v>636</v>
      </c>
    </row>
    <row r="301" customFormat="false" ht="15" hidden="false" customHeight="false" outlineLevel="0" collapsed="false">
      <c r="A301" s="43" t="n">
        <v>299</v>
      </c>
      <c r="B301" s="43" t="s">
        <v>813</v>
      </c>
      <c r="C301" s="43" t="s">
        <v>814</v>
      </c>
      <c r="D301" s="43" t="s">
        <v>814</v>
      </c>
      <c r="E301" s="43" t="s">
        <v>816</v>
      </c>
      <c r="F301" s="43" t="s">
        <v>61</v>
      </c>
      <c r="G301" s="43" t="n">
        <v>2026</v>
      </c>
      <c r="H301" s="44" t="n">
        <v>0</v>
      </c>
      <c r="I301" s="43" t="n">
        <v>2026</v>
      </c>
      <c r="J301" s="43" t="n">
        <v>4</v>
      </c>
      <c r="K301" s="44" t="n">
        <v>41725</v>
      </c>
      <c r="L301" s="43" t="n">
        <v>2026</v>
      </c>
      <c r="M301" s="43" t="n">
        <v>5</v>
      </c>
      <c r="N301" s="44" t="n">
        <v>41725</v>
      </c>
      <c r="O301" s="43" t="n">
        <v>2026</v>
      </c>
      <c r="P301" s="43" t="n">
        <v>6</v>
      </c>
      <c r="Q301" s="44" t="n">
        <v>0</v>
      </c>
      <c r="R301" s="43" t="s">
        <v>646</v>
      </c>
      <c r="S301" s="43" t="s">
        <v>83</v>
      </c>
      <c r="T301" s="43" t="s">
        <v>641</v>
      </c>
      <c r="U301" s="43" t="s">
        <v>660</v>
      </c>
      <c r="V301" s="43" t="n">
        <v>6</v>
      </c>
      <c r="W301" s="43" t="n">
        <v>31</v>
      </c>
      <c r="X301" s="43" t="n">
        <v>37</v>
      </c>
      <c r="Y301" s="43" t="s">
        <v>635</v>
      </c>
      <c r="Z301" s="43" t="s">
        <v>636</v>
      </c>
    </row>
    <row r="302" customFormat="false" ht="15" hidden="false" customHeight="false" outlineLevel="0" collapsed="false">
      <c r="A302" s="43" t="n">
        <v>300</v>
      </c>
      <c r="B302" s="43" t="s">
        <v>813</v>
      </c>
      <c r="C302" s="43" t="s">
        <v>814</v>
      </c>
      <c r="D302" s="43" t="s">
        <v>814</v>
      </c>
      <c r="E302" s="43" t="s">
        <v>816</v>
      </c>
      <c r="F302" s="43" t="s">
        <v>61</v>
      </c>
      <c r="G302" s="43" t="n">
        <v>2026</v>
      </c>
      <c r="H302" s="44" t="n">
        <v>0</v>
      </c>
      <c r="I302" s="43" t="n">
        <v>2026</v>
      </c>
      <c r="J302" s="43" t="n">
        <v>5</v>
      </c>
      <c r="K302" s="44" t="n">
        <v>28838</v>
      </c>
      <c r="L302" s="43"/>
      <c r="M302" s="43"/>
      <c r="N302" s="44" t="n">
        <v>0</v>
      </c>
      <c r="O302" s="43"/>
      <c r="P302" s="43"/>
      <c r="Q302" s="44" t="n">
        <v>0</v>
      </c>
      <c r="R302" s="43" t="s">
        <v>646</v>
      </c>
      <c r="S302" s="43" t="s">
        <v>83</v>
      </c>
      <c r="T302" s="43" t="s">
        <v>641</v>
      </c>
      <c r="U302" s="43" t="s">
        <v>660</v>
      </c>
      <c r="V302" s="43"/>
      <c r="W302" s="43"/>
      <c r="X302" s="43"/>
      <c r="Y302" s="43" t="s">
        <v>635</v>
      </c>
      <c r="Z302" s="43" t="s">
        <v>636</v>
      </c>
    </row>
    <row r="303" customFormat="false" ht="15" hidden="false" customHeight="false" outlineLevel="0" collapsed="false">
      <c r="A303" s="43" t="n">
        <v>301</v>
      </c>
      <c r="B303" s="43" t="s">
        <v>817</v>
      </c>
      <c r="C303" s="43" t="s">
        <v>818</v>
      </c>
      <c r="D303" s="43" t="s">
        <v>818</v>
      </c>
      <c r="E303" s="43" t="s">
        <v>150</v>
      </c>
      <c r="F303" s="43" t="s">
        <v>61</v>
      </c>
      <c r="G303" s="43" t="n">
        <v>2026</v>
      </c>
      <c r="H303" s="44" t="n">
        <v>45170</v>
      </c>
      <c r="I303" s="43" t="n">
        <v>2026</v>
      </c>
      <c r="J303" s="43" t="n">
        <v>2</v>
      </c>
      <c r="K303" s="44" t="n">
        <v>66050</v>
      </c>
      <c r="L303" s="43" t="n">
        <v>2026</v>
      </c>
      <c r="M303" s="43" t="n">
        <v>3</v>
      </c>
      <c r="N303" s="44" t="n">
        <v>66044</v>
      </c>
      <c r="O303" s="43" t="n">
        <v>2026</v>
      </c>
      <c r="P303" s="43" t="n">
        <v>4</v>
      </c>
      <c r="Q303" s="44" t="n">
        <v>58242.5</v>
      </c>
      <c r="R303" s="43" t="s">
        <v>646</v>
      </c>
      <c r="S303" s="43" t="s">
        <v>83</v>
      </c>
      <c r="T303" s="43" t="s">
        <v>641</v>
      </c>
      <c r="U303" s="43" t="s">
        <v>669</v>
      </c>
      <c r="V303" s="43" t="n">
        <v>12</v>
      </c>
      <c r="W303" s="43" t="n">
        <v>37</v>
      </c>
      <c r="X303" s="43" t="n">
        <v>49</v>
      </c>
      <c r="Y303" s="43" t="s">
        <v>635</v>
      </c>
      <c r="Z303" s="43" t="s">
        <v>636</v>
      </c>
    </row>
    <row r="304" customFormat="false" ht="15" hidden="false" customHeight="false" outlineLevel="0" collapsed="false">
      <c r="A304" s="43" t="n">
        <v>302</v>
      </c>
      <c r="B304" s="43" t="s">
        <v>817</v>
      </c>
      <c r="C304" s="43" t="s">
        <v>818</v>
      </c>
      <c r="D304" s="43" t="s">
        <v>818</v>
      </c>
      <c r="E304" s="43" t="s">
        <v>150</v>
      </c>
      <c r="F304" s="43" t="s">
        <v>61</v>
      </c>
      <c r="G304" s="43" t="n">
        <v>2026</v>
      </c>
      <c r="H304" s="44" t="n">
        <v>62000</v>
      </c>
      <c r="I304" s="43" t="n">
        <v>2026</v>
      </c>
      <c r="J304" s="43" t="n">
        <v>3</v>
      </c>
      <c r="K304" s="44" t="n">
        <v>60047</v>
      </c>
      <c r="L304" s="43" t="n">
        <v>2026</v>
      </c>
      <c r="M304" s="43" t="n">
        <v>4</v>
      </c>
      <c r="N304" s="44" t="n">
        <v>60047</v>
      </c>
      <c r="O304" s="43" t="n">
        <v>2026</v>
      </c>
      <c r="P304" s="43" t="n">
        <v>6</v>
      </c>
      <c r="Q304" s="44" t="n">
        <v>0</v>
      </c>
      <c r="R304" s="43" t="s">
        <v>646</v>
      </c>
      <c r="S304" s="43" t="s">
        <v>83</v>
      </c>
      <c r="T304" s="43" t="s">
        <v>641</v>
      </c>
      <c r="U304" s="43" t="s">
        <v>669</v>
      </c>
      <c r="V304" s="43" t="n">
        <v>2</v>
      </c>
      <c r="W304" s="43" t="n">
        <v>61</v>
      </c>
      <c r="X304" s="43" t="n">
        <v>63</v>
      </c>
      <c r="Y304" s="43" t="s">
        <v>635</v>
      </c>
      <c r="Z304" s="43" t="s">
        <v>636</v>
      </c>
    </row>
    <row r="305" customFormat="false" ht="15" hidden="false" customHeight="false" outlineLevel="0" collapsed="false">
      <c r="A305" s="43" t="n">
        <v>303</v>
      </c>
      <c r="B305" s="43" t="s">
        <v>817</v>
      </c>
      <c r="C305" s="43" t="s">
        <v>818</v>
      </c>
      <c r="D305" s="43" t="s">
        <v>818</v>
      </c>
      <c r="E305" s="43" t="s">
        <v>150</v>
      </c>
      <c r="F305" s="43" t="s">
        <v>61</v>
      </c>
      <c r="G305" s="43" t="n">
        <v>2026</v>
      </c>
      <c r="H305" s="44" t="n">
        <v>0</v>
      </c>
      <c r="I305" s="43" t="n">
        <v>2026</v>
      </c>
      <c r="J305" s="43" t="n">
        <v>4</v>
      </c>
      <c r="K305" s="44" t="n">
        <v>57399</v>
      </c>
      <c r="L305" s="43" t="n">
        <v>2026</v>
      </c>
      <c r="M305" s="43" t="n">
        <v>5</v>
      </c>
      <c r="N305" s="44" t="n">
        <v>57399</v>
      </c>
      <c r="O305" s="43" t="n">
        <v>2026</v>
      </c>
      <c r="P305" s="43" t="n">
        <v>6</v>
      </c>
      <c r="Q305" s="44" t="n">
        <v>0</v>
      </c>
      <c r="R305" s="43" t="s">
        <v>646</v>
      </c>
      <c r="S305" s="43" t="s">
        <v>83</v>
      </c>
      <c r="T305" s="43" t="s">
        <v>641</v>
      </c>
      <c r="U305" s="43" t="s">
        <v>669</v>
      </c>
      <c r="V305" s="43" t="n">
        <v>5</v>
      </c>
      <c r="W305" s="43" t="n">
        <v>31</v>
      </c>
      <c r="X305" s="43" t="n">
        <v>36</v>
      </c>
      <c r="Y305" s="43" t="s">
        <v>635</v>
      </c>
      <c r="Z305" s="43" t="s">
        <v>636</v>
      </c>
    </row>
    <row r="306" customFormat="false" ht="15" hidden="false" customHeight="false" outlineLevel="0" collapsed="false">
      <c r="A306" s="43" t="n">
        <v>304</v>
      </c>
      <c r="B306" s="43" t="s">
        <v>819</v>
      </c>
      <c r="C306" s="43" t="s">
        <v>820</v>
      </c>
      <c r="D306" s="43" t="s">
        <v>820</v>
      </c>
      <c r="E306" s="43" t="s">
        <v>170</v>
      </c>
      <c r="F306" s="43" t="s">
        <v>63</v>
      </c>
      <c r="G306" s="43" t="n">
        <v>2024</v>
      </c>
      <c r="H306" s="44" t="n">
        <v>0</v>
      </c>
      <c r="I306" s="43" t="n">
        <v>2024</v>
      </c>
      <c r="J306" s="43" t="n">
        <v>7</v>
      </c>
      <c r="K306" s="44" t="n">
        <v>26649</v>
      </c>
      <c r="L306" s="43" t="n">
        <v>2024</v>
      </c>
      <c r="M306" s="43" t="n">
        <v>7</v>
      </c>
      <c r="N306" s="44" t="n">
        <v>26649</v>
      </c>
      <c r="O306" s="43" t="n">
        <v>2024</v>
      </c>
      <c r="P306" s="43" t="n">
        <v>7</v>
      </c>
      <c r="Q306" s="44" t="n">
        <v>26649</v>
      </c>
      <c r="R306" s="43" t="s">
        <v>651</v>
      </c>
      <c r="S306" s="43" t="s">
        <v>85</v>
      </c>
      <c r="T306" s="43" t="s">
        <v>633</v>
      </c>
      <c r="U306" s="43" t="s">
        <v>682</v>
      </c>
      <c r="V306" s="43" t="n">
        <v>0</v>
      </c>
      <c r="W306" s="43" t="n">
        <v>7</v>
      </c>
      <c r="X306" s="43" t="n">
        <v>7</v>
      </c>
      <c r="Y306" s="43" t="s">
        <v>635</v>
      </c>
      <c r="Z306" s="43" t="s">
        <v>636</v>
      </c>
    </row>
    <row r="307" customFormat="false" ht="15" hidden="false" customHeight="false" outlineLevel="0" collapsed="false">
      <c r="A307" s="43" t="n">
        <v>305</v>
      </c>
      <c r="B307" s="43" t="s">
        <v>819</v>
      </c>
      <c r="C307" s="43" t="s">
        <v>820</v>
      </c>
      <c r="D307" s="43" t="s">
        <v>820</v>
      </c>
      <c r="E307" s="43" t="s">
        <v>170</v>
      </c>
      <c r="F307" s="43" t="s">
        <v>63</v>
      </c>
      <c r="G307" s="43" t="n">
        <v>2024</v>
      </c>
      <c r="H307" s="44" t="n">
        <v>0</v>
      </c>
      <c r="I307" s="43" t="n">
        <v>2024</v>
      </c>
      <c r="J307" s="43" t="n">
        <v>8</v>
      </c>
      <c r="K307" s="44" t="n">
        <v>133045</v>
      </c>
      <c r="L307" s="43" t="n">
        <v>2024</v>
      </c>
      <c r="M307" s="43" t="n">
        <v>8</v>
      </c>
      <c r="N307" s="44" t="n">
        <v>133045</v>
      </c>
      <c r="O307" s="43" t="n">
        <v>2024</v>
      </c>
      <c r="P307" s="43" t="n">
        <v>8</v>
      </c>
      <c r="Q307" s="44" t="n">
        <v>133045</v>
      </c>
      <c r="R307" s="43" t="s">
        <v>651</v>
      </c>
      <c r="S307" s="43" t="s">
        <v>85</v>
      </c>
      <c r="T307" s="43" t="s">
        <v>633</v>
      </c>
      <c r="U307" s="43" t="s">
        <v>682</v>
      </c>
      <c r="V307" s="43" t="n">
        <v>0</v>
      </c>
      <c r="W307" s="43" t="n">
        <v>10</v>
      </c>
      <c r="X307" s="43" t="n">
        <v>10</v>
      </c>
      <c r="Y307" s="43" t="s">
        <v>635</v>
      </c>
      <c r="Z307" s="43" t="s">
        <v>636</v>
      </c>
    </row>
    <row r="308" customFormat="false" ht="15" hidden="false" customHeight="false" outlineLevel="0" collapsed="false">
      <c r="A308" s="43" t="n">
        <v>306</v>
      </c>
      <c r="B308" s="43" t="s">
        <v>821</v>
      </c>
      <c r="C308" s="43" t="s">
        <v>822</v>
      </c>
      <c r="D308" s="43" t="s">
        <v>822</v>
      </c>
      <c r="E308" s="43" t="s">
        <v>170</v>
      </c>
      <c r="F308" s="43" t="s">
        <v>63</v>
      </c>
      <c r="G308" s="43" t="n">
        <v>2024</v>
      </c>
      <c r="H308" s="44" t="n">
        <v>0</v>
      </c>
      <c r="I308" s="43" t="n">
        <v>2024</v>
      </c>
      <c r="J308" s="43" t="n">
        <v>6</v>
      </c>
      <c r="K308" s="44" t="n">
        <v>15000</v>
      </c>
      <c r="L308" s="43" t="n">
        <v>2024</v>
      </c>
      <c r="M308" s="43" t="n">
        <v>6</v>
      </c>
      <c r="N308" s="44" t="n">
        <v>14850</v>
      </c>
      <c r="O308" s="43" t="n">
        <v>2024</v>
      </c>
      <c r="P308" s="43" t="n">
        <v>7</v>
      </c>
      <c r="Q308" s="44" t="n">
        <v>14850</v>
      </c>
      <c r="R308" s="43" t="s">
        <v>651</v>
      </c>
      <c r="S308" s="43" t="s">
        <v>85</v>
      </c>
      <c r="T308" s="43" t="s">
        <v>633</v>
      </c>
      <c r="U308" s="43" t="s">
        <v>682</v>
      </c>
      <c r="V308" s="43" t="n">
        <v>20</v>
      </c>
      <c r="W308" s="43" t="n">
        <v>31</v>
      </c>
      <c r="X308" s="43" t="n">
        <v>51</v>
      </c>
      <c r="Y308" s="43" t="s">
        <v>635</v>
      </c>
      <c r="Z308" s="43" t="s">
        <v>636</v>
      </c>
    </row>
    <row r="309" customFormat="false" ht="15" hidden="false" customHeight="false" outlineLevel="0" collapsed="false">
      <c r="A309" s="43" t="n">
        <v>307</v>
      </c>
      <c r="B309" s="43" t="s">
        <v>823</v>
      </c>
      <c r="C309" s="43" t="s">
        <v>248</v>
      </c>
      <c r="D309" s="43" t="s">
        <v>248</v>
      </c>
      <c r="E309" s="43" t="s">
        <v>156</v>
      </c>
      <c r="F309" s="43" t="s">
        <v>62</v>
      </c>
      <c r="G309" s="43" t="n">
        <v>2025</v>
      </c>
      <c r="H309" s="44" t="n">
        <v>0</v>
      </c>
      <c r="I309" s="43" t="n">
        <v>2025</v>
      </c>
      <c r="J309" s="43" t="n">
        <v>9</v>
      </c>
      <c r="K309" s="44" t="n">
        <v>12415</v>
      </c>
      <c r="L309" s="43" t="n">
        <v>2025</v>
      </c>
      <c r="M309" s="43" t="n">
        <v>9</v>
      </c>
      <c r="N309" s="44" t="n">
        <v>12155.2293577982</v>
      </c>
      <c r="O309" s="43" t="n">
        <v>2025</v>
      </c>
      <c r="P309" s="43" t="n">
        <v>11</v>
      </c>
      <c r="Q309" s="44" t="n">
        <v>11652.0028623853</v>
      </c>
      <c r="R309" s="43" t="s">
        <v>640</v>
      </c>
      <c r="S309" s="43" t="s">
        <v>84</v>
      </c>
      <c r="T309" s="43" t="s">
        <v>641</v>
      </c>
      <c r="U309" s="43" t="s">
        <v>669</v>
      </c>
      <c r="V309" s="43" t="n">
        <v>9</v>
      </c>
      <c r="W309" s="43" t="n">
        <v>56</v>
      </c>
      <c r="X309" s="43" t="n">
        <v>65</v>
      </c>
      <c r="Y309" s="43" t="s">
        <v>635</v>
      </c>
      <c r="Z309" s="43" t="s">
        <v>636</v>
      </c>
    </row>
    <row r="310" customFormat="false" ht="15" hidden="false" customHeight="false" outlineLevel="0" collapsed="false">
      <c r="A310" s="43" t="n">
        <v>308</v>
      </c>
      <c r="B310" s="43" t="s">
        <v>823</v>
      </c>
      <c r="C310" s="43" t="s">
        <v>248</v>
      </c>
      <c r="D310" s="43" t="s">
        <v>248</v>
      </c>
      <c r="E310" s="43" t="s">
        <v>156</v>
      </c>
      <c r="F310" s="43" t="s">
        <v>62</v>
      </c>
      <c r="G310" s="43" t="n">
        <v>2025</v>
      </c>
      <c r="H310" s="44" t="n">
        <v>0</v>
      </c>
      <c r="I310" s="43" t="n">
        <v>2025</v>
      </c>
      <c r="J310" s="43" t="n">
        <v>10</v>
      </c>
      <c r="K310" s="44" t="n">
        <v>50598</v>
      </c>
      <c r="L310" s="43" t="n">
        <v>2025</v>
      </c>
      <c r="M310" s="43" t="n">
        <v>10</v>
      </c>
      <c r="N310" s="44" t="n">
        <v>50598</v>
      </c>
      <c r="O310" s="43" t="n">
        <v>2025</v>
      </c>
      <c r="P310" s="43" t="n">
        <v>11</v>
      </c>
      <c r="Q310" s="44" t="n">
        <v>48503.2428</v>
      </c>
      <c r="R310" s="43" t="s">
        <v>640</v>
      </c>
      <c r="S310" s="43" t="s">
        <v>84</v>
      </c>
      <c r="T310" s="43" t="s">
        <v>641</v>
      </c>
      <c r="U310" s="43" t="s">
        <v>669</v>
      </c>
      <c r="V310" s="43" t="n">
        <v>9</v>
      </c>
      <c r="W310" s="43" t="n">
        <v>26</v>
      </c>
      <c r="X310" s="43" t="n">
        <v>35</v>
      </c>
      <c r="Y310" s="43" t="s">
        <v>635</v>
      </c>
      <c r="Z310" s="43" t="s">
        <v>636</v>
      </c>
    </row>
    <row r="311" customFormat="false" ht="15" hidden="false" customHeight="false" outlineLevel="0" collapsed="false">
      <c r="A311" s="43" t="n">
        <v>309</v>
      </c>
      <c r="B311" s="43" t="s">
        <v>823</v>
      </c>
      <c r="C311" s="43" t="s">
        <v>248</v>
      </c>
      <c r="D311" s="43" t="s">
        <v>248</v>
      </c>
      <c r="E311" s="43" t="s">
        <v>156</v>
      </c>
      <c r="F311" s="43" t="s">
        <v>62</v>
      </c>
      <c r="G311" s="43" t="n">
        <v>2025</v>
      </c>
      <c r="H311" s="44" t="n">
        <v>0</v>
      </c>
      <c r="I311" s="43" t="n">
        <v>2025</v>
      </c>
      <c r="J311" s="43" t="n">
        <v>11</v>
      </c>
      <c r="K311" s="44" t="n">
        <v>146624</v>
      </c>
      <c r="L311" s="43" t="n">
        <v>2025</v>
      </c>
      <c r="M311" s="43" t="n">
        <v>11</v>
      </c>
      <c r="N311" s="44" t="n">
        <v>145467</v>
      </c>
      <c r="O311" s="43" t="n">
        <v>2025</v>
      </c>
      <c r="P311" s="43" t="n">
        <v>12</v>
      </c>
      <c r="Q311" s="44" t="n">
        <v>130948</v>
      </c>
      <c r="R311" s="43" t="s">
        <v>640</v>
      </c>
      <c r="S311" s="43" t="s">
        <v>84</v>
      </c>
      <c r="T311" s="43" t="s">
        <v>641</v>
      </c>
      <c r="U311" s="43" t="s">
        <v>669</v>
      </c>
      <c r="V311" s="43" t="n">
        <v>10</v>
      </c>
      <c r="W311" s="43" t="n">
        <v>28</v>
      </c>
      <c r="X311" s="43" t="n">
        <v>38</v>
      </c>
      <c r="Y311" s="43" t="s">
        <v>635</v>
      </c>
      <c r="Z311" s="43" t="s">
        <v>636</v>
      </c>
    </row>
    <row r="312" customFormat="false" ht="15" hidden="false" customHeight="false" outlineLevel="0" collapsed="false">
      <c r="A312" s="43" t="n">
        <v>310</v>
      </c>
      <c r="B312" s="43" t="s">
        <v>823</v>
      </c>
      <c r="C312" s="43" t="s">
        <v>248</v>
      </c>
      <c r="D312" s="43" t="s">
        <v>248</v>
      </c>
      <c r="E312" s="43" t="s">
        <v>156</v>
      </c>
      <c r="F312" s="43" t="s">
        <v>62</v>
      </c>
      <c r="G312" s="43" t="n">
        <v>2025</v>
      </c>
      <c r="H312" s="44" t="n">
        <v>0</v>
      </c>
      <c r="I312" s="43" t="n">
        <v>2025</v>
      </c>
      <c r="J312" s="43" t="n">
        <v>12</v>
      </c>
      <c r="K312" s="44" t="n">
        <v>97211</v>
      </c>
      <c r="L312" s="43" t="n">
        <v>2025</v>
      </c>
      <c r="M312" s="43" t="n">
        <v>12</v>
      </c>
      <c r="N312" s="44" t="n">
        <v>97211</v>
      </c>
      <c r="O312" s="43" t="n">
        <v>2026</v>
      </c>
      <c r="P312" s="43" t="n">
        <v>1</v>
      </c>
      <c r="Q312" s="44" t="n">
        <v>97034</v>
      </c>
      <c r="R312" s="43" t="s">
        <v>640</v>
      </c>
      <c r="S312" s="43" t="s">
        <v>84</v>
      </c>
      <c r="T312" s="43" t="s">
        <v>641</v>
      </c>
      <c r="U312" s="43" t="s">
        <v>669</v>
      </c>
      <c r="V312" s="43" t="n">
        <v>8</v>
      </c>
      <c r="W312" s="43" t="n">
        <v>29</v>
      </c>
      <c r="X312" s="43" t="n">
        <v>37</v>
      </c>
      <c r="Y312" s="43" t="s">
        <v>635</v>
      </c>
      <c r="Z312" s="43" t="s">
        <v>636</v>
      </c>
    </row>
    <row r="313" customFormat="false" ht="15" hidden="false" customHeight="false" outlineLevel="0" collapsed="false">
      <c r="A313" s="43" t="n">
        <v>311</v>
      </c>
      <c r="B313" s="43" t="s">
        <v>823</v>
      </c>
      <c r="C313" s="43" t="s">
        <v>248</v>
      </c>
      <c r="D313" s="43" t="s">
        <v>248</v>
      </c>
      <c r="E313" s="43" t="s">
        <v>156</v>
      </c>
      <c r="F313" s="43" t="s">
        <v>62</v>
      </c>
      <c r="G313" s="43" t="n">
        <v>2026</v>
      </c>
      <c r="H313" s="44" t="n">
        <v>0</v>
      </c>
      <c r="I313" s="43" t="n">
        <v>2026</v>
      </c>
      <c r="J313" s="43" t="n">
        <v>1</v>
      </c>
      <c r="K313" s="44" t="n">
        <v>47145</v>
      </c>
      <c r="L313" s="43" t="n">
        <v>2026</v>
      </c>
      <c r="M313" s="43" t="n">
        <v>2</v>
      </c>
      <c r="N313" s="44" t="n">
        <v>48163</v>
      </c>
      <c r="O313" s="43" t="n">
        <v>2026</v>
      </c>
      <c r="P313" s="43" t="n">
        <v>3</v>
      </c>
      <c r="Q313" s="44" t="n">
        <v>45201</v>
      </c>
      <c r="R313" s="43" t="s">
        <v>640</v>
      </c>
      <c r="S313" s="43" t="s">
        <v>84</v>
      </c>
      <c r="T313" s="43" t="s">
        <v>641</v>
      </c>
      <c r="U313" s="43" t="s">
        <v>669</v>
      </c>
      <c r="V313" s="43" t="n">
        <v>30</v>
      </c>
      <c r="W313" s="43" t="n">
        <v>28</v>
      </c>
      <c r="X313" s="43" t="n">
        <v>58</v>
      </c>
      <c r="Y313" s="43" t="s">
        <v>635</v>
      </c>
      <c r="Z313" s="43" t="s">
        <v>636</v>
      </c>
    </row>
    <row r="314" customFormat="false" ht="15" hidden="false" customHeight="false" outlineLevel="0" collapsed="false">
      <c r="A314" s="43" t="n">
        <v>312</v>
      </c>
      <c r="B314" s="43" t="s">
        <v>824</v>
      </c>
      <c r="C314" s="43" t="s">
        <v>825</v>
      </c>
      <c r="D314" s="43" t="s">
        <v>825</v>
      </c>
      <c r="E314" s="43" t="s">
        <v>826</v>
      </c>
      <c r="F314" s="43" t="s">
        <v>48</v>
      </c>
      <c r="G314" s="43" t="n">
        <v>2026</v>
      </c>
      <c r="H314" s="44" t="n">
        <v>22509</v>
      </c>
      <c r="I314" s="43" t="n">
        <v>2026</v>
      </c>
      <c r="J314" s="43" t="n">
        <v>2</v>
      </c>
      <c r="K314" s="44" t="n">
        <v>30588</v>
      </c>
      <c r="L314" s="43" t="n">
        <v>2026</v>
      </c>
      <c r="M314" s="43" t="n">
        <v>3</v>
      </c>
      <c r="N314" s="44" t="n">
        <v>30588</v>
      </c>
      <c r="O314" s="43" t="n">
        <v>2026</v>
      </c>
      <c r="P314" s="43" t="n">
        <v>4</v>
      </c>
      <c r="Q314" s="44" t="n">
        <v>0</v>
      </c>
      <c r="R314" s="43" t="s">
        <v>646</v>
      </c>
      <c r="S314" s="43" t="s">
        <v>83</v>
      </c>
      <c r="T314" s="43" t="s">
        <v>641</v>
      </c>
      <c r="U314" s="43" t="s">
        <v>660</v>
      </c>
      <c r="V314" s="43" t="n">
        <v>24</v>
      </c>
      <c r="W314" s="43" t="n">
        <v>31</v>
      </c>
      <c r="X314" s="43" t="n">
        <v>55</v>
      </c>
      <c r="Y314" s="43" t="s">
        <v>635</v>
      </c>
      <c r="Z314" s="43" t="s">
        <v>636</v>
      </c>
    </row>
    <row r="315" customFormat="false" ht="15" hidden="false" customHeight="false" outlineLevel="0" collapsed="false">
      <c r="A315" s="43" t="n">
        <v>313</v>
      </c>
      <c r="B315" s="43" t="s">
        <v>824</v>
      </c>
      <c r="C315" s="43" t="s">
        <v>825</v>
      </c>
      <c r="D315" s="43" t="s">
        <v>825</v>
      </c>
      <c r="E315" s="43" t="s">
        <v>826</v>
      </c>
      <c r="F315" s="43" t="s">
        <v>48</v>
      </c>
      <c r="G315" s="43" t="n">
        <v>2026</v>
      </c>
      <c r="H315" s="44" t="n">
        <v>35000</v>
      </c>
      <c r="I315" s="43" t="n">
        <v>2026</v>
      </c>
      <c r="J315" s="43" t="n">
        <v>3</v>
      </c>
      <c r="K315" s="44" t="n">
        <v>41900</v>
      </c>
      <c r="L315" s="43" t="n">
        <v>2026</v>
      </c>
      <c r="M315" s="43" t="n">
        <v>4</v>
      </c>
      <c r="N315" s="44" t="n">
        <v>41900</v>
      </c>
      <c r="O315" s="43" t="n">
        <v>2026</v>
      </c>
      <c r="P315" s="43" t="n">
        <v>5</v>
      </c>
      <c r="Q315" s="44" t="n">
        <v>0</v>
      </c>
      <c r="R315" s="43" t="s">
        <v>646</v>
      </c>
      <c r="S315" s="43" t="s">
        <v>83</v>
      </c>
      <c r="T315" s="43" t="s">
        <v>641</v>
      </c>
      <c r="U315" s="43" t="s">
        <v>660</v>
      </c>
      <c r="V315" s="43" t="n">
        <v>18</v>
      </c>
      <c r="W315" s="43" t="n">
        <v>30</v>
      </c>
      <c r="X315" s="43" t="n">
        <v>48</v>
      </c>
      <c r="Y315" s="43" t="s">
        <v>635</v>
      </c>
      <c r="Z315" s="43" t="s">
        <v>636</v>
      </c>
    </row>
    <row r="316" customFormat="false" ht="15" hidden="false" customHeight="false" outlineLevel="0" collapsed="false">
      <c r="A316" s="43" t="n">
        <v>314</v>
      </c>
      <c r="B316" s="43" t="s">
        <v>824</v>
      </c>
      <c r="C316" s="43" t="s">
        <v>825</v>
      </c>
      <c r="D316" s="43" t="s">
        <v>825</v>
      </c>
      <c r="E316" s="43" t="s">
        <v>826</v>
      </c>
      <c r="F316" s="43" t="s">
        <v>48</v>
      </c>
      <c r="G316" s="43" t="n">
        <v>2026</v>
      </c>
      <c r="H316" s="44" t="n">
        <v>0</v>
      </c>
      <c r="I316" s="43" t="n">
        <v>2026</v>
      </c>
      <c r="J316" s="43" t="n">
        <v>4</v>
      </c>
      <c r="K316" s="44" t="n">
        <v>34768</v>
      </c>
      <c r="L316" s="43"/>
      <c r="M316" s="43"/>
      <c r="N316" s="44" t="n">
        <v>0</v>
      </c>
      <c r="O316" s="43"/>
      <c r="P316" s="43"/>
      <c r="Q316" s="44" t="n">
        <v>0</v>
      </c>
      <c r="R316" s="43" t="s">
        <v>646</v>
      </c>
      <c r="S316" s="43" t="s">
        <v>83</v>
      </c>
      <c r="T316" s="43" t="s">
        <v>641</v>
      </c>
      <c r="U316" s="43" t="s">
        <v>660</v>
      </c>
      <c r="V316" s="43"/>
      <c r="W316" s="43"/>
      <c r="X316" s="43"/>
      <c r="Y316" s="43" t="s">
        <v>635</v>
      </c>
      <c r="Z316" s="43" t="s">
        <v>636</v>
      </c>
    </row>
    <row r="317" customFormat="false" ht="15" hidden="false" customHeight="false" outlineLevel="0" collapsed="false">
      <c r="A317" s="43" t="n">
        <v>315</v>
      </c>
      <c r="B317" s="43" t="s">
        <v>824</v>
      </c>
      <c r="C317" s="43" t="s">
        <v>825</v>
      </c>
      <c r="D317" s="43" t="s">
        <v>825</v>
      </c>
      <c r="E317" s="43" t="s">
        <v>826</v>
      </c>
      <c r="F317" s="43" t="s">
        <v>48</v>
      </c>
      <c r="G317" s="43" t="n">
        <v>2026</v>
      </c>
      <c r="H317" s="44" t="n">
        <v>0</v>
      </c>
      <c r="I317" s="43" t="n">
        <v>2026</v>
      </c>
      <c r="J317" s="43" t="n">
        <v>5</v>
      </c>
      <c r="K317" s="44" t="n">
        <v>32980</v>
      </c>
      <c r="L317" s="43"/>
      <c r="M317" s="43"/>
      <c r="N317" s="44" t="n">
        <v>0</v>
      </c>
      <c r="O317" s="43"/>
      <c r="P317" s="43"/>
      <c r="Q317" s="44" t="n">
        <v>0</v>
      </c>
      <c r="R317" s="43" t="s">
        <v>646</v>
      </c>
      <c r="S317" s="43" t="s">
        <v>83</v>
      </c>
      <c r="T317" s="43" t="s">
        <v>641</v>
      </c>
      <c r="U317" s="43" t="s">
        <v>660</v>
      </c>
      <c r="V317" s="43"/>
      <c r="W317" s="43"/>
      <c r="X317" s="43"/>
      <c r="Y317" s="43" t="s">
        <v>635</v>
      </c>
      <c r="Z317" s="43" t="s">
        <v>636</v>
      </c>
    </row>
    <row r="318" customFormat="false" ht="15" hidden="false" customHeight="false" outlineLevel="0" collapsed="false">
      <c r="A318" s="43" t="n">
        <v>316</v>
      </c>
      <c r="B318" s="43" t="s">
        <v>827</v>
      </c>
      <c r="C318" s="43" t="s">
        <v>251</v>
      </c>
      <c r="D318" s="43" t="s">
        <v>251</v>
      </c>
      <c r="E318" s="43" t="s">
        <v>154</v>
      </c>
      <c r="F318" s="43" t="s">
        <v>62</v>
      </c>
      <c r="G318" s="43" t="n">
        <v>2025</v>
      </c>
      <c r="H318" s="44" t="n">
        <v>0</v>
      </c>
      <c r="I318" s="43" t="n">
        <v>2025</v>
      </c>
      <c r="J318" s="43" t="n">
        <v>6</v>
      </c>
      <c r="K318" s="44" t="n">
        <v>86279.5954716981</v>
      </c>
      <c r="L318" s="43" t="n">
        <v>2025</v>
      </c>
      <c r="M318" s="43" t="n">
        <v>6</v>
      </c>
      <c r="N318" s="44" t="n">
        <v>50063</v>
      </c>
      <c r="O318" s="43" t="n">
        <v>2025</v>
      </c>
      <c r="P318" s="43" t="n">
        <v>7</v>
      </c>
      <c r="Q318" s="44" t="n">
        <v>50063</v>
      </c>
      <c r="R318" s="43" t="s">
        <v>646</v>
      </c>
      <c r="S318" s="43" t="s">
        <v>83</v>
      </c>
      <c r="T318" s="43" t="s">
        <v>641</v>
      </c>
      <c r="U318" s="43" t="s">
        <v>642</v>
      </c>
      <c r="V318" s="43" t="n">
        <v>5</v>
      </c>
      <c r="W318" s="43" t="n">
        <v>36</v>
      </c>
      <c r="X318" s="43" t="n">
        <v>41</v>
      </c>
      <c r="Y318" s="43" t="s">
        <v>635</v>
      </c>
      <c r="Z318" s="43" t="s">
        <v>636</v>
      </c>
    </row>
    <row r="319" customFormat="false" ht="15" hidden="false" customHeight="false" outlineLevel="0" collapsed="false">
      <c r="A319" s="43" t="n">
        <v>317</v>
      </c>
      <c r="B319" s="43" t="s">
        <v>827</v>
      </c>
      <c r="C319" s="43" t="s">
        <v>251</v>
      </c>
      <c r="D319" s="43" t="s">
        <v>251</v>
      </c>
      <c r="E319" s="43" t="s">
        <v>154</v>
      </c>
      <c r="F319" s="43" t="s">
        <v>62</v>
      </c>
      <c r="G319" s="43" t="n">
        <v>2025</v>
      </c>
      <c r="H319" s="44" t="n">
        <v>0</v>
      </c>
      <c r="I319" s="43" t="n">
        <v>2025</v>
      </c>
      <c r="J319" s="43" t="n">
        <v>7</v>
      </c>
      <c r="K319" s="44" t="n">
        <v>23873.1559433962</v>
      </c>
      <c r="L319" s="43" t="n">
        <v>2025</v>
      </c>
      <c r="M319" s="43" t="n">
        <v>7</v>
      </c>
      <c r="N319" s="44" t="n">
        <v>22640.41</v>
      </c>
      <c r="O319" s="43" t="n">
        <v>2025</v>
      </c>
      <c r="P319" s="43" t="n">
        <v>8</v>
      </c>
      <c r="Q319" s="44" t="n">
        <v>19610.67</v>
      </c>
      <c r="R319" s="43" t="s">
        <v>646</v>
      </c>
      <c r="S319" s="43" t="s">
        <v>83</v>
      </c>
      <c r="T319" s="43" t="s">
        <v>641</v>
      </c>
      <c r="U319" s="43" t="s">
        <v>642</v>
      </c>
      <c r="V319" s="43" t="n">
        <v>1</v>
      </c>
      <c r="W319" s="43" t="n">
        <v>36</v>
      </c>
      <c r="X319" s="43" t="n">
        <v>37</v>
      </c>
      <c r="Y319" s="43" t="s">
        <v>635</v>
      </c>
      <c r="Z319" s="43" t="s">
        <v>636</v>
      </c>
    </row>
    <row r="320" customFormat="false" ht="15" hidden="false" customHeight="false" outlineLevel="0" collapsed="false">
      <c r="A320" s="43" t="n">
        <v>318</v>
      </c>
      <c r="B320" s="43" t="s">
        <v>827</v>
      </c>
      <c r="C320" s="43" t="s">
        <v>251</v>
      </c>
      <c r="D320" s="43" t="s">
        <v>251</v>
      </c>
      <c r="E320" s="43" t="s">
        <v>154</v>
      </c>
      <c r="F320" s="43" t="s">
        <v>62</v>
      </c>
      <c r="G320" s="43" t="n">
        <v>2025</v>
      </c>
      <c r="H320" s="44" t="n">
        <v>0</v>
      </c>
      <c r="I320" s="43" t="n">
        <v>2025</v>
      </c>
      <c r="J320" s="43" t="n">
        <v>8</v>
      </c>
      <c r="K320" s="44" t="n">
        <v>74156.0012264151</v>
      </c>
      <c r="L320" s="43" t="n">
        <v>2025</v>
      </c>
      <c r="M320" s="43" t="n">
        <v>8</v>
      </c>
      <c r="N320" s="44" t="n">
        <v>73795</v>
      </c>
      <c r="O320" s="43" t="n">
        <v>2025</v>
      </c>
      <c r="P320" s="43" t="n">
        <v>9</v>
      </c>
      <c r="Q320" s="44" t="n">
        <v>61585</v>
      </c>
      <c r="R320" s="43" t="s">
        <v>646</v>
      </c>
      <c r="S320" s="43" t="s">
        <v>83</v>
      </c>
      <c r="T320" s="43" t="s">
        <v>641</v>
      </c>
      <c r="U320" s="43" t="s">
        <v>642</v>
      </c>
      <c r="V320" s="43" t="n">
        <v>1</v>
      </c>
      <c r="W320" s="43" t="n">
        <v>33</v>
      </c>
      <c r="X320" s="43" t="n">
        <v>34</v>
      </c>
      <c r="Y320" s="43" t="s">
        <v>635</v>
      </c>
      <c r="Z320" s="43" t="s">
        <v>636</v>
      </c>
    </row>
    <row r="321" customFormat="false" ht="15" hidden="false" customHeight="false" outlineLevel="0" collapsed="false">
      <c r="A321" s="43" t="n">
        <v>319</v>
      </c>
      <c r="B321" s="43" t="s">
        <v>827</v>
      </c>
      <c r="C321" s="43" t="s">
        <v>251</v>
      </c>
      <c r="D321" s="43" t="s">
        <v>251</v>
      </c>
      <c r="E321" s="43" t="s">
        <v>154</v>
      </c>
      <c r="F321" s="43" t="s">
        <v>62</v>
      </c>
      <c r="G321" s="43" t="n">
        <v>2025</v>
      </c>
      <c r="H321" s="44" t="n">
        <v>0</v>
      </c>
      <c r="I321" s="43" t="n">
        <v>2025</v>
      </c>
      <c r="J321" s="43" t="n">
        <v>9</v>
      </c>
      <c r="K321" s="44" t="n">
        <v>68993.1623584906</v>
      </c>
      <c r="L321" s="43" t="n">
        <v>2025</v>
      </c>
      <c r="M321" s="43" t="n">
        <v>9</v>
      </c>
      <c r="N321" s="44" t="n">
        <v>68819.6330275229</v>
      </c>
      <c r="O321" s="43" t="n">
        <v>2025</v>
      </c>
      <c r="P321" s="43" t="n">
        <v>10</v>
      </c>
      <c r="Q321" s="44" t="n">
        <v>58240</v>
      </c>
      <c r="R321" s="43" t="s">
        <v>646</v>
      </c>
      <c r="S321" s="43" t="s">
        <v>83</v>
      </c>
      <c r="T321" s="43" t="s">
        <v>641</v>
      </c>
      <c r="U321" s="43" t="s">
        <v>642</v>
      </c>
      <c r="V321" s="43" t="n">
        <v>7</v>
      </c>
      <c r="W321" s="43" t="n">
        <v>31</v>
      </c>
      <c r="X321" s="43" t="n">
        <v>38</v>
      </c>
      <c r="Y321" s="43" t="s">
        <v>635</v>
      </c>
      <c r="Z321" s="43" t="s">
        <v>636</v>
      </c>
    </row>
    <row r="322" customFormat="false" ht="15" hidden="false" customHeight="false" outlineLevel="0" collapsed="false">
      <c r="A322" s="43" t="n">
        <v>320</v>
      </c>
      <c r="B322" s="43" t="s">
        <v>827</v>
      </c>
      <c r="C322" s="43" t="s">
        <v>251</v>
      </c>
      <c r="D322" s="43" t="s">
        <v>251</v>
      </c>
      <c r="E322" s="43" t="s">
        <v>154</v>
      </c>
      <c r="F322" s="43" t="s">
        <v>62</v>
      </c>
      <c r="G322" s="43" t="n">
        <v>2025</v>
      </c>
      <c r="H322" s="44" t="n">
        <v>0</v>
      </c>
      <c r="I322" s="43" t="n">
        <v>2025</v>
      </c>
      <c r="J322" s="43" t="n">
        <v>10</v>
      </c>
      <c r="K322" s="44" t="n">
        <v>39205.7737735849</v>
      </c>
      <c r="L322" s="43" t="n">
        <v>2025</v>
      </c>
      <c r="M322" s="43" t="n">
        <v>10</v>
      </c>
      <c r="N322" s="44" t="n">
        <v>34046</v>
      </c>
      <c r="O322" s="43" t="n">
        <v>2025</v>
      </c>
      <c r="P322" s="43" t="n">
        <v>11</v>
      </c>
      <c r="Q322" s="44" t="n">
        <v>32689</v>
      </c>
      <c r="R322" s="43" t="s">
        <v>646</v>
      </c>
      <c r="S322" s="43" t="s">
        <v>83</v>
      </c>
      <c r="T322" s="43" t="s">
        <v>641</v>
      </c>
      <c r="U322" s="43" t="s">
        <v>642</v>
      </c>
      <c r="V322" s="43" t="n">
        <v>2</v>
      </c>
      <c r="W322" s="43" t="n">
        <v>33</v>
      </c>
      <c r="X322" s="43" t="n">
        <v>35</v>
      </c>
      <c r="Y322" s="43" t="s">
        <v>635</v>
      </c>
      <c r="Z322" s="43" t="s">
        <v>636</v>
      </c>
    </row>
    <row r="323" customFormat="false" ht="15" hidden="false" customHeight="false" outlineLevel="0" collapsed="false">
      <c r="A323" s="43" t="n">
        <v>321</v>
      </c>
      <c r="B323" s="43" t="s">
        <v>827</v>
      </c>
      <c r="C323" s="43" t="s">
        <v>251</v>
      </c>
      <c r="D323" s="43" t="s">
        <v>251</v>
      </c>
      <c r="E323" s="43" t="s">
        <v>154</v>
      </c>
      <c r="F323" s="43" t="s">
        <v>62</v>
      </c>
      <c r="G323" s="43" t="n">
        <v>2025</v>
      </c>
      <c r="H323" s="44" t="n">
        <v>0</v>
      </c>
      <c r="I323" s="43" t="n">
        <v>2025</v>
      </c>
      <c r="J323" s="43" t="n">
        <v>11</v>
      </c>
      <c r="K323" s="44" t="n">
        <v>61666.7138679245</v>
      </c>
      <c r="L323" s="43" t="n">
        <v>2025</v>
      </c>
      <c r="M323" s="43" t="n">
        <v>11</v>
      </c>
      <c r="N323" s="44" t="n">
        <v>61627</v>
      </c>
      <c r="O323" s="43" t="n">
        <v>2025</v>
      </c>
      <c r="P323" s="43" t="n">
        <v>12</v>
      </c>
      <c r="Q323" s="44" t="n">
        <v>51794</v>
      </c>
      <c r="R323" s="43" t="s">
        <v>646</v>
      </c>
      <c r="S323" s="43" t="s">
        <v>83</v>
      </c>
      <c r="T323" s="43" t="s">
        <v>641</v>
      </c>
      <c r="U323" s="43" t="s">
        <v>642</v>
      </c>
      <c r="V323" s="43" t="n">
        <v>3</v>
      </c>
      <c r="W323" s="43" t="n">
        <v>30</v>
      </c>
      <c r="X323" s="43" t="n">
        <v>33</v>
      </c>
      <c r="Y323" s="43" t="s">
        <v>635</v>
      </c>
      <c r="Z323" s="43" t="s">
        <v>636</v>
      </c>
    </row>
    <row r="324" customFormat="false" ht="15" hidden="false" customHeight="false" outlineLevel="0" collapsed="false">
      <c r="A324" s="43" t="n">
        <v>322</v>
      </c>
      <c r="B324" s="43" t="s">
        <v>827</v>
      </c>
      <c r="C324" s="43" t="s">
        <v>251</v>
      </c>
      <c r="D324" s="43" t="s">
        <v>251</v>
      </c>
      <c r="E324" s="43" t="s">
        <v>154</v>
      </c>
      <c r="F324" s="43" t="s">
        <v>62</v>
      </c>
      <c r="G324" s="43" t="n">
        <v>2025</v>
      </c>
      <c r="H324" s="44" t="n">
        <v>0</v>
      </c>
      <c r="I324" s="43" t="n">
        <v>2025</v>
      </c>
      <c r="J324" s="43" t="n">
        <v>12</v>
      </c>
      <c r="K324" s="44" t="n">
        <v>52319.1963207547</v>
      </c>
      <c r="L324" s="43" t="n">
        <v>2025</v>
      </c>
      <c r="M324" s="43" t="n">
        <v>12</v>
      </c>
      <c r="N324" s="44" t="n">
        <v>50479</v>
      </c>
      <c r="O324" s="43" t="n">
        <v>2026</v>
      </c>
      <c r="P324" s="43" t="n">
        <v>1</v>
      </c>
      <c r="Q324" s="44" t="n">
        <v>44627</v>
      </c>
      <c r="R324" s="43" t="s">
        <v>646</v>
      </c>
      <c r="S324" s="43" t="s">
        <v>83</v>
      </c>
      <c r="T324" s="43" t="s">
        <v>641</v>
      </c>
      <c r="U324" s="43" t="s">
        <v>642</v>
      </c>
      <c r="V324" s="43" t="n">
        <v>4</v>
      </c>
      <c r="W324" s="43" t="n">
        <v>31</v>
      </c>
      <c r="X324" s="43" t="n">
        <v>35</v>
      </c>
      <c r="Y324" s="43" t="s">
        <v>635</v>
      </c>
      <c r="Z324" s="43" t="s">
        <v>636</v>
      </c>
    </row>
    <row r="325" customFormat="false" ht="15" hidden="false" customHeight="false" outlineLevel="0" collapsed="false">
      <c r="A325" s="43" t="n">
        <v>323</v>
      </c>
      <c r="B325" s="43" t="s">
        <v>827</v>
      </c>
      <c r="C325" s="43" t="s">
        <v>251</v>
      </c>
      <c r="D325" s="43" t="s">
        <v>251</v>
      </c>
      <c r="E325" s="43" t="s">
        <v>154</v>
      </c>
      <c r="F325" s="43" t="s">
        <v>62</v>
      </c>
      <c r="G325" s="43" t="n">
        <v>2026</v>
      </c>
      <c r="H325" s="44" t="n">
        <v>0</v>
      </c>
      <c r="I325" s="43" t="n">
        <v>2026</v>
      </c>
      <c r="J325" s="43" t="n">
        <v>1</v>
      </c>
      <c r="K325" s="44" t="n">
        <v>46571.7099047619</v>
      </c>
      <c r="L325" s="43" t="n">
        <v>2026</v>
      </c>
      <c r="M325" s="43" t="n">
        <v>1</v>
      </c>
      <c r="N325" s="44" t="n">
        <v>45265</v>
      </c>
      <c r="O325" s="43" t="n">
        <v>2026</v>
      </c>
      <c r="P325" s="43" t="n">
        <v>2</v>
      </c>
      <c r="Q325" s="44" t="n">
        <v>42693</v>
      </c>
      <c r="R325" s="43" t="s">
        <v>646</v>
      </c>
      <c r="S325" s="43" t="s">
        <v>83</v>
      </c>
      <c r="T325" s="43" t="s">
        <v>641</v>
      </c>
      <c r="U325" s="43" t="s">
        <v>642</v>
      </c>
      <c r="V325" s="43" t="n">
        <v>3</v>
      </c>
      <c r="W325" s="43" t="n">
        <v>29</v>
      </c>
      <c r="X325" s="43" t="n">
        <v>32</v>
      </c>
      <c r="Y325" s="43" t="s">
        <v>635</v>
      </c>
      <c r="Z325" s="43" t="s">
        <v>636</v>
      </c>
    </row>
    <row r="326" customFormat="false" ht="15" hidden="false" customHeight="false" outlineLevel="0" collapsed="false">
      <c r="A326" s="43" t="n">
        <v>324</v>
      </c>
      <c r="B326" s="43" t="s">
        <v>827</v>
      </c>
      <c r="C326" s="43" t="s">
        <v>251</v>
      </c>
      <c r="D326" s="43" t="s">
        <v>251</v>
      </c>
      <c r="E326" s="43" t="s">
        <v>154</v>
      </c>
      <c r="F326" s="43" t="s">
        <v>62</v>
      </c>
      <c r="G326" s="43" t="n">
        <v>2026</v>
      </c>
      <c r="H326" s="44" t="n">
        <v>59681</v>
      </c>
      <c r="I326" s="43" t="n">
        <v>2026</v>
      </c>
      <c r="J326" s="43" t="n">
        <v>2</v>
      </c>
      <c r="K326" s="44" t="n">
        <v>70943.7878095238</v>
      </c>
      <c r="L326" s="43" t="n">
        <v>2026</v>
      </c>
      <c r="M326" s="43" t="n">
        <v>2</v>
      </c>
      <c r="N326" s="44" t="n">
        <v>71488</v>
      </c>
      <c r="O326" s="43" t="n">
        <v>2026</v>
      </c>
      <c r="P326" s="43" t="n">
        <v>3</v>
      </c>
      <c r="Q326" s="44" t="n">
        <v>59943</v>
      </c>
      <c r="R326" s="43" t="s">
        <v>646</v>
      </c>
      <c r="S326" s="43" t="s">
        <v>83</v>
      </c>
      <c r="T326" s="43" t="s">
        <v>641</v>
      </c>
      <c r="U326" s="43" t="s">
        <v>642</v>
      </c>
      <c r="V326" s="43" t="n">
        <v>3</v>
      </c>
      <c r="W326" s="43" t="n">
        <v>28</v>
      </c>
      <c r="X326" s="43" t="n">
        <v>31</v>
      </c>
      <c r="Y326" s="43" t="s">
        <v>635</v>
      </c>
      <c r="Z326" s="43" t="s">
        <v>636</v>
      </c>
    </row>
    <row r="327" customFormat="false" ht="15" hidden="false" customHeight="false" outlineLevel="0" collapsed="false">
      <c r="A327" s="43" t="n">
        <v>325</v>
      </c>
      <c r="B327" s="43" t="s">
        <v>827</v>
      </c>
      <c r="C327" s="43" t="s">
        <v>251</v>
      </c>
      <c r="D327" s="43" t="s">
        <v>251</v>
      </c>
      <c r="E327" s="43" t="s">
        <v>154</v>
      </c>
      <c r="F327" s="43" t="s">
        <v>62</v>
      </c>
      <c r="G327" s="43" t="n">
        <v>2026</v>
      </c>
      <c r="H327" s="44" t="n">
        <v>23621</v>
      </c>
      <c r="I327" s="43" t="n">
        <v>2026</v>
      </c>
      <c r="J327" s="43" t="n">
        <v>3</v>
      </c>
      <c r="K327" s="44" t="n">
        <v>29753</v>
      </c>
      <c r="L327" s="43" t="n">
        <v>2026</v>
      </c>
      <c r="M327" s="43" t="n">
        <v>3</v>
      </c>
      <c r="N327" s="44" t="n">
        <v>29753</v>
      </c>
      <c r="O327" s="43" t="n">
        <v>2026</v>
      </c>
      <c r="P327" s="43" t="n">
        <v>5</v>
      </c>
      <c r="Q327" s="44" t="n">
        <v>27889.0243902439</v>
      </c>
      <c r="R327" s="43" t="s">
        <v>646</v>
      </c>
      <c r="S327" s="43" t="s">
        <v>83</v>
      </c>
      <c r="T327" s="43" t="s">
        <v>641</v>
      </c>
      <c r="U327" s="43" t="s">
        <v>642</v>
      </c>
      <c r="V327" s="43" t="n">
        <v>4</v>
      </c>
      <c r="W327" s="43" t="n">
        <v>46</v>
      </c>
      <c r="X327" s="43" t="n">
        <v>50</v>
      </c>
      <c r="Y327" s="43" t="s">
        <v>635</v>
      </c>
      <c r="Z327" s="43" t="s">
        <v>636</v>
      </c>
    </row>
    <row r="328" customFormat="false" ht="15" hidden="false" customHeight="false" outlineLevel="0" collapsed="false">
      <c r="A328" s="43" t="n">
        <v>326</v>
      </c>
      <c r="B328" s="43" t="s">
        <v>828</v>
      </c>
      <c r="C328" s="43" t="s">
        <v>829</v>
      </c>
      <c r="D328" s="43" t="s">
        <v>829</v>
      </c>
      <c r="E328" s="43" t="s">
        <v>154</v>
      </c>
      <c r="F328" s="43" t="s">
        <v>62</v>
      </c>
      <c r="G328" s="43" t="n">
        <v>2026</v>
      </c>
      <c r="H328" s="44" t="n">
        <v>0</v>
      </c>
      <c r="I328" s="43" t="n">
        <v>2026</v>
      </c>
      <c r="J328" s="43" t="n">
        <v>5</v>
      </c>
      <c r="K328" s="44" t="n">
        <v>4210</v>
      </c>
      <c r="L328" s="43"/>
      <c r="M328" s="43"/>
      <c r="N328" s="44" t="n">
        <v>0</v>
      </c>
      <c r="O328" s="43"/>
      <c r="P328" s="43"/>
      <c r="Q328" s="44" t="n">
        <v>0</v>
      </c>
      <c r="R328" s="43" t="s">
        <v>646</v>
      </c>
      <c r="S328" s="43" t="s">
        <v>83</v>
      </c>
      <c r="T328" s="43" t="s">
        <v>641</v>
      </c>
      <c r="U328" s="43" t="s">
        <v>669</v>
      </c>
      <c r="V328" s="43"/>
      <c r="W328" s="43"/>
      <c r="X328" s="43"/>
      <c r="Y328" s="43" t="s">
        <v>635</v>
      </c>
      <c r="Z328" s="43" t="s">
        <v>636</v>
      </c>
    </row>
    <row r="329" customFormat="false" ht="15" hidden="false" customHeight="false" outlineLevel="0" collapsed="false">
      <c r="A329" s="43" t="n">
        <v>327</v>
      </c>
      <c r="B329" s="43" t="s">
        <v>830</v>
      </c>
      <c r="C329" s="43" t="s">
        <v>831</v>
      </c>
      <c r="D329" s="43" t="s">
        <v>831</v>
      </c>
      <c r="E329" s="43" t="s">
        <v>180</v>
      </c>
      <c r="F329" s="43" t="s">
        <v>179</v>
      </c>
      <c r="G329" s="43" t="n">
        <v>2025</v>
      </c>
      <c r="H329" s="44" t="n">
        <v>0</v>
      </c>
      <c r="I329" s="43" t="n">
        <v>2025</v>
      </c>
      <c r="J329" s="43" t="n">
        <v>2</v>
      </c>
      <c r="K329" s="44" t="n">
        <v>82861</v>
      </c>
      <c r="L329" s="43" t="n">
        <v>2025</v>
      </c>
      <c r="M329" s="43" t="n">
        <v>5</v>
      </c>
      <c r="N329" s="44" t="n">
        <v>82861</v>
      </c>
      <c r="O329" s="43" t="n">
        <v>2025</v>
      </c>
      <c r="P329" s="43" t="n">
        <v>6</v>
      </c>
      <c r="Q329" s="44" t="n">
        <v>82861</v>
      </c>
      <c r="R329" s="43"/>
      <c r="S329" s="43" t="s">
        <v>86</v>
      </c>
      <c r="T329" s="43" t="s">
        <v>633</v>
      </c>
      <c r="U329" s="43" t="s">
        <v>634</v>
      </c>
      <c r="V329" s="43" t="n">
        <v>90</v>
      </c>
      <c r="W329" s="43" t="n">
        <v>7</v>
      </c>
      <c r="X329" s="43" t="n">
        <v>97</v>
      </c>
      <c r="Y329" s="43" t="s">
        <v>635</v>
      </c>
      <c r="Z329" s="43" t="s">
        <v>636</v>
      </c>
    </row>
    <row r="330" customFormat="false" ht="15" hidden="false" customHeight="false" outlineLevel="0" collapsed="false">
      <c r="A330" s="43" t="n">
        <v>328</v>
      </c>
      <c r="B330" s="43" t="s">
        <v>830</v>
      </c>
      <c r="C330" s="43" t="s">
        <v>831</v>
      </c>
      <c r="D330" s="43" t="s">
        <v>831</v>
      </c>
      <c r="E330" s="43" t="s">
        <v>180</v>
      </c>
      <c r="F330" s="43" t="s">
        <v>179</v>
      </c>
      <c r="G330" s="43" t="n">
        <v>2025</v>
      </c>
      <c r="H330" s="44" t="n">
        <v>0</v>
      </c>
      <c r="I330" s="43" t="n">
        <v>2025</v>
      </c>
      <c r="J330" s="43" t="n">
        <v>3</v>
      </c>
      <c r="K330" s="44" t="n">
        <v>89646</v>
      </c>
      <c r="L330" s="43" t="n">
        <v>2025</v>
      </c>
      <c r="M330" s="43" t="n">
        <v>5</v>
      </c>
      <c r="N330" s="44" t="n">
        <v>89646</v>
      </c>
      <c r="O330" s="43" t="n">
        <v>2025</v>
      </c>
      <c r="P330" s="43" t="n">
        <v>6</v>
      </c>
      <c r="Q330" s="44" t="n">
        <v>89646</v>
      </c>
      <c r="R330" s="43"/>
      <c r="S330" s="43" t="s">
        <v>86</v>
      </c>
      <c r="T330" s="43" t="s">
        <v>633</v>
      </c>
      <c r="U330" s="43" t="s">
        <v>634</v>
      </c>
      <c r="V330" s="43" t="n">
        <v>62</v>
      </c>
      <c r="W330" s="43" t="n">
        <v>7</v>
      </c>
      <c r="X330" s="43" t="n">
        <v>69</v>
      </c>
      <c r="Y330" s="43" t="s">
        <v>635</v>
      </c>
      <c r="Z330" s="43" t="s">
        <v>636</v>
      </c>
    </row>
    <row r="331" customFormat="false" ht="15" hidden="false" customHeight="false" outlineLevel="0" collapsed="false">
      <c r="A331" s="43" t="n">
        <v>329</v>
      </c>
      <c r="B331" s="43" t="s">
        <v>830</v>
      </c>
      <c r="C331" s="43" t="s">
        <v>831</v>
      </c>
      <c r="D331" s="43" t="s">
        <v>831</v>
      </c>
      <c r="E331" s="43" t="s">
        <v>180</v>
      </c>
      <c r="F331" s="43" t="s">
        <v>179</v>
      </c>
      <c r="G331" s="43" t="n">
        <v>2025</v>
      </c>
      <c r="H331" s="44" t="n">
        <v>0</v>
      </c>
      <c r="I331" s="43" t="n">
        <v>2025</v>
      </c>
      <c r="J331" s="43" t="n">
        <v>7</v>
      </c>
      <c r="K331" s="44" t="n">
        <v>99524</v>
      </c>
      <c r="L331" s="43" t="n">
        <v>2025</v>
      </c>
      <c r="M331" s="43" t="n">
        <v>7</v>
      </c>
      <c r="N331" s="44" t="n">
        <v>99524</v>
      </c>
      <c r="O331" s="43" t="n">
        <v>2025</v>
      </c>
      <c r="P331" s="43" t="n">
        <v>8</v>
      </c>
      <c r="Q331" s="44" t="n">
        <v>99524</v>
      </c>
      <c r="R331" s="43"/>
      <c r="S331" s="43" t="s">
        <v>86</v>
      </c>
      <c r="T331" s="43" t="s">
        <v>633</v>
      </c>
      <c r="U331" s="43" t="s">
        <v>634</v>
      </c>
      <c r="V331" s="43" t="n">
        <v>3</v>
      </c>
      <c r="W331" s="43" t="n">
        <v>35</v>
      </c>
      <c r="X331" s="43" t="n">
        <v>38</v>
      </c>
      <c r="Y331" s="43" t="s">
        <v>635</v>
      </c>
      <c r="Z331" s="43" t="s">
        <v>636</v>
      </c>
    </row>
    <row r="332" customFormat="false" ht="15" hidden="false" customHeight="false" outlineLevel="0" collapsed="false">
      <c r="A332" s="43" t="n">
        <v>330</v>
      </c>
      <c r="B332" s="43" t="s">
        <v>832</v>
      </c>
      <c r="C332" s="43" t="s">
        <v>833</v>
      </c>
      <c r="D332" s="43" t="s">
        <v>833</v>
      </c>
      <c r="E332" s="43" t="s">
        <v>815</v>
      </c>
      <c r="F332" s="43" t="s">
        <v>61</v>
      </c>
      <c r="G332" s="43" t="n">
        <v>2023</v>
      </c>
      <c r="H332" s="44" t="n">
        <v>0</v>
      </c>
      <c r="I332" s="43" t="n">
        <v>2022</v>
      </c>
      <c r="J332" s="43" t="n">
        <v>12</v>
      </c>
      <c r="K332" s="44" t="n">
        <v>15716.25</v>
      </c>
      <c r="L332" s="43" t="n">
        <v>2023</v>
      </c>
      <c r="M332" s="43" t="n">
        <v>1</v>
      </c>
      <c r="N332" s="44" t="n">
        <v>15176</v>
      </c>
      <c r="O332" s="43" t="n">
        <v>2023</v>
      </c>
      <c r="P332" s="43" t="n">
        <v>2</v>
      </c>
      <c r="Q332" s="44" t="n">
        <v>15176</v>
      </c>
      <c r="R332" s="43" t="s">
        <v>651</v>
      </c>
      <c r="S332" s="43" t="s">
        <v>85</v>
      </c>
      <c r="T332" s="43" t="s">
        <v>633</v>
      </c>
      <c r="U332" s="43" t="s">
        <v>642</v>
      </c>
      <c r="V332" s="43" t="n">
        <v>37</v>
      </c>
      <c r="W332" s="43" t="n">
        <v>20</v>
      </c>
      <c r="X332" s="43" t="n">
        <v>57</v>
      </c>
      <c r="Y332" s="43" t="s">
        <v>635</v>
      </c>
      <c r="Z332" s="43" t="s">
        <v>636</v>
      </c>
    </row>
    <row r="333" customFormat="false" ht="15" hidden="false" customHeight="false" outlineLevel="0" collapsed="false">
      <c r="A333" s="43" t="n">
        <v>331</v>
      </c>
      <c r="B333" s="43" t="s">
        <v>832</v>
      </c>
      <c r="C333" s="43" t="s">
        <v>833</v>
      </c>
      <c r="D333" s="43" t="s">
        <v>833</v>
      </c>
      <c r="E333" s="43" t="s">
        <v>815</v>
      </c>
      <c r="F333" s="43" t="s">
        <v>61</v>
      </c>
      <c r="G333" s="43" t="n">
        <v>2023</v>
      </c>
      <c r="H333" s="44" t="n">
        <v>0</v>
      </c>
      <c r="I333" s="43" t="n">
        <v>2023</v>
      </c>
      <c r="J333" s="43" t="n">
        <v>2</v>
      </c>
      <c r="K333" s="44" t="n">
        <v>35043.75</v>
      </c>
      <c r="L333" s="43" t="n">
        <v>2023</v>
      </c>
      <c r="M333" s="43" t="n">
        <v>3</v>
      </c>
      <c r="N333" s="44" t="n">
        <v>35043.75</v>
      </c>
      <c r="O333" s="43" t="n">
        <v>2023</v>
      </c>
      <c r="P333" s="43" t="n">
        <v>7</v>
      </c>
      <c r="Q333" s="44" t="n">
        <v>35043.75</v>
      </c>
      <c r="R333" s="43" t="s">
        <v>651</v>
      </c>
      <c r="S333" s="43" t="s">
        <v>85</v>
      </c>
      <c r="T333" s="43" t="s">
        <v>633</v>
      </c>
      <c r="U333" s="43" t="s">
        <v>642</v>
      </c>
      <c r="V333" s="43" t="n">
        <v>10</v>
      </c>
      <c r="W333" s="43" t="n">
        <v>122</v>
      </c>
      <c r="X333" s="43" t="n">
        <v>132</v>
      </c>
      <c r="Y333" s="43" t="s">
        <v>635</v>
      </c>
      <c r="Z333" s="43" t="s">
        <v>636</v>
      </c>
    </row>
    <row r="334" customFormat="false" ht="15" hidden="false" customHeight="false" outlineLevel="0" collapsed="false">
      <c r="A334" s="43" t="n">
        <v>332</v>
      </c>
      <c r="B334" s="43"/>
      <c r="C334" s="43" t="s">
        <v>834</v>
      </c>
      <c r="D334" s="43" t="s">
        <v>834</v>
      </c>
      <c r="E334" s="43" t="s">
        <v>834</v>
      </c>
      <c r="F334" s="43" t="s">
        <v>63</v>
      </c>
      <c r="G334" s="43" t="n">
        <v>2024</v>
      </c>
      <c r="H334" s="44" t="n">
        <v>0</v>
      </c>
      <c r="I334" s="43" t="n">
        <v>2024</v>
      </c>
      <c r="J334" s="43" t="n">
        <v>9</v>
      </c>
      <c r="K334" s="44" t="n">
        <v>7150</v>
      </c>
      <c r="L334" s="43" t="n">
        <v>2024</v>
      </c>
      <c r="M334" s="43" t="n">
        <v>9</v>
      </c>
      <c r="N334" s="44" t="n">
        <v>7150</v>
      </c>
      <c r="O334" s="43" t="n">
        <v>2024</v>
      </c>
      <c r="P334" s="43" t="n">
        <v>9</v>
      </c>
      <c r="Q334" s="44" t="n">
        <v>7150</v>
      </c>
      <c r="R334" s="43"/>
      <c r="S334" s="43" t="s">
        <v>86</v>
      </c>
      <c r="T334" s="43" t="s">
        <v>633</v>
      </c>
      <c r="U334" s="43" t="s">
        <v>647</v>
      </c>
      <c r="V334" s="43" t="n">
        <v>0</v>
      </c>
      <c r="W334" s="43" t="n">
        <v>17</v>
      </c>
      <c r="X334" s="43" t="n">
        <v>17</v>
      </c>
      <c r="Y334" s="43" t="s">
        <v>635</v>
      </c>
      <c r="Z334" s="43" t="s">
        <v>636</v>
      </c>
    </row>
    <row r="335" customFormat="false" ht="15" hidden="false" customHeight="false" outlineLevel="0" collapsed="false">
      <c r="A335" s="43" t="n">
        <v>333</v>
      </c>
      <c r="B335" s="43"/>
      <c r="C335" s="43" t="s">
        <v>834</v>
      </c>
      <c r="D335" s="43" t="s">
        <v>834</v>
      </c>
      <c r="E335" s="43" t="s">
        <v>834</v>
      </c>
      <c r="F335" s="43" t="s">
        <v>63</v>
      </c>
      <c r="G335" s="43" t="n">
        <v>2025</v>
      </c>
      <c r="H335" s="44" t="n">
        <v>0</v>
      </c>
      <c r="I335" s="43"/>
      <c r="J335" s="43"/>
      <c r="K335" s="44" t="n">
        <v>0</v>
      </c>
      <c r="L335" s="43" t="n">
        <v>2025</v>
      </c>
      <c r="M335" s="43" t="n">
        <v>7</v>
      </c>
      <c r="N335" s="44" t="n">
        <v>20000</v>
      </c>
      <c r="O335" s="43" t="n">
        <v>2025</v>
      </c>
      <c r="P335" s="43" t="n">
        <v>8</v>
      </c>
      <c r="Q335" s="44" t="n">
        <v>20000</v>
      </c>
      <c r="R335" s="43"/>
      <c r="S335" s="43" t="s">
        <v>86</v>
      </c>
      <c r="T335" s="43" t="s">
        <v>633</v>
      </c>
      <c r="U335" s="43" t="s">
        <v>647</v>
      </c>
      <c r="V335" s="43"/>
      <c r="W335" s="43" t="n">
        <v>9</v>
      </c>
      <c r="X335" s="43"/>
      <c r="Y335" s="43" t="s">
        <v>635</v>
      </c>
      <c r="Z335" s="43" t="s">
        <v>636</v>
      </c>
    </row>
    <row r="336" customFormat="false" ht="15" hidden="false" customHeight="false" outlineLevel="0" collapsed="false">
      <c r="A336" s="43" t="n">
        <v>334</v>
      </c>
      <c r="B336" s="43" t="s">
        <v>835</v>
      </c>
      <c r="C336" s="43" t="s">
        <v>836</v>
      </c>
      <c r="D336" s="43" t="s">
        <v>836</v>
      </c>
      <c r="E336" s="43" t="s">
        <v>176</v>
      </c>
      <c r="F336" s="43" t="s">
        <v>76</v>
      </c>
      <c r="G336" s="43" t="n">
        <v>2024</v>
      </c>
      <c r="H336" s="44" t="n">
        <v>0</v>
      </c>
      <c r="I336" s="43" t="n">
        <v>2024</v>
      </c>
      <c r="J336" s="43" t="n">
        <v>7</v>
      </c>
      <c r="K336" s="44" t="n">
        <v>76050</v>
      </c>
      <c r="L336" s="43" t="n">
        <v>2024</v>
      </c>
      <c r="M336" s="43" t="n">
        <v>10</v>
      </c>
      <c r="N336" s="44" t="n">
        <v>76050</v>
      </c>
      <c r="O336" s="43" t="n">
        <v>2024</v>
      </c>
      <c r="P336" s="43" t="n">
        <v>10</v>
      </c>
      <c r="Q336" s="44" t="n">
        <v>76050</v>
      </c>
      <c r="R336" s="43" t="s">
        <v>646</v>
      </c>
      <c r="S336" s="43" t="s">
        <v>83</v>
      </c>
      <c r="T336" s="43" t="s">
        <v>641</v>
      </c>
      <c r="U336" s="43" t="s">
        <v>647</v>
      </c>
      <c r="V336" s="43" t="n">
        <v>84</v>
      </c>
      <c r="W336" s="43" t="n">
        <v>0</v>
      </c>
      <c r="X336" s="43" t="n">
        <v>84</v>
      </c>
      <c r="Y336" s="43" t="s">
        <v>635</v>
      </c>
      <c r="Z336" s="43" t="s">
        <v>636</v>
      </c>
    </row>
    <row r="337" customFormat="false" ht="15" hidden="false" customHeight="false" outlineLevel="0" collapsed="false">
      <c r="A337" s="43" t="n">
        <v>335</v>
      </c>
      <c r="B337" s="43" t="s">
        <v>835</v>
      </c>
      <c r="C337" s="43" t="s">
        <v>836</v>
      </c>
      <c r="D337" s="43" t="s">
        <v>836</v>
      </c>
      <c r="E337" s="43" t="s">
        <v>176</v>
      </c>
      <c r="F337" s="43" t="s">
        <v>76</v>
      </c>
      <c r="G337" s="43" t="n">
        <v>2024</v>
      </c>
      <c r="H337" s="44" t="n">
        <v>0</v>
      </c>
      <c r="I337" s="43" t="n">
        <v>2024</v>
      </c>
      <c r="J337" s="43" t="n">
        <v>12</v>
      </c>
      <c r="K337" s="44" t="n">
        <v>76050</v>
      </c>
      <c r="L337" s="43" t="n">
        <v>2024</v>
      </c>
      <c r="M337" s="43" t="n">
        <v>12</v>
      </c>
      <c r="N337" s="44" t="n">
        <v>76050</v>
      </c>
      <c r="O337" s="43" t="n">
        <v>2024</v>
      </c>
      <c r="P337" s="43" t="n">
        <v>12</v>
      </c>
      <c r="Q337" s="44" t="n">
        <v>76050</v>
      </c>
      <c r="R337" s="43" t="s">
        <v>646</v>
      </c>
      <c r="S337" s="43" t="s">
        <v>83</v>
      </c>
      <c r="T337" s="43" t="s">
        <v>641</v>
      </c>
      <c r="U337" s="43" t="s">
        <v>647</v>
      </c>
      <c r="V337" s="43" t="n">
        <v>0</v>
      </c>
      <c r="W337" s="43" t="n">
        <v>1</v>
      </c>
      <c r="X337" s="43" t="n">
        <v>1</v>
      </c>
      <c r="Y337" s="43" t="s">
        <v>635</v>
      </c>
      <c r="Z337" s="43" t="s">
        <v>636</v>
      </c>
    </row>
    <row r="338" customFormat="false" ht="15" hidden="false" customHeight="false" outlineLevel="0" collapsed="false">
      <c r="A338" s="43" t="n">
        <v>336</v>
      </c>
      <c r="B338" s="43" t="s">
        <v>837</v>
      </c>
      <c r="C338" s="43" t="s">
        <v>838</v>
      </c>
      <c r="D338" s="43" t="s">
        <v>838</v>
      </c>
      <c r="E338" s="43" t="s">
        <v>839</v>
      </c>
      <c r="F338" s="43" t="s">
        <v>63</v>
      </c>
      <c r="G338" s="43" t="n">
        <v>2025</v>
      </c>
      <c r="H338" s="44" t="n">
        <v>0</v>
      </c>
      <c r="I338" s="43" t="n">
        <v>2025</v>
      </c>
      <c r="J338" s="43" t="n">
        <v>10</v>
      </c>
      <c r="K338" s="44" t="n">
        <v>52075</v>
      </c>
      <c r="L338" s="43" t="n">
        <v>2025</v>
      </c>
      <c r="M338" s="43" t="n">
        <v>10</v>
      </c>
      <c r="N338" s="44" t="n">
        <v>52075</v>
      </c>
      <c r="O338" s="43" t="n">
        <v>2025</v>
      </c>
      <c r="P338" s="43" t="n">
        <v>12</v>
      </c>
      <c r="Q338" s="44" t="n">
        <v>52075</v>
      </c>
      <c r="R338" s="43" t="s">
        <v>651</v>
      </c>
      <c r="S338" s="43" t="s">
        <v>85</v>
      </c>
      <c r="T338" s="43" t="s">
        <v>633</v>
      </c>
      <c r="U338" s="43" t="s">
        <v>682</v>
      </c>
      <c r="V338" s="43" t="n">
        <v>0</v>
      </c>
      <c r="W338" s="43" t="n">
        <v>57</v>
      </c>
      <c r="X338" s="43" t="n">
        <v>57</v>
      </c>
      <c r="Y338" s="43" t="s">
        <v>635</v>
      </c>
      <c r="Z338" s="43" t="s">
        <v>636</v>
      </c>
    </row>
    <row r="339" customFormat="false" ht="15" hidden="false" customHeight="false" outlineLevel="0" collapsed="false">
      <c r="A339" s="43" t="n">
        <v>337</v>
      </c>
      <c r="B339" s="43" t="s">
        <v>840</v>
      </c>
      <c r="C339" s="43" t="s">
        <v>841</v>
      </c>
      <c r="D339" s="43" t="s">
        <v>841</v>
      </c>
      <c r="E339" s="43" t="s">
        <v>169</v>
      </c>
      <c r="F339" s="43" t="s">
        <v>63</v>
      </c>
      <c r="G339" s="43" t="n">
        <v>2026</v>
      </c>
      <c r="H339" s="44" t="n">
        <v>90000</v>
      </c>
      <c r="I339" s="43" t="n">
        <v>2026</v>
      </c>
      <c r="J339" s="43" t="n">
        <v>3</v>
      </c>
      <c r="K339" s="44" t="n">
        <v>169414</v>
      </c>
      <c r="L339" s="43" t="n">
        <v>2026</v>
      </c>
      <c r="M339" s="43" t="n">
        <v>5</v>
      </c>
      <c r="N339" s="44" t="n">
        <v>169414</v>
      </c>
      <c r="O339" s="43" t="n">
        <v>2026</v>
      </c>
      <c r="P339" s="43" t="n">
        <v>6</v>
      </c>
      <c r="Q339" s="44" t="n">
        <v>0</v>
      </c>
      <c r="R339" s="43" t="s">
        <v>646</v>
      </c>
      <c r="S339" s="43" t="s">
        <v>83</v>
      </c>
      <c r="T339" s="43" t="s">
        <v>641</v>
      </c>
      <c r="U339" s="43" t="s">
        <v>634</v>
      </c>
      <c r="V339" s="43" t="n">
        <v>42</v>
      </c>
      <c r="W339" s="43" t="n">
        <v>30</v>
      </c>
      <c r="X339" s="43" t="n">
        <v>72</v>
      </c>
      <c r="Y339" s="43" t="s">
        <v>635</v>
      </c>
      <c r="Z339" s="43" t="s">
        <v>636</v>
      </c>
    </row>
    <row r="340" customFormat="false" ht="15" hidden="false" customHeight="false" outlineLevel="0" collapsed="false">
      <c r="A340" s="43" t="n">
        <v>338</v>
      </c>
      <c r="B340" s="43" t="s">
        <v>840</v>
      </c>
      <c r="C340" s="43" t="s">
        <v>841</v>
      </c>
      <c r="D340" s="43" t="s">
        <v>841</v>
      </c>
      <c r="E340" s="43" t="s">
        <v>169</v>
      </c>
      <c r="F340" s="43" t="s">
        <v>63</v>
      </c>
      <c r="G340" s="43" t="n">
        <v>2026</v>
      </c>
      <c r="H340" s="44" t="n">
        <v>0</v>
      </c>
      <c r="I340" s="43" t="n">
        <v>2026</v>
      </c>
      <c r="J340" s="43" t="n">
        <v>4</v>
      </c>
      <c r="K340" s="44" t="n">
        <v>70429.5</v>
      </c>
      <c r="L340" s="43" t="n">
        <v>2026</v>
      </c>
      <c r="M340" s="43" t="n">
        <v>5</v>
      </c>
      <c r="N340" s="44" t="n">
        <v>70429.5</v>
      </c>
      <c r="O340" s="43" t="n">
        <v>2026</v>
      </c>
      <c r="P340" s="43" t="n">
        <v>6</v>
      </c>
      <c r="Q340" s="44" t="n">
        <v>0</v>
      </c>
      <c r="R340" s="43" t="s">
        <v>646</v>
      </c>
      <c r="S340" s="43" t="s">
        <v>83</v>
      </c>
      <c r="T340" s="43" t="s">
        <v>641</v>
      </c>
      <c r="U340" s="43" t="s">
        <v>634</v>
      </c>
      <c r="V340" s="43" t="n">
        <v>11</v>
      </c>
      <c r="W340" s="43" t="n">
        <v>30</v>
      </c>
      <c r="X340" s="43" t="n">
        <v>41</v>
      </c>
      <c r="Y340" s="43" t="s">
        <v>635</v>
      </c>
      <c r="Z340" s="43" t="s">
        <v>636</v>
      </c>
    </row>
    <row r="341" customFormat="false" ht="15" hidden="false" customHeight="false" outlineLevel="0" collapsed="false">
      <c r="A341" s="43" t="n">
        <v>339</v>
      </c>
      <c r="B341" s="43" t="s">
        <v>842</v>
      </c>
      <c r="C341" s="43" t="s">
        <v>843</v>
      </c>
      <c r="D341" s="43" t="s">
        <v>843</v>
      </c>
      <c r="E341" s="43" t="s">
        <v>136</v>
      </c>
      <c r="F341" s="43" t="s">
        <v>61</v>
      </c>
      <c r="G341" s="43" t="n">
        <v>2024</v>
      </c>
      <c r="H341" s="44" t="n">
        <v>88024</v>
      </c>
      <c r="I341" s="43" t="n">
        <v>2024</v>
      </c>
      <c r="J341" s="43" t="n">
        <v>4</v>
      </c>
      <c r="K341" s="44" t="n">
        <v>85103</v>
      </c>
      <c r="L341" s="43" t="n">
        <v>2024</v>
      </c>
      <c r="M341" s="43" t="n">
        <v>5</v>
      </c>
      <c r="N341" s="44" t="n">
        <v>85103</v>
      </c>
      <c r="O341" s="43" t="n">
        <v>2024</v>
      </c>
      <c r="P341" s="43" t="n">
        <v>9</v>
      </c>
      <c r="Q341" s="44" t="n">
        <v>82549.91</v>
      </c>
      <c r="R341" s="43" t="s">
        <v>687</v>
      </c>
      <c r="S341" s="43" t="s">
        <v>83</v>
      </c>
      <c r="T341" s="43" t="s">
        <v>641</v>
      </c>
      <c r="U341" s="43" t="s">
        <v>642</v>
      </c>
      <c r="V341" s="43" t="n">
        <v>27</v>
      </c>
      <c r="W341" s="43" t="n">
        <v>135</v>
      </c>
      <c r="X341" s="43" t="n">
        <v>162</v>
      </c>
      <c r="Y341" s="43" t="s">
        <v>635</v>
      </c>
      <c r="Z341" s="43" t="s">
        <v>636</v>
      </c>
    </row>
    <row r="342" customFormat="false" ht="15" hidden="false" customHeight="false" outlineLevel="0" collapsed="false">
      <c r="A342" s="43" t="n">
        <v>340</v>
      </c>
      <c r="B342" s="43" t="s">
        <v>842</v>
      </c>
      <c r="C342" s="43" t="s">
        <v>843</v>
      </c>
      <c r="D342" s="43" t="s">
        <v>843</v>
      </c>
      <c r="E342" s="43" t="s">
        <v>136</v>
      </c>
      <c r="F342" s="43" t="s">
        <v>61</v>
      </c>
      <c r="G342" s="43" t="n">
        <v>2024</v>
      </c>
      <c r="H342" s="44" t="n">
        <v>0</v>
      </c>
      <c r="I342" s="43" t="n">
        <v>2024</v>
      </c>
      <c r="J342" s="43" t="n">
        <v>5</v>
      </c>
      <c r="K342" s="44" t="n">
        <v>70709</v>
      </c>
      <c r="L342" s="43" t="n">
        <v>2024</v>
      </c>
      <c r="M342" s="43" t="n">
        <v>5</v>
      </c>
      <c r="N342" s="44" t="n">
        <v>70709</v>
      </c>
      <c r="O342" s="43" t="n">
        <v>2024</v>
      </c>
      <c r="P342" s="43" t="n">
        <v>9</v>
      </c>
      <c r="Q342" s="44" t="n">
        <v>70709.97</v>
      </c>
      <c r="R342" s="43" t="s">
        <v>687</v>
      </c>
      <c r="S342" s="43" t="s">
        <v>83</v>
      </c>
      <c r="T342" s="43" t="s">
        <v>641</v>
      </c>
      <c r="U342" s="43" t="s">
        <v>642</v>
      </c>
      <c r="V342" s="43" t="n">
        <v>11</v>
      </c>
      <c r="W342" s="43" t="n">
        <v>121</v>
      </c>
      <c r="X342" s="43" t="n">
        <v>132</v>
      </c>
      <c r="Y342" s="43" t="s">
        <v>635</v>
      </c>
      <c r="Z342" s="43" t="s">
        <v>636</v>
      </c>
    </row>
    <row r="343" customFormat="false" ht="15" hidden="false" customHeight="false" outlineLevel="0" collapsed="false">
      <c r="A343" s="43" t="n">
        <v>341</v>
      </c>
      <c r="B343" s="43" t="s">
        <v>842</v>
      </c>
      <c r="C343" s="43" t="s">
        <v>843</v>
      </c>
      <c r="D343" s="43" t="s">
        <v>843</v>
      </c>
      <c r="E343" s="43" t="s">
        <v>136</v>
      </c>
      <c r="F343" s="43" t="s">
        <v>61</v>
      </c>
      <c r="G343" s="43" t="n">
        <v>2024</v>
      </c>
      <c r="H343" s="44" t="n">
        <v>0</v>
      </c>
      <c r="I343" s="43" t="n">
        <v>2024</v>
      </c>
      <c r="J343" s="43" t="n">
        <v>7</v>
      </c>
      <c r="K343" s="44" t="n">
        <v>42188</v>
      </c>
      <c r="L343" s="43" t="n">
        <v>2024</v>
      </c>
      <c r="M343" s="43" t="n">
        <v>8</v>
      </c>
      <c r="N343" s="44" t="n">
        <v>40869</v>
      </c>
      <c r="O343" s="43" t="n">
        <v>2024</v>
      </c>
      <c r="P343" s="43" t="n">
        <v>10</v>
      </c>
      <c r="Q343" s="44" t="n">
        <v>40036</v>
      </c>
      <c r="R343" s="43" t="s">
        <v>687</v>
      </c>
      <c r="S343" s="43" t="s">
        <v>83</v>
      </c>
      <c r="T343" s="43" t="s">
        <v>641</v>
      </c>
      <c r="U343" s="43" t="s">
        <v>642</v>
      </c>
      <c r="V343" s="43" t="n">
        <v>26</v>
      </c>
      <c r="W343" s="43" t="n">
        <v>59</v>
      </c>
      <c r="X343" s="43" t="n">
        <v>85</v>
      </c>
      <c r="Y343" s="43" t="s">
        <v>635</v>
      </c>
      <c r="Z343" s="43" t="s">
        <v>636</v>
      </c>
    </row>
    <row r="344" customFormat="false" ht="15" hidden="false" customHeight="false" outlineLevel="0" collapsed="false">
      <c r="A344" s="43" t="n">
        <v>342</v>
      </c>
      <c r="B344" s="43" t="s">
        <v>844</v>
      </c>
      <c r="C344" s="43" t="s">
        <v>296</v>
      </c>
      <c r="D344" s="43" t="s">
        <v>296</v>
      </c>
      <c r="E344" s="43" t="s">
        <v>136</v>
      </c>
      <c r="F344" s="43" t="s">
        <v>48</v>
      </c>
      <c r="G344" s="43" t="n">
        <v>2025</v>
      </c>
      <c r="H344" s="44" t="n">
        <v>0</v>
      </c>
      <c r="I344" s="43" t="n">
        <v>2025</v>
      </c>
      <c r="J344" s="43" t="n">
        <v>11</v>
      </c>
      <c r="K344" s="44" t="n">
        <v>87783</v>
      </c>
      <c r="L344" s="43" t="n">
        <v>2025</v>
      </c>
      <c r="M344" s="43" t="n">
        <v>11</v>
      </c>
      <c r="N344" s="44" t="n">
        <v>87783</v>
      </c>
      <c r="O344" s="43" t="n">
        <v>2026</v>
      </c>
      <c r="P344" s="43" t="n">
        <v>1</v>
      </c>
      <c r="Q344" s="44" t="n">
        <v>87783</v>
      </c>
      <c r="R344" s="43" t="s">
        <v>651</v>
      </c>
      <c r="S344" s="43" t="s">
        <v>85</v>
      </c>
      <c r="T344" s="43" t="s">
        <v>633</v>
      </c>
      <c r="U344" s="43" t="s">
        <v>634</v>
      </c>
      <c r="V344" s="43" t="n">
        <v>2</v>
      </c>
      <c r="W344" s="43" t="n">
        <v>52</v>
      </c>
      <c r="X344" s="43" t="n">
        <v>54</v>
      </c>
      <c r="Y344" s="43" t="s">
        <v>635</v>
      </c>
      <c r="Z344" s="43" t="s">
        <v>636</v>
      </c>
    </row>
    <row r="345" customFormat="false" ht="15" hidden="false" customHeight="false" outlineLevel="0" collapsed="false">
      <c r="A345" s="43" t="n">
        <v>343</v>
      </c>
      <c r="B345" s="43" t="s">
        <v>844</v>
      </c>
      <c r="C345" s="43" t="s">
        <v>296</v>
      </c>
      <c r="D345" s="43" t="s">
        <v>296</v>
      </c>
      <c r="E345" s="43" t="s">
        <v>136</v>
      </c>
      <c r="F345" s="43" t="s">
        <v>48</v>
      </c>
      <c r="G345" s="43" t="n">
        <v>2025</v>
      </c>
      <c r="H345" s="44" t="n">
        <v>0</v>
      </c>
      <c r="I345" s="43" t="n">
        <v>2025</v>
      </c>
      <c r="J345" s="43" t="n">
        <v>12</v>
      </c>
      <c r="K345" s="44" t="n">
        <v>110857</v>
      </c>
      <c r="L345" s="43" t="n">
        <v>2025</v>
      </c>
      <c r="M345" s="43" t="n">
        <v>12</v>
      </c>
      <c r="N345" s="44" t="n">
        <v>110857</v>
      </c>
      <c r="O345" s="43" t="n">
        <v>2026</v>
      </c>
      <c r="P345" s="43" t="n">
        <v>1</v>
      </c>
      <c r="Q345" s="44" t="n">
        <v>110857</v>
      </c>
      <c r="R345" s="43" t="s">
        <v>651</v>
      </c>
      <c r="S345" s="43" t="s">
        <v>85</v>
      </c>
      <c r="T345" s="43" t="s">
        <v>633</v>
      </c>
      <c r="U345" s="43" t="s">
        <v>634</v>
      </c>
      <c r="V345" s="43" t="n">
        <v>0</v>
      </c>
      <c r="W345" s="43" t="n">
        <v>37</v>
      </c>
      <c r="X345" s="43" t="n">
        <v>37</v>
      </c>
      <c r="Y345" s="43" t="s">
        <v>635</v>
      </c>
      <c r="Z345" s="43" t="s">
        <v>636</v>
      </c>
    </row>
    <row r="346" customFormat="false" ht="15" hidden="false" customHeight="false" outlineLevel="0" collapsed="false">
      <c r="A346" s="43" t="n">
        <v>344</v>
      </c>
      <c r="B346" s="43" t="s">
        <v>845</v>
      </c>
      <c r="C346" s="43" t="s">
        <v>846</v>
      </c>
      <c r="D346" s="43" t="s">
        <v>846</v>
      </c>
      <c r="E346" s="43" t="s">
        <v>131</v>
      </c>
      <c r="F346" s="43" t="s">
        <v>48</v>
      </c>
      <c r="G346" s="43" t="n">
        <v>2024</v>
      </c>
      <c r="H346" s="44" t="n">
        <v>0</v>
      </c>
      <c r="I346" s="43" t="n">
        <v>2024</v>
      </c>
      <c r="J346" s="43" t="n">
        <v>8</v>
      </c>
      <c r="K346" s="44" t="n">
        <v>12000</v>
      </c>
      <c r="L346" s="43" t="n">
        <v>2024</v>
      </c>
      <c r="M346" s="43" t="n">
        <v>9</v>
      </c>
      <c r="N346" s="44" t="n">
        <v>12000</v>
      </c>
      <c r="O346" s="43" t="n">
        <v>2024</v>
      </c>
      <c r="P346" s="43" t="n">
        <v>10</v>
      </c>
      <c r="Q346" s="44" t="n">
        <v>12000</v>
      </c>
      <c r="R346" s="43" t="s">
        <v>651</v>
      </c>
      <c r="S346" s="43" t="s">
        <v>85</v>
      </c>
      <c r="T346" s="43" t="s">
        <v>633</v>
      </c>
      <c r="U346" s="43" t="s">
        <v>642</v>
      </c>
      <c r="V346" s="43" t="n">
        <v>20</v>
      </c>
      <c r="W346" s="43" t="n">
        <v>29</v>
      </c>
      <c r="X346" s="43" t="n">
        <v>49</v>
      </c>
      <c r="Y346" s="43" t="s">
        <v>635</v>
      </c>
      <c r="Z346" s="43" t="s">
        <v>636</v>
      </c>
    </row>
    <row r="347" customFormat="false" ht="15" hidden="false" customHeight="false" outlineLevel="0" collapsed="false">
      <c r="A347" s="43" t="n">
        <v>345</v>
      </c>
      <c r="B347" s="43" t="s">
        <v>847</v>
      </c>
      <c r="C347" s="43" t="s">
        <v>848</v>
      </c>
      <c r="D347" s="43" t="s">
        <v>848</v>
      </c>
      <c r="E347" s="43" t="s">
        <v>136</v>
      </c>
      <c r="F347" s="43" t="s">
        <v>48</v>
      </c>
      <c r="G347" s="43" t="n">
        <v>2026</v>
      </c>
      <c r="H347" s="44" t="n">
        <v>50000</v>
      </c>
      <c r="I347" s="43" t="n">
        <v>2026</v>
      </c>
      <c r="J347" s="43" t="n">
        <v>3</v>
      </c>
      <c r="K347" s="44" t="n">
        <v>56120</v>
      </c>
      <c r="L347" s="43" t="n">
        <v>2026</v>
      </c>
      <c r="M347" s="43" t="n">
        <v>6</v>
      </c>
      <c r="N347" s="44" t="n">
        <v>76190</v>
      </c>
      <c r="O347" s="43" t="n">
        <v>2026</v>
      </c>
      <c r="P347" s="43" t="n">
        <v>7</v>
      </c>
      <c r="Q347" s="44" t="n">
        <v>0</v>
      </c>
      <c r="R347" s="43" t="s">
        <v>651</v>
      </c>
      <c r="S347" s="43" t="s">
        <v>85</v>
      </c>
      <c r="T347" s="43" t="s">
        <v>633</v>
      </c>
      <c r="U347" s="43" t="s">
        <v>784</v>
      </c>
      <c r="V347" s="43" t="n">
        <v>66</v>
      </c>
      <c r="W347" s="43" t="n">
        <v>30</v>
      </c>
      <c r="X347" s="43" t="n">
        <v>96</v>
      </c>
      <c r="Y347" s="43" t="s">
        <v>635</v>
      </c>
      <c r="Z347" s="43" t="s">
        <v>636</v>
      </c>
    </row>
    <row r="348" customFormat="false" ht="15" hidden="false" customHeight="false" outlineLevel="0" collapsed="false">
      <c r="A348" s="43" t="n">
        <v>346</v>
      </c>
      <c r="B348" s="43" t="s">
        <v>847</v>
      </c>
      <c r="C348" s="43" t="s">
        <v>848</v>
      </c>
      <c r="D348" s="43" t="s">
        <v>848</v>
      </c>
      <c r="E348" s="43" t="s">
        <v>136</v>
      </c>
      <c r="F348" s="43" t="s">
        <v>48</v>
      </c>
      <c r="G348" s="43" t="n">
        <v>2026</v>
      </c>
      <c r="H348" s="44" t="n">
        <v>0</v>
      </c>
      <c r="I348" s="43" t="n">
        <v>2026</v>
      </c>
      <c r="J348" s="43" t="n">
        <v>4</v>
      </c>
      <c r="K348" s="44" t="n">
        <v>24080</v>
      </c>
      <c r="L348" s="43" t="n">
        <v>2026</v>
      </c>
      <c r="M348" s="43" t="n">
        <v>6</v>
      </c>
      <c r="N348" s="44" t="n">
        <v>0</v>
      </c>
      <c r="O348" s="43" t="n">
        <v>2026</v>
      </c>
      <c r="P348" s="43" t="n">
        <v>7</v>
      </c>
      <c r="Q348" s="44" t="n">
        <v>0</v>
      </c>
      <c r="R348" s="43" t="s">
        <v>651</v>
      </c>
      <c r="S348" s="43" t="s">
        <v>85</v>
      </c>
      <c r="T348" s="43" t="s">
        <v>633</v>
      </c>
      <c r="U348" s="43" t="s">
        <v>784</v>
      </c>
      <c r="V348" s="43" t="n">
        <v>35</v>
      </c>
      <c r="W348" s="43" t="n">
        <v>30</v>
      </c>
      <c r="X348" s="43" t="n">
        <v>65</v>
      </c>
      <c r="Y348" s="43" t="s">
        <v>635</v>
      </c>
      <c r="Z348" s="43" t="s">
        <v>636</v>
      </c>
    </row>
    <row r="349" customFormat="false" ht="15" hidden="false" customHeight="false" outlineLevel="0" collapsed="false">
      <c r="A349" s="43" t="n">
        <v>347</v>
      </c>
      <c r="B349" s="43" t="s">
        <v>849</v>
      </c>
      <c r="C349" s="43" t="s">
        <v>850</v>
      </c>
      <c r="D349" s="43" t="s">
        <v>850</v>
      </c>
      <c r="E349" s="43" t="s">
        <v>851</v>
      </c>
      <c r="F349" s="43" t="s">
        <v>63</v>
      </c>
      <c r="G349" s="43" t="n">
        <v>2026</v>
      </c>
      <c r="H349" s="44" t="n">
        <v>28500</v>
      </c>
      <c r="I349" s="43" t="n">
        <v>2026</v>
      </c>
      <c r="J349" s="43" t="n">
        <v>3</v>
      </c>
      <c r="K349" s="44" t="n">
        <v>27609</v>
      </c>
      <c r="L349" s="43" t="n">
        <v>2026</v>
      </c>
      <c r="M349" s="43" t="n">
        <v>4</v>
      </c>
      <c r="N349" s="44" t="n">
        <v>27609</v>
      </c>
      <c r="O349" s="43" t="n">
        <v>2026</v>
      </c>
      <c r="P349" s="43" t="n">
        <v>5</v>
      </c>
      <c r="Q349" s="44" t="n">
        <v>27609</v>
      </c>
      <c r="R349" s="43" t="s">
        <v>651</v>
      </c>
      <c r="S349" s="43" t="s">
        <v>85</v>
      </c>
      <c r="T349" s="43" t="s">
        <v>633</v>
      </c>
      <c r="U349" s="43" t="s">
        <v>669</v>
      </c>
      <c r="V349" s="43" t="n">
        <v>8</v>
      </c>
      <c r="W349" s="43" t="n">
        <v>31</v>
      </c>
      <c r="X349" s="43" t="n">
        <v>39</v>
      </c>
      <c r="Y349" s="43" t="s">
        <v>635</v>
      </c>
      <c r="Z349" s="43" t="s">
        <v>636</v>
      </c>
    </row>
    <row r="350" customFormat="false" ht="15" hidden="false" customHeight="false" outlineLevel="0" collapsed="false">
      <c r="A350" s="43" t="n">
        <v>348</v>
      </c>
      <c r="B350" s="43" t="s">
        <v>849</v>
      </c>
      <c r="C350" s="43" t="s">
        <v>850</v>
      </c>
      <c r="D350" s="43" t="s">
        <v>850</v>
      </c>
      <c r="E350" s="43" t="s">
        <v>851</v>
      </c>
      <c r="F350" s="43" t="s">
        <v>63</v>
      </c>
      <c r="G350" s="43" t="n">
        <v>2026</v>
      </c>
      <c r="H350" s="44" t="n">
        <v>0</v>
      </c>
      <c r="I350" s="43" t="n">
        <v>2026</v>
      </c>
      <c r="J350" s="43" t="n">
        <v>4</v>
      </c>
      <c r="K350" s="44" t="n">
        <v>5180</v>
      </c>
      <c r="L350" s="43" t="n">
        <v>2026</v>
      </c>
      <c r="M350" s="43" t="n">
        <v>5</v>
      </c>
      <c r="N350" s="44" t="n">
        <v>5180</v>
      </c>
      <c r="O350" s="43" t="n">
        <v>2026</v>
      </c>
      <c r="P350" s="43" t="n">
        <v>6</v>
      </c>
      <c r="Q350" s="44" t="n">
        <v>0</v>
      </c>
      <c r="R350" s="43" t="s">
        <v>651</v>
      </c>
      <c r="S350" s="43" t="s">
        <v>85</v>
      </c>
      <c r="T350" s="43" t="s">
        <v>633</v>
      </c>
      <c r="U350" s="43" t="s">
        <v>669</v>
      </c>
      <c r="V350" s="43" t="n">
        <v>5</v>
      </c>
      <c r="W350" s="43" t="n">
        <v>31</v>
      </c>
      <c r="X350" s="43" t="n">
        <v>36</v>
      </c>
      <c r="Y350" s="43" t="s">
        <v>635</v>
      </c>
      <c r="Z350" s="43" t="s">
        <v>636</v>
      </c>
    </row>
    <row r="351" customFormat="false" ht="15" hidden="false" customHeight="false" outlineLevel="0" collapsed="false">
      <c r="A351" s="43" t="n">
        <v>349</v>
      </c>
      <c r="B351" s="43" t="s">
        <v>852</v>
      </c>
      <c r="C351" s="43" t="s">
        <v>853</v>
      </c>
      <c r="D351" s="43" t="s">
        <v>853</v>
      </c>
      <c r="E351" s="43" t="s">
        <v>854</v>
      </c>
      <c r="F351" s="43" t="s">
        <v>61</v>
      </c>
      <c r="G351" s="43" t="n">
        <v>2026</v>
      </c>
      <c r="H351" s="44" t="n">
        <v>0</v>
      </c>
      <c r="I351" s="43" t="n">
        <v>2026</v>
      </c>
      <c r="J351" s="43" t="n">
        <v>5</v>
      </c>
      <c r="K351" s="44" t="n">
        <v>14939</v>
      </c>
      <c r="L351" s="43"/>
      <c r="M351" s="43"/>
      <c r="N351" s="44" t="n">
        <v>0</v>
      </c>
      <c r="O351" s="43"/>
      <c r="P351" s="43"/>
      <c r="Q351" s="44" t="n">
        <v>0</v>
      </c>
      <c r="R351" s="43" t="s">
        <v>651</v>
      </c>
      <c r="S351" s="43" t="s">
        <v>85</v>
      </c>
      <c r="T351" s="43" t="s">
        <v>633</v>
      </c>
      <c r="U351" s="43" t="s">
        <v>660</v>
      </c>
      <c r="V351" s="43"/>
      <c r="W351" s="43"/>
      <c r="X351" s="43"/>
      <c r="Y351" s="43" t="s">
        <v>635</v>
      </c>
      <c r="Z351" s="43" t="s">
        <v>636</v>
      </c>
    </row>
    <row r="352" customFormat="false" ht="15" hidden="false" customHeight="false" outlineLevel="0" collapsed="false">
      <c r="A352" s="43" t="n">
        <v>350</v>
      </c>
      <c r="B352" s="43" t="s">
        <v>855</v>
      </c>
      <c r="C352" s="43" t="s">
        <v>856</v>
      </c>
      <c r="D352" s="43" t="s">
        <v>856</v>
      </c>
      <c r="E352" s="43" t="s">
        <v>857</v>
      </c>
      <c r="F352" s="43" t="s">
        <v>61</v>
      </c>
      <c r="G352" s="43" t="n">
        <v>2026</v>
      </c>
      <c r="H352" s="44" t="n">
        <v>0</v>
      </c>
      <c r="I352" s="43" t="n">
        <v>2026</v>
      </c>
      <c r="J352" s="43" t="n">
        <v>1</v>
      </c>
      <c r="K352" s="44" t="n">
        <v>20200</v>
      </c>
      <c r="L352" s="43" t="n">
        <v>2026</v>
      </c>
      <c r="M352" s="43" t="n">
        <v>4</v>
      </c>
      <c r="N352" s="44" t="n">
        <v>20200</v>
      </c>
      <c r="O352" s="43" t="n">
        <v>2026</v>
      </c>
      <c r="P352" s="43" t="n">
        <v>4</v>
      </c>
      <c r="Q352" s="44" t="n">
        <v>20200</v>
      </c>
      <c r="R352" s="43" t="s">
        <v>646</v>
      </c>
      <c r="S352" s="43" t="s">
        <v>83</v>
      </c>
      <c r="T352" s="43" t="s">
        <v>641</v>
      </c>
      <c r="U352" s="43" t="s">
        <v>669</v>
      </c>
      <c r="V352" s="43" t="n">
        <v>74</v>
      </c>
      <c r="W352" s="43" t="n">
        <v>2</v>
      </c>
      <c r="X352" s="43" t="n">
        <v>76</v>
      </c>
      <c r="Y352" s="43" t="s">
        <v>635</v>
      </c>
      <c r="Z352" s="43" t="s">
        <v>636</v>
      </c>
    </row>
    <row r="353" customFormat="false" ht="15" hidden="false" customHeight="false" outlineLevel="0" collapsed="false">
      <c r="A353" s="43" t="n">
        <v>351</v>
      </c>
      <c r="B353" s="43" t="s">
        <v>855</v>
      </c>
      <c r="C353" s="43" t="s">
        <v>856</v>
      </c>
      <c r="D353" s="43" t="s">
        <v>856</v>
      </c>
      <c r="E353" s="43" t="s">
        <v>857</v>
      </c>
      <c r="F353" s="43" t="s">
        <v>61</v>
      </c>
      <c r="G353" s="43" t="n">
        <v>2026</v>
      </c>
      <c r="H353" s="44" t="n">
        <v>40594</v>
      </c>
      <c r="I353" s="43" t="n">
        <v>2026</v>
      </c>
      <c r="J353" s="43" t="n">
        <v>2</v>
      </c>
      <c r="K353" s="44" t="n">
        <v>40415</v>
      </c>
      <c r="L353" s="43" t="n">
        <v>2026</v>
      </c>
      <c r="M353" s="43" t="n">
        <v>4</v>
      </c>
      <c r="N353" s="44" t="n">
        <v>40415</v>
      </c>
      <c r="O353" s="43" t="n">
        <v>2026</v>
      </c>
      <c r="P353" s="43" t="n">
        <v>5</v>
      </c>
      <c r="Q353" s="44" t="n">
        <v>40415</v>
      </c>
      <c r="R353" s="43" t="s">
        <v>646</v>
      </c>
      <c r="S353" s="43" t="s">
        <v>83</v>
      </c>
      <c r="T353" s="43" t="s">
        <v>641</v>
      </c>
      <c r="U353" s="43" t="s">
        <v>669</v>
      </c>
      <c r="V353" s="43" t="n">
        <v>54</v>
      </c>
      <c r="W353" s="43" t="n">
        <v>31</v>
      </c>
      <c r="X353" s="43" t="n">
        <v>85</v>
      </c>
      <c r="Y353" s="43" t="s">
        <v>635</v>
      </c>
      <c r="Z353" s="43" t="s">
        <v>636</v>
      </c>
    </row>
    <row r="354" customFormat="false" ht="15" hidden="false" customHeight="false" outlineLevel="0" collapsed="false">
      <c r="A354" s="43" t="n">
        <v>352</v>
      </c>
      <c r="B354" s="43" t="s">
        <v>855</v>
      </c>
      <c r="C354" s="43" t="s">
        <v>856</v>
      </c>
      <c r="D354" s="43" t="s">
        <v>856</v>
      </c>
      <c r="E354" s="43" t="s">
        <v>857</v>
      </c>
      <c r="F354" s="43" t="s">
        <v>61</v>
      </c>
      <c r="G354" s="43" t="n">
        <v>2026</v>
      </c>
      <c r="H354" s="44" t="n">
        <v>32185</v>
      </c>
      <c r="I354" s="43" t="n">
        <v>2026</v>
      </c>
      <c r="J354" s="43" t="n">
        <v>3</v>
      </c>
      <c r="K354" s="44" t="n">
        <v>20091</v>
      </c>
      <c r="L354" s="43"/>
      <c r="M354" s="43"/>
      <c r="N354" s="44" t="n">
        <v>0</v>
      </c>
      <c r="O354" s="43"/>
      <c r="P354" s="43"/>
      <c r="Q354" s="44" t="n">
        <v>0</v>
      </c>
      <c r="R354" s="43" t="s">
        <v>646</v>
      </c>
      <c r="S354" s="43" t="s">
        <v>83</v>
      </c>
      <c r="T354" s="43" t="s">
        <v>641</v>
      </c>
      <c r="U354" s="43" t="s">
        <v>669</v>
      </c>
      <c r="V354" s="43"/>
      <c r="W354" s="43"/>
      <c r="X354" s="43"/>
      <c r="Y354" s="43" t="s">
        <v>635</v>
      </c>
      <c r="Z354" s="43" t="s">
        <v>636</v>
      </c>
    </row>
    <row r="355" customFormat="false" ht="15" hidden="false" customHeight="false" outlineLevel="0" collapsed="false">
      <c r="A355" s="43" t="n">
        <v>353</v>
      </c>
      <c r="B355" s="43" t="s">
        <v>855</v>
      </c>
      <c r="C355" s="43" t="s">
        <v>856</v>
      </c>
      <c r="D355" s="43" t="s">
        <v>856</v>
      </c>
      <c r="E355" s="43" t="s">
        <v>857</v>
      </c>
      <c r="F355" s="43" t="s">
        <v>61</v>
      </c>
      <c r="G355" s="43" t="n">
        <v>2026</v>
      </c>
      <c r="H355" s="44" t="n">
        <v>0</v>
      </c>
      <c r="I355" s="43" t="n">
        <v>2026</v>
      </c>
      <c r="J355" s="43" t="n">
        <v>4</v>
      </c>
      <c r="K355" s="44" t="n">
        <v>12094</v>
      </c>
      <c r="L355" s="43"/>
      <c r="M355" s="43"/>
      <c r="N355" s="44" t="n">
        <v>0</v>
      </c>
      <c r="O355" s="43"/>
      <c r="P355" s="43"/>
      <c r="Q355" s="44" t="n">
        <v>0</v>
      </c>
      <c r="R355" s="43" t="s">
        <v>646</v>
      </c>
      <c r="S355" s="43" t="s">
        <v>83</v>
      </c>
      <c r="T355" s="43" t="s">
        <v>641</v>
      </c>
      <c r="U355" s="43" t="s">
        <v>669</v>
      </c>
      <c r="V355" s="43"/>
      <c r="W355" s="43"/>
      <c r="X355" s="43"/>
      <c r="Y355" s="43" t="s">
        <v>635</v>
      </c>
      <c r="Z355" s="43" t="s">
        <v>636</v>
      </c>
    </row>
    <row r="356" customFormat="false" ht="15" hidden="false" customHeight="false" outlineLevel="0" collapsed="false">
      <c r="A356" s="43" t="n">
        <v>354</v>
      </c>
      <c r="B356" s="43" t="s">
        <v>858</v>
      </c>
      <c r="C356" s="43" t="s">
        <v>859</v>
      </c>
      <c r="D356" s="43" t="s">
        <v>859</v>
      </c>
      <c r="E356" s="43" t="s">
        <v>857</v>
      </c>
      <c r="F356" s="43" t="s">
        <v>61</v>
      </c>
      <c r="G356" s="43" t="n">
        <v>2026</v>
      </c>
      <c r="H356" s="44" t="n">
        <v>0</v>
      </c>
      <c r="I356" s="43" t="n">
        <v>2026</v>
      </c>
      <c r="J356" s="43" t="n">
        <v>3</v>
      </c>
      <c r="K356" s="44" t="n">
        <v>15900</v>
      </c>
      <c r="L356" s="43" t="n">
        <v>2026</v>
      </c>
      <c r="M356" s="43" t="n">
        <v>4</v>
      </c>
      <c r="N356" s="44" t="n">
        <v>15900</v>
      </c>
      <c r="O356" s="43" t="n">
        <v>2026</v>
      </c>
      <c r="P356" s="43" t="n">
        <v>4</v>
      </c>
      <c r="Q356" s="44" t="n">
        <v>15900</v>
      </c>
      <c r="R356" s="43" t="s">
        <v>651</v>
      </c>
      <c r="S356" s="43" t="s">
        <v>85</v>
      </c>
      <c r="T356" s="43" t="s">
        <v>633</v>
      </c>
      <c r="U356" s="43" t="s">
        <v>642</v>
      </c>
      <c r="V356" s="43" t="n">
        <v>10</v>
      </c>
      <c r="W356" s="43" t="n">
        <v>18</v>
      </c>
      <c r="X356" s="43" t="n">
        <v>28</v>
      </c>
      <c r="Y356" s="43" t="s">
        <v>635</v>
      </c>
      <c r="Z356" s="43" t="s">
        <v>636</v>
      </c>
    </row>
    <row r="357" customFormat="false" ht="15" hidden="false" customHeight="false" outlineLevel="0" collapsed="false">
      <c r="A357" s="43" t="n">
        <v>355</v>
      </c>
      <c r="B357" s="43" t="s">
        <v>860</v>
      </c>
      <c r="C357" s="43" t="s">
        <v>861</v>
      </c>
      <c r="D357" s="43" t="s">
        <v>861</v>
      </c>
      <c r="E357" s="43" t="s">
        <v>862</v>
      </c>
      <c r="F357" s="43" t="s">
        <v>61</v>
      </c>
      <c r="G357" s="43" t="n">
        <v>2025</v>
      </c>
      <c r="H357" s="44" t="n">
        <v>0</v>
      </c>
      <c r="I357" s="43" t="n">
        <v>2025</v>
      </c>
      <c r="J357" s="43" t="n">
        <v>5</v>
      </c>
      <c r="K357" s="44" t="n">
        <v>36720</v>
      </c>
      <c r="L357" s="43" t="n">
        <v>2025</v>
      </c>
      <c r="M357" s="43" t="n">
        <v>6</v>
      </c>
      <c r="N357" s="44" t="n">
        <v>36720</v>
      </c>
      <c r="O357" s="43" t="n">
        <v>2025</v>
      </c>
      <c r="P357" s="43" t="n">
        <v>8</v>
      </c>
      <c r="Q357" s="44" t="n">
        <v>36720</v>
      </c>
      <c r="R357" s="43" t="s">
        <v>646</v>
      </c>
      <c r="S357" s="43" t="s">
        <v>83</v>
      </c>
      <c r="T357" s="43" t="s">
        <v>641</v>
      </c>
      <c r="U357" s="43" t="s">
        <v>660</v>
      </c>
      <c r="V357" s="43" t="n">
        <v>16</v>
      </c>
      <c r="W357" s="43" t="n">
        <v>57</v>
      </c>
      <c r="X357" s="43" t="n">
        <v>73</v>
      </c>
      <c r="Y357" s="43" t="s">
        <v>635</v>
      </c>
      <c r="Z357" s="43" t="s">
        <v>636</v>
      </c>
    </row>
    <row r="358" customFormat="false" ht="15" hidden="false" customHeight="false" outlineLevel="0" collapsed="false">
      <c r="A358" s="43" t="n">
        <v>356</v>
      </c>
      <c r="B358" s="43" t="s">
        <v>863</v>
      </c>
      <c r="C358" s="43" t="s">
        <v>864</v>
      </c>
      <c r="D358" s="43" t="s">
        <v>864</v>
      </c>
      <c r="E358" s="43" t="s">
        <v>862</v>
      </c>
      <c r="F358" s="43" t="s">
        <v>61</v>
      </c>
      <c r="G358" s="43" t="n">
        <v>2026</v>
      </c>
      <c r="H358" s="44" t="n">
        <v>0</v>
      </c>
      <c r="I358" s="43" t="n">
        <v>2026</v>
      </c>
      <c r="J358" s="43" t="n">
        <v>4</v>
      </c>
      <c r="K358" s="44" t="n">
        <v>18420</v>
      </c>
      <c r="L358" s="43" t="n">
        <v>2026</v>
      </c>
      <c r="M358" s="43" t="n">
        <v>5</v>
      </c>
      <c r="N358" s="44" t="n">
        <v>18420</v>
      </c>
      <c r="O358" s="43" t="n">
        <v>2026</v>
      </c>
      <c r="P358" s="43" t="n">
        <v>6</v>
      </c>
      <c r="Q358" s="44" t="n">
        <v>0</v>
      </c>
      <c r="R358" s="43" t="s">
        <v>646</v>
      </c>
      <c r="S358" s="43" t="s">
        <v>83</v>
      </c>
      <c r="T358" s="43" t="s">
        <v>641</v>
      </c>
      <c r="U358" s="43" t="s">
        <v>660</v>
      </c>
      <c r="V358" s="43" t="n">
        <v>25</v>
      </c>
      <c r="W358" s="43" t="n">
        <v>30</v>
      </c>
      <c r="X358" s="43" t="n">
        <v>55</v>
      </c>
      <c r="Y358" s="43" t="s">
        <v>635</v>
      </c>
      <c r="Z358" s="43" t="s">
        <v>636</v>
      </c>
    </row>
    <row r="359" customFormat="false" ht="15" hidden="false" customHeight="false" outlineLevel="0" collapsed="false">
      <c r="A359" s="43" t="n">
        <v>357</v>
      </c>
      <c r="B359" s="43" t="s">
        <v>865</v>
      </c>
      <c r="C359" s="43" t="s">
        <v>866</v>
      </c>
      <c r="D359" s="43" t="s">
        <v>867</v>
      </c>
      <c r="E359" s="43" t="s">
        <v>147</v>
      </c>
      <c r="F359" s="43" t="s">
        <v>61</v>
      </c>
      <c r="G359" s="43" t="n">
        <v>2023</v>
      </c>
      <c r="H359" s="44" t="n">
        <v>0</v>
      </c>
      <c r="I359" s="43" t="n">
        <v>2023</v>
      </c>
      <c r="J359" s="43" t="n">
        <v>2</v>
      </c>
      <c r="K359" s="44" t="n">
        <v>18991</v>
      </c>
      <c r="L359" s="43" t="n">
        <v>2023</v>
      </c>
      <c r="M359" s="43" t="n">
        <v>2</v>
      </c>
      <c r="N359" s="44" t="n">
        <v>18991</v>
      </c>
      <c r="O359" s="43" t="n">
        <v>2023</v>
      </c>
      <c r="P359" s="43" t="n">
        <v>3</v>
      </c>
      <c r="Q359" s="44" t="n">
        <v>18991</v>
      </c>
      <c r="R359" s="43" t="s">
        <v>651</v>
      </c>
      <c r="S359" s="43" t="s">
        <v>85</v>
      </c>
      <c r="T359" s="43" t="s">
        <v>633</v>
      </c>
      <c r="U359" s="43" t="s">
        <v>647</v>
      </c>
      <c r="V359" s="43" t="n">
        <v>7</v>
      </c>
      <c r="W359" s="43" t="n">
        <v>8</v>
      </c>
      <c r="X359" s="43" t="n">
        <v>15</v>
      </c>
      <c r="Y359" s="43" t="s">
        <v>635</v>
      </c>
      <c r="Z359" s="43" t="s">
        <v>636</v>
      </c>
    </row>
    <row r="360" customFormat="false" ht="15" hidden="false" customHeight="false" outlineLevel="0" collapsed="false">
      <c r="A360" s="43" t="n">
        <v>358</v>
      </c>
      <c r="B360" s="43" t="s">
        <v>868</v>
      </c>
      <c r="C360" s="43" t="s">
        <v>869</v>
      </c>
      <c r="D360" s="43" t="s">
        <v>869</v>
      </c>
      <c r="E360" s="43" t="s">
        <v>163</v>
      </c>
      <c r="F360" s="43" t="s">
        <v>63</v>
      </c>
      <c r="G360" s="43" t="n">
        <v>2024</v>
      </c>
      <c r="H360" s="44" t="n">
        <v>0</v>
      </c>
      <c r="I360" s="43" t="n">
        <v>2024</v>
      </c>
      <c r="J360" s="43" t="n">
        <v>7</v>
      </c>
      <c r="K360" s="44" t="n">
        <v>16776</v>
      </c>
      <c r="L360" s="43" t="n">
        <v>2024</v>
      </c>
      <c r="M360" s="43" t="n">
        <v>8</v>
      </c>
      <c r="N360" s="44" t="n">
        <v>16776</v>
      </c>
      <c r="O360" s="43" t="n">
        <v>2024</v>
      </c>
      <c r="P360" s="43" t="n">
        <v>8</v>
      </c>
      <c r="Q360" s="44" t="n">
        <v>16776</v>
      </c>
      <c r="R360" s="43" t="s">
        <v>687</v>
      </c>
      <c r="S360" s="43" t="s">
        <v>83</v>
      </c>
      <c r="T360" s="43" t="s">
        <v>641</v>
      </c>
      <c r="U360" s="43" t="s">
        <v>669</v>
      </c>
      <c r="V360" s="43" t="n">
        <v>12</v>
      </c>
      <c r="W360" s="43" t="n">
        <v>21</v>
      </c>
      <c r="X360" s="43" t="n">
        <v>33</v>
      </c>
      <c r="Y360" s="43" t="s">
        <v>635</v>
      </c>
      <c r="Z360" s="43" t="s">
        <v>636</v>
      </c>
    </row>
    <row r="361" customFormat="false" ht="15" hidden="false" customHeight="false" outlineLevel="0" collapsed="false">
      <c r="A361" s="43" t="n">
        <v>359</v>
      </c>
      <c r="B361" s="43" t="s">
        <v>868</v>
      </c>
      <c r="C361" s="43" t="s">
        <v>869</v>
      </c>
      <c r="D361" s="43" t="s">
        <v>869</v>
      </c>
      <c r="E361" s="43" t="s">
        <v>163</v>
      </c>
      <c r="F361" s="43" t="s">
        <v>63</v>
      </c>
      <c r="G361" s="43" t="n">
        <v>2024</v>
      </c>
      <c r="H361" s="44" t="n">
        <v>0</v>
      </c>
      <c r="I361" s="43" t="n">
        <v>2024</v>
      </c>
      <c r="J361" s="43" t="n">
        <v>7</v>
      </c>
      <c r="K361" s="44" t="n">
        <v>21370</v>
      </c>
      <c r="L361" s="43" t="n">
        <v>2024</v>
      </c>
      <c r="M361" s="43" t="n">
        <v>8</v>
      </c>
      <c r="N361" s="44" t="n">
        <v>21370</v>
      </c>
      <c r="O361" s="43" t="n">
        <v>2024</v>
      </c>
      <c r="P361" s="43" t="n">
        <v>9</v>
      </c>
      <c r="Q361" s="44" t="n">
        <v>21370</v>
      </c>
      <c r="R361" s="43" t="s">
        <v>687</v>
      </c>
      <c r="S361" s="43" t="s">
        <v>83</v>
      </c>
      <c r="T361" s="43" t="s">
        <v>641</v>
      </c>
      <c r="U361" s="43" t="s">
        <v>669</v>
      </c>
      <c r="V361" s="43" t="n">
        <v>12</v>
      </c>
      <c r="W361" s="43" t="n">
        <v>34</v>
      </c>
      <c r="X361" s="43" t="n">
        <v>46</v>
      </c>
      <c r="Y361" s="43" t="s">
        <v>635</v>
      </c>
      <c r="Z361" s="43" t="s">
        <v>636</v>
      </c>
    </row>
    <row r="362" customFormat="false" ht="15" hidden="false" customHeight="false" outlineLevel="0" collapsed="false">
      <c r="A362" s="43" t="n">
        <v>360</v>
      </c>
      <c r="B362" s="43" t="s">
        <v>868</v>
      </c>
      <c r="C362" s="43" t="s">
        <v>869</v>
      </c>
      <c r="D362" s="43" t="s">
        <v>869</v>
      </c>
      <c r="E362" s="43" t="s">
        <v>163</v>
      </c>
      <c r="F362" s="43" t="s">
        <v>63</v>
      </c>
      <c r="G362" s="43" t="n">
        <v>2024</v>
      </c>
      <c r="H362" s="44" t="n">
        <v>0</v>
      </c>
      <c r="I362" s="43" t="n">
        <v>2024</v>
      </c>
      <c r="J362" s="43" t="n">
        <v>8</v>
      </c>
      <c r="K362" s="44" t="n">
        <v>24596</v>
      </c>
      <c r="L362" s="43" t="n">
        <v>2024</v>
      </c>
      <c r="M362" s="43" t="n">
        <v>9</v>
      </c>
      <c r="N362" s="44" t="n">
        <v>24596</v>
      </c>
      <c r="O362" s="43" t="n">
        <v>2024</v>
      </c>
      <c r="P362" s="43" t="n">
        <v>9</v>
      </c>
      <c r="Q362" s="44" t="n">
        <v>24596</v>
      </c>
      <c r="R362" s="43" t="s">
        <v>687</v>
      </c>
      <c r="S362" s="43" t="s">
        <v>83</v>
      </c>
      <c r="T362" s="43" t="s">
        <v>641</v>
      </c>
      <c r="U362" s="43" t="s">
        <v>669</v>
      </c>
      <c r="V362" s="43" t="n">
        <v>4</v>
      </c>
      <c r="W362" s="43" t="n">
        <v>22</v>
      </c>
      <c r="X362" s="43" t="n">
        <v>26</v>
      </c>
      <c r="Y362" s="43" t="s">
        <v>635</v>
      </c>
      <c r="Z362" s="43" t="s">
        <v>636</v>
      </c>
    </row>
    <row r="363" customFormat="false" ht="15" hidden="false" customHeight="false" outlineLevel="0" collapsed="false">
      <c r="A363" s="43" t="n">
        <v>361</v>
      </c>
      <c r="B363" s="43" t="s">
        <v>868</v>
      </c>
      <c r="C363" s="43" t="s">
        <v>869</v>
      </c>
      <c r="D363" s="43" t="s">
        <v>869</v>
      </c>
      <c r="E363" s="43" t="s">
        <v>163</v>
      </c>
      <c r="F363" s="43" t="s">
        <v>63</v>
      </c>
      <c r="G363" s="43" t="n">
        <v>2024</v>
      </c>
      <c r="H363" s="44" t="n">
        <v>0</v>
      </c>
      <c r="I363" s="43" t="n">
        <v>2024</v>
      </c>
      <c r="J363" s="43" t="n">
        <v>9</v>
      </c>
      <c r="K363" s="44" t="n">
        <v>45925</v>
      </c>
      <c r="L363" s="43" t="n">
        <v>2024</v>
      </c>
      <c r="M363" s="43" t="n">
        <v>10</v>
      </c>
      <c r="N363" s="44" t="n">
        <v>45925</v>
      </c>
      <c r="O363" s="43" t="n">
        <v>2024</v>
      </c>
      <c r="P363" s="43" t="n">
        <v>11</v>
      </c>
      <c r="Q363" s="44" t="n">
        <v>45925</v>
      </c>
      <c r="R363" s="43" t="s">
        <v>687</v>
      </c>
      <c r="S363" s="43" t="s">
        <v>83</v>
      </c>
      <c r="T363" s="43" t="s">
        <v>641</v>
      </c>
      <c r="U363" s="43" t="s">
        <v>669</v>
      </c>
      <c r="V363" s="43" t="n">
        <v>3</v>
      </c>
      <c r="W363" s="43" t="n">
        <v>35</v>
      </c>
      <c r="X363" s="43" t="n">
        <v>38</v>
      </c>
      <c r="Y363" s="43" t="s">
        <v>635</v>
      </c>
      <c r="Z363" s="43" t="s">
        <v>636</v>
      </c>
    </row>
    <row r="364" customFormat="false" ht="15" hidden="false" customHeight="false" outlineLevel="0" collapsed="false">
      <c r="A364" s="43" t="n">
        <v>362</v>
      </c>
      <c r="B364" s="43" t="s">
        <v>868</v>
      </c>
      <c r="C364" s="43" t="s">
        <v>869</v>
      </c>
      <c r="D364" s="43" t="s">
        <v>869</v>
      </c>
      <c r="E364" s="43" t="s">
        <v>163</v>
      </c>
      <c r="F364" s="43" t="s">
        <v>63</v>
      </c>
      <c r="G364" s="43" t="n">
        <v>2024</v>
      </c>
      <c r="H364" s="44" t="n">
        <v>0</v>
      </c>
      <c r="I364" s="43" t="n">
        <v>2024</v>
      </c>
      <c r="J364" s="43" t="n">
        <v>10</v>
      </c>
      <c r="K364" s="44" t="n">
        <v>46640</v>
      </c>
      <c r="L364" s="43" t="n">
        <v>2024</v>
      </c>
      <c r="M364" s="43" t="n">
        <v>11</v>
      </c>
      <c r="N364" s="44" t="n">
        <v>46640</v>
      </c>
      <c r="O364" s="43" t="n">
        <v>2024</v>
      </c>
      <c r="P364" s="43" t="n">
        <v>12</v>
      </c>
      <c r="Q364" s="44" t="n">
        <v>46640</v>
      </c>
      <c r="R364" s="43" t="s">
        <v>687</v>
      </c>
      <c r="S364" s="43" t="s">
        <v>83</v>
      </c>
      <c r="T364" s="43" t="s">
        <v>641</v>
      </c>
      <c r="U364" s="43" t="s">
        <v>669</v>
      </c>
      <c r="V364" s="43" t="n">
        <v>1</v>
      </c>
      <c r="W364" s="43" t="n">
        <v>35</v>
      </c>
      <c r="X364" s="43" t="n">
        <v>36</v>
      </c>
      <c r="Y364" s="43" t="s">
        <v>635</v>
      </c>
      <c r="Z364" s="43" t="s">
        <v>636</v>
      </c>
    </row>
    <row r="365" customFormat="false" ht="15" hidden="false" customHeight="false" outlineLevel="0" collapsed="false">
      <c r="A365" s="43" t="n">
        <v>363</v>
      </c>
      <c r="B365" s="43" t="s">
        <v>870</v>
      </c>
      <c r="C365" s="43" t="s">
        <v>871</v>
      </c>
      <c r="D365" s="43" t="s">
        <v>871</v>
      </c>
      <c r="E365" s="43" t="s">
        <v>163</v>
      </c>
      <c r="F365" s="43" t="s">
        <v>63</v>
      </c>
      <c r="G365" s="43" t="n">
        <v>2023</v>
      </c>
      <c r="H365" s="44" t="n">
        <v>26000</v>
      </c>
      <c r="I365" s="43" t="n">
        <v>2023</v>
      </c>
      <c r="J365" s="43" t="n">
        <v>11</v>
      </c>
      <c r="K365" s="44" t="n">
        <v>35720</v>
      </c>
      <c r="L365" s="43" t="n">
        <v>2023</v>
      </c>
      <c r="M365" s="43" t="n">
        <v>12</v>
      </c>
      <c r="N365" s="44" t="n">
        <v>52804</v>
      </c>
      <c r="O365" s="43" t="n">
        <v>2024</v>
      </c>
      <c r="P365" s="43" t="n">
        <v>2</v>
      </c>
      <c r="Q365" s="44" t="n">
        <v>52804</v>
      </c>
      <c r="R365" s="43" t="s">
        <v>687</v>
      </c>
      <c r="S365" s="43" t="s">
        <v>83</v>
      </c>
      <c r="T365" s="43" t="s">
        <v>641</v>
      </c>
      <c r="U365" s="43" t="s">
        <v>642</v>
      </c>
      <c r="V365" s="43" t="n">
        <v>15</v>
      </c>
      <c r="W365" s="43" t="n">
        <v>71</v>
      </c>
      <c r="X365" s="43" t="n">
        <v>86</v>
      </c>
      <c r="Y365" s="43" t="s">
        <v>635</v>
      </c>
      <c r="Z365" s="43" t="s">
        <v>636</v>
      </c>
    </row>
    <row r="366" customFormat="false" ht="15" hidden="false" customHeight="false" outlineLevel="0" collapsed="false">
      <c r="A366" s="43" t="n">
        <v>364</v>
      </c>
      <c r="B366" s="43" t="s">
        <v>870</v>
      </c>
      <c r="C366" s="43" t="s">
        <v>871</v>
      </c>
      <c r="D366" s="43" t="s">
        <v>871</v>
      </c>
      <c r="E366" s="43" t="s">
        <v>163</v>
      </c>
      <c r="F366" s="43" t="s">
        <v>63</v>
      </c>
      <c r="G366" s="43" t="n">
        <v>2023</v>
      </c>
      <c r="H366" s="44" t="n">
        <v>35720</v>
      </c>
      <c r="I366" s="43" t="n">
        <v>2023</v>
      </c>
      <c r="J366" s="43" t="n">
        <v>12</v>
      </c>
      <c r="K366" s="44" t="n">
        <v>66664</v>
      </c>
      <c r="L366" s="43" t="n">
        <v>2024</v>
      </c>
      <c r="M366" s="43" t="n">
        <v>1</v>
      </c>
      <c r="N366" s="44" t="n">
        <v>66664</v>
      </c>
      <c r="O366" s="43" t="n">
        <v>2024</v>
      </c>
      <c r="P366" s="43" t="n">
        <v>3</v>
      </c>
      <c r="Q366" s="44" t="n">
        <v>66664</v>
      </c>
      <c r="R366" s="43" t="s">
        <v>687</v>
      </c>
      <c r="S366" s="43" t="s">
        <v>83</v>
      </c>
      <c r="T366" s="43" t="s">
        <v>641</v>
      </c>
      <c r="U366" s="43" t="s">
        <v>642</v>
      </c>
      <c r="V366" s="43" t="n">
        <v>7</v>
      </c>
      <c r="W366" s="43" t="n">
        <v>56</v>
      </c>
      <c r="X366" s="43" t="n">
        <v>63</v>
      </c>
      <c r="Y366" s="43" t="s">
        <v>635</v>
      </c>
      <c r="Z366" s="43" t="s">
        <v>636</v>
      </c>
    </row>
    <row r="367" customFormat="false" ht="15" hidden="false" customHeight="false" outlineLevel="0" collapsed="false">
      <c r="A367" s="43" t="n">
        <v>365</v>
      </c>
      <c r="B367" s="43" t="s">
        <v>870</v>
      </c>
      <c r="C367" s="43" t="s">
        <v>871</v>
      </c>
      <c r="D367" s="43" t="s">
        <v>871</v>
      </c>
      <c r="E367" s="43" t="s">
        <v>163</v>
      </c>
      <c r="F367" s="43" t="s">
        <v>63</v>
      </c>
      <c r="G367" s="43" t="n">
        <v>2024</v>
      </c>
      <c r="H367" s="44" t="n">
        <v>96554</v>
      </c>
      <c r="I367" s="43" t="n">
        <v>2024</v>
      </c>
      <c r="J367" s="43" t="n">
        <v>1</v>
      </c>
      <c r="K367" s="44" t="n">
        <v>96319</v>
      </c>
      <c r="L367" s="43" t="n">
        <v>2024</v>
      </c>
      <c r="M367" s="43" t="n">
        <v>2</v>
      </c>
      <c r="N367" s="44" t="n">
        <v>96319</v>
      </c>
      <c r="O367" s="43" t="n">
        <v>2024</v>
      </c>
      <c r="P367" s="43" t="n">
        <v>3</v>
      </c>
      <c r="Q367" s="44" t="n">
        <v>96319</v>
      </c>
      <c r="R367" s="43" t="s">
        <v>687</v>
      </c>
      <c r="S367" s="43" t="s">
        <v>83</v>
      </c>
      <c r="T367" s="43" t="s">
        <v>641</v>
      </c>
      <c r="U367" s="43" t="s">
        <v>642</v>
      </c>
      <c r="V367" s="43" t="n">
        <v>7</v>
      </c>
      <c r="W367" s="43" t="n">
        <v>25</v>
      </c>
      <c r="X367" s="43" t="n">
        <v>32</v>
      </c>
      <c r="Y367" s="43" t="s">
        <v>635</v>
      </c>
      <c r="Z367" s="43" t="s">
        <v>636</v>
      </c>
    </row>
    <row r="368" customFormat="false" ht="15" hidden="false" customHeight="false" outlineLevel="0" collapsed="false">
      <c r="A368" s="43" t="n">
        <v>366</v>
      </c>
      <c r="B368" s="43" t="s">
        <v>870</v>
      </c>
      <c r="C368" s="43" t="s">
        <v>871</v>
      </c>
      <c r="D368" s="43" t="s">
        <v>871</v>
      </c>
      <c r="E368" s="43" t="s">
        <v>163</v>
      </c>
      <c r="F368" s="43" t="s">
        <v>63</v>
      </c>
      <c r="G368" s="43" t="n">
        <v>2024</v>
      </c>
      <c r="H368" s="44" t="n">
        <v>118000</v>
      </c>
      <c r="I368" s="43" t="n">
        <v>2024</v>
      </c>
      <c r="J368" s="43" t="n">
        <v>2</v>
      </c>
      <c r="K368" s="44" t="n">
        <v>94543</v>
      </c>
      <c r="L368" s="43" t="n">
        <v>2024</v>
      </c>
      <c r="M368" s="43" t="n">
        <v>3</v>
      </c>
      <c r="N368" s="44" t="n">
        <v>102905</v>
      </c>
      <c r="O368" s="43" t="n">
        <v>2024</v>
      </c>
      <c r="P368" s="43" t="n">
        <v>3</v>
      </c>
      <c r="Q368" s="44" t="n">
        <v>102905</v>
      </c>
      <c r="R368" s="43" t="s">
        <v>687</v>
      </c>
      <c r="S368" s="43" t="s">
        <v>83</v>
      </c>
      <c r="T368" s="43" t="s">
        <v>641</v>
      </c>
      <c r="U368" s="43" t="s">
        <v>642</v>
      </c>
      <c r="V368" s="43" t="n">
        <v>5</v>
      </c>
      <c r="W368" s="43" t="n">
        <v>24</v>
      </c>
      <c r="X368" s="43" t="n">
        <v>29</v>
      </c>
      <c r="Y368" s="43" t="s">
        <v>635</v>
      </c>
      <c r="Z368" s="43" t="s">
        <v>636</v>
      </c>
    </row>
    <row r="369" customFormat="false" ht="15" hidden="false" customHeight="false" outlineLevel="0" collapsed="false">
      <c r="A369" s="43" t="n">
        <v>367</v>
      </c>
      <c r="B369" s="43" t="s">
        <v>870</v>
      </c>
      <c r="C369" s="43" t="s">
        <v>871</v>
      </c>
      <c r="D369" s="43" t="s">
        <v>871</v>
      </c>
      <c r="E369" s="43" t="s">
        <v>163</v>
      </c>
      <c r="F369" s="43" t="s">
        <v>63</v>
      </c>
      <c r="G369" s="43" t="n">
        <v>2024</v>
      </c>
      <c r="H369" s="44" t="n">
        <v>118010</v>
      </c>
      <c r="I369" s="43" t="n">
        <v>2024</v>
      </c>
      <c r="J369" s="43" t="n">
        <v>3</v>
      </c>
      <c r="K369" s="44" t="n">
        <v>118166</v>
      </c>
      <c r="L369" s="43" t="n">
        <v>2024</v>
      </c>
      <c r="M369" s="43" t="n">
        <v>4</v>
      </c>
      <c r="N369" s="44" t="n">
        <v>118166</v>
      </c>
      <c r="O369" s="43" t="n">
        <v>2024</v>
      </c>
      <c r="P369" s="43" t="n">
        <v>5</v>
      </c>
      <c r="Q369" s="44" t="n">
        <v>118166</v>
      </c>
      <c r="R369" s="43" t="s">
        <v>687</v>
      </c>
      <c r="S369" s="43" t="s">
        <v>83</v>
      </c>
      <c r="T369" s="43" t="s">
        <v>641</v>
      </c>
      <c r="U369" s="43" t="s">
        <v>642</v>
      </c>
      <c r="V369" s="43" t="n">
        <v>8</v>
      </c>
      <c r="W369" s="43" t="n">
        <v>45</v>
      </c>
      <c r="X369" s="43" t="n">
        <v>53</v>
      </c>
      <c r="Y369" s="43" t="s">
        <v>635</v>
      </c>
      <c r="Z369" s="43" t="s">
        <v>636</v>
      </c>
    </row>
    <row r="370" customFormat="false" ht="15" hidden="false" customHeight="false" outlineLevel="0" collapsed="false">
      <c r="A370" s="43" t="n">
        <v>368</v>
      </c>
      <c r="B370" s="43" t="s">
        <v>870</v>
      </c>
      <c r="C370" s="43" t="s">
        <v>871</v>
      </c>
      <c r="D370" s="43" t="s">
        <v>871</v>
      </c>
      <c r="E370" s="43" t="s">
        <v>163</v>
      </c>
      <c r="F370" s="43" t="s">
        <v>63</v>
      </c>
      <c r="G370" s="43" t="n">
        <v>2024</v>
      </c>
      <c r="H370" s="44" t="n">
        <v>101918</v>
      </c>
      <c r="I370" s="43" t="n">
        <v>2024</v>
      </c>
      <c r="J370" s="43" t="n">
        <v>4</v>
      </c>
      <c r="K370" s="44" t="n">
        <v>82732</v>
      </c>
      <c r="L370" s="43" t="n">
        <v>2024</v>
      </c>
      <c r="M370" s="43" t="n">
        <v>5</v>
      </c>
      <c r="N370" s="44" t="n">
        <v>70467</v>
      </c>
      <c r="O370" s="43" t="n">
        <v>2024</v>
      </c>
      <c r="P370" s="43" t="n">
        <v>5</v>
      </c>
      <c r="Q370" s="44" t="n">
        <v>70467</v>
      </c>
      <c r="R370" s="43" t="s">
        <v>687</v>
      </c>
      <c r="S370" s="43" t="s">
        <v>83</v>
      </c>
      <c r="T370" s="43" t="s">
        <v>641</v>
      </c>
      <c r="U370" s="43" t="s">
        <v>642</v>
      </c>
      <c r="V370" s="43" t="n">
        <v>7</v>
      </c>
      <c r="W370" s="43" t="n">
        <v>22</v>
      </c>
      <c r="X370" s="43" t="n">
        <v>29</v>
      </c>
      <c r="Y370" s="43" t="s">
        <v>635</v>
      </c>
      <c r="Z370" s="43" t="s">
        <v>636</v>
      </c>
    </row>
    <row r="371" customFormat="false" ht="15" hidden="false" customHeight="false" outlineLevel="0" collapsed="false">
      <c r="A371" s="43" t="n">
        <v>369</v>
      </c>
      <c r="B371" s="43" t="s">
        <v>870</v>
      </c>
      <c r="C371" s="43" t="s">
        <v>871</v>
      </c>
      <c r="D371" s="43" t="s">
        <v>871</v>
      </c>
      <c r="E371" s="43" t="s">
        <v>163</v>
      </c>
      <c r="F371" s="43" t="s">
        <v>63</v>
      </c>
      <c r="G371" s="43" t="n">
        <v>2024</v>
      </c>
      <c r="H371" s="44" t="n">
        <v>44291</v>
      </c>
      <c r="I371" s="43" t="n">
        <v>2024</v>
      </c>
      <c r="J371" s="43" t="n">
        <v>5</v>
      </c>
      <c r="K371" s="44" t="n">
        <v>44291</v>
      </c>
      <c r="L371" s="43" t="n">
        <v>2024</v>
      </c>
      <c r="M371" s="43" t="n">
        <v>6</v>
      </c>
      <c r="N371" s="44" t="n">
        <v>44291</v>
      </c>
      <c r="O371" s="43" t="n">
        <v>2024</v>
      </c>
      <c r="P371" s="43" t="n">
        <v>6</v>
      </c>
      <c r="Q371" s="44" t="n">
        <v>44291</v>
      </c>
      <c r="R371" s="43" t="s">
        <v>687</v>
      </c>
      <c r="S371" s="43" t="s">
        <v>83</v>
      </c>
      <c r="T371" s="43" t="s">
        <v>641</v>
      </c>
      <c r="U371" s="43" t="s">
        <v>642</v>
      </c>
      <c r="V371" s="43" t="n">
        <v>12</v>
      </c>
      <c r="W371" s="43" t="n">
        <v>21</v>
      </c>
      <c r="X371" s="43" t="n">
        <v>33</v>
      </c>
      <c r="Y371" s="43" t="s">
        <v>635</v>
      </c>
      <c r="Z371" s="43" t="s">
        <v>636</v>
      </c>
    </row>
    <row r="372" customFormat="false" ht="15" hidden="false" customHeight="false" outlineLevel="0" collapsed="false">
      <c r="A372" s="43" t="n">
        <v>370</v>
      </c>
      <c r="B372" s="43" t="s">
        <v>870</v>
      </c>
      <c r="C372" s="43" t="s">
        <v>871</v>
      </c>
      <c r="D372" s="43" t="s">
        <v>871</v>
      </c>
      <c r="E372" s="43" t="s">
        <v>163</v>
      </c>
      <c r="F372" s="43" t="s">
        <v>63</v>
      </c>
      <c r="G372" s="43" t="n">
        <v>2024</v>
      </c>
      <c r="H372" s="44" t="n">
        <v>10240</v>
      </c>
      <c r="I372" s="43" t="n">
        <v>2024</v>
      </c>
      <c r="J372" s="43" t="n">
        <v>6</v>
      </c>
      <c r="K372" s="44" t="n">
        <v>10240</v>
      </c>
      <c r="L372" s="43" t="n">
        <v>2024</v>
      </c>
      <c r="M372" s="43" t="n">
        <v>7</v>
      </c>
      <c r="N372" s="44" t="n">
        <v>10240</v>
      </c>
      <c r="O372" s="43" t="n">
        <v>2024</v>
      </c>
      <c r="P372" s="43" t="n">
        <v>7</v>
      </c>
      <c r="Q372" s="44" t="n">
        <v>10240</v>
      </c>
      <c r="R372" s="43" t="s">
        <v>687</v>
      </c>
      <c r="S372" s="43" t="s">
        <v>83</v>
      </c>
      <c r="T372" s="43" t="s">
        <v>641</v>
      </c>
      <c r="U372" s="43" t="s">
        <v>642</v>
      </c>
      <c r="V372" s="43" t="n">
        <v>6</v>
      </c>
      <c r="W372" s="43" t="n">
        <v>24</v>
      </c>
      <c r="X372" s="43" t="n">
        <v>30</v>
      </c>
      <c r="Y372" s="43" t="s">
        <v>635</v>
      </c>
      <c r="Z372" s="43" t="s">
        <v>636</v>
      </c>
    </row>
    <row r="373" customFormat="false" ht="15" hidden="false" customHeight="false" outlineLevel="0" collapsed="false">
      <c r="A373" s="43" t="n">
        <v>371</v>
      </c>
      <c r="B373" s="43" t="s">
        <v>872</v>
      </c>
      <c r="C373" s="43" t="s">
        <v>873</v>
      </c>
      <c r="D373" s="43" t="s">
        <v>873</v>
      </c>
      <c r="E373" s="43" t="s">
        <v>157</v>
      </c>
      <c r="F373" s="43" t="s">
        <v>62</v>
      </c>
      <c r="G373" s="43" t="n">
        <v>2024</v>
      </c>
      <c r="H373" s="44" t="n">
        <v>0</v>
      </c>
      <c r="I373" s="43" t="n">
        <v>2024</v>
      </c>
      <c r="J373" s="43" t="n">
        <v>7</v>
      </c>
      <c r="K373" s="44" t="n">
        <v>72664</v>
      </c>
      <c r="L373" s="43" t="n">
        <v>2024</v>
      </c>
      <c r="M373" s="43" t="n">
        <v>8</v>
      </c>
      <c r="N373" s="44" t="n">
        <v>64906</v>
      </c>
      <c r="O373" s="43" t="n">
        <v>2024</v>
      </c>
      <c r="P373" s="43" t="n">
        <v>10</v>
      </c>
      <c r="Q373" s="44" t="n">
        <v>63179</v>
      </c>
      <c r="R373" s="43"/>
      <c r="S373" s="43" t="s">
        <v>86</v>
      </c>
      <c r="T373" s="43" t="s">
        <v>633</v>
      </c>
      <c r="U373" s="43" t="s">
        <v>682</v>
      </c>
      <c r="V373" s="43" t="n">
        <v>33</v>
      </c>
      <c r="W373" s="43" t="n">
        <v>45</v>
      </c>
      <c r="X373" s="43" t="n">
        <v>78</v>
      </c>
      <c r="Y373" s="43" t="s">
        <v>635</v>
      </c>
      <c r="Z373" s="43" t="s">
        <v>636</v>
      </c>
    </row>
    <row r="374" customFormat="false" ht="15" hidden="false" customHeight="false" outlineLevel="0" collapsed="false">
      <c r="A374" s="43" t="n">
        <v>372</v>
      </c>
      <c r="B374" s="43" t="s">
        <v>872</v>
      </c>
      <c r="C374" s="43" t="s">
        <v>873</v>
      </c>
      <c r="D374" s="43" t="s">
        <v>873</v>
      </c>
      <c r="E374" s="43" t="s">
        <v>157</v>
      </c>
      <c r="F374" s="43" t="s">
        <v>62</v>
      </c>
      <c r="G374" s="43" t="n">
        <v>2024</v>
      </c>
      <c r="H374" s="44" t="n">
        <v>0</v>
      </c>
      <c r="I374" s="43" t="n">
        <v>2024</v>
      </c>
      <c r="J374" s="43" t="n">
        <v>10</v>
      </c>
      <c r="K374" s="44" t="n">
        <v>38209</v>
      </c>
      <c r="L374" s="43" t="n">
        <v>2024</v>
      </c>
      <c r="M374" s="43" t="n">
        <v>10</v>
      </c>
      <c r="N374" s="44" t="n">
        <v>38209</v>
      </c>
      <c r="O374" s="43" t="n">
        <v>2024</v>
      </c>
      <c r="P374" s="43" t="n">
        <v>11</v>
      </c>
      <c r="Q374" s="44" t="n">
        <v>34563</v>
      </c>
      <c r="R374" s="43"/>
      <c r="S374" s="43" t="s">
        <v>86</v>
      </c>
      <c r="T374" s="43" t="s">
        <v>633</v>
      </c>
      <c r="U374" s="43" t="s">
        <v>682</v>
      </c>
      <c r="V374" s="43" t="n">
        <v>0</v>
      </c>
      <c r="W374" s="43" t="n">
        <v>45</v>
      </c>
      <c r="X374" s="43" t="n">
        <v>45</v>
      </c>
      <c r="Y374" s="43" t="s">
        <v>635</v>
      </c>
      <c r="Z374" s="43" t="s">
        <v>636</v>
      </c>
    </row>
    <row r="375" customFormat="false" ht="15" hidden="false" customHeight="false" outlineLevel="0" collapsed="false">
      <c r="A375" s="43" t="n">
        <v>373</v>
      </c>
      <c r="B375" s="43" t="s">
        <v>874</v>
      </c>
      <c r="C375" s="43" t="s">
        <v>875</v>
      </c>
      <c r="D375" s="43" t="s">
        <v>875</v>
      </c>
      <c r="E375" s="43" t="s">
        <v>157</v>
      </c>
      <c r="F375" s="43" t="s">
        <v>62</v>
      </c>
      <c r="G375" s="43" t="n">
        <v>2024</v>
      </c>
      <c r="H375" s="44" t="n">
        <v>0</v>
      </c>
      <c r="I375" s="43" t="n">
        <v>2024</v>
      </c>
      <c r="J375" s="43" t="n">
        <v>6</v>
      </c>
      <c r="K375" s="44" t="n">
        <v>33440</v>
      </c>
      <c r="L375" s="43" t="n">
        <v>2024</v>
      </c>
      <c r="M375" s="43" t="n">
        <v>7</v>
      </c>
      <c r="N375" s="44" t="n">
        <v>23784</v>
      </c>
      <c r="O375" s="43" t="n">
        <v>2024</v>
      </c>
      <c r="P375" s="43" t="n">
        <v>8</v>
      </c>
      <c r="Q375" s="44" t="n">
        <v>22903.0341</v>
      </c>
      <c r="R375" s="43"/>
      <c r="S375" s="43" t="s">
        <v>86</v>
      </c>
      <c r="T375" s="43" t="s">
        <v>633</v>
      </c>
      <c r="U375" s="43" t="s">
        <v>647</v>
      </c>
      <c r="V375" s="43" t="n">
        <v>21</v>
      </c>
      <c r="W375" s="43" t="n">
        <v>43</v>
      </c>
      <c r="X375" s="43" t="n">
        <v>64</v>
      </c>
      <c r="Y375" s="43" t="s">
        <v>635</v>
      </c>
      <c r="Z375" s="43" t="s">
        <v>636</v>
      </c>
    </row>
    <row r="376" customFormat="false" ht="15" hidden="false" customHeight="false" outlineLevel="0" collapsed="false">
      <c r="A376" s="43" t="n">
        <v>374</v>
      </c>
      <c r="B376" s="43" t="s">
        <v>874</v>
      </c>
      <c r="C376" s="43" t="s">
        <v>875</v>
      </c>
      <c r="D376" s="43" t="s">
        <v>875</v>
      </c>
      <c r="E376" s="43" t="s">
        <v>157</v>
      </c>
      <c r="F376" s="43" t="s">
        <v>62</v>
      </c>
      <c r="G376" s="43" t="n">
        <v>2024</v>
      </c>
      <c r="H376" s="44" t="n">
        <v>131619.5</v>
      </c>
      <c r="I376" s="43" t="n">
        <v>2024</v>
      </c>
      <c r="J376" s="43" t="n">
        <v>6</v>
      </c>
      <c r="K376" s="44" t="n">
        <v>97282</v>
      </c>
      <c r="L376" s="43" t="n">
        <v>2024</v>
      </c>
      <c r="M376" s="43" t="n">
        <v>7</v>
      </c>
      <c r="N376" s="44" t="n">
        <v>94621</v>
      </c>
      <c r="O376" s="43" t="n">
        <v>2024</v>
      </c>
      <c r="P376" s="43" t="n">
        <v>8</v>
      </c>
      <c r="Q376" s="44" t="n">
        <v>91116.7819</v>
      </c>
      <c r="R376" s="43"/>
      <c r="S376" s="43" t="s">
        <v>86</v>
      </c>
      <c r="T376" s="43" t="s">
        <v>633</v>
      </c>
      <c r="U376" s="43" t="s">
        <v>647</v>
      </c>
      <c r="V376" s="43" t="n">
        <v>18</v>
      </c>
      <c r="W376" s="43" t="n">
        <v>43</v>
      </c>
      <c r="X376" s="43" t="n">
        <v>61</v>
      </c>
      <c r="Y376" s="43" t="s">
        <v>635</v>
      </c>
      <c r="Z376" s="43" t="s">
        <v>636</v>
      </c>
    </row>
    <row r="377" customFormat="false" ht="15" hidden="false" customHeight="false" outlineLevel="0" collapsed="false">
      <c r="A377" s="43" t="n">
        <v>375</v>
      </c>
      <c r="B377" s="43" t="s">
        <v>874</v>
      </c>
      <c r="C377" s="43" t="s">
        <v>875</v>
      </c>
      <c r="D377" s="43" t="s">
        <v>875</v>
      </c>
      <c r="E377" s="43" t="s">
        <v>157</v>
      </c>
      <c r="F377" s="43" t="s">
        <v>62</v>
      </c>
      <c r="G377" s="43" t="n">
        <v>2024</v>
      </c>
      <c r="H377" s="44" t="n">
        <v>0</v>
      </c>
      <c r="I377" s="43" t="n">
        <v>2024</v>
      </c>
      <c r="J377" s="43" t="n">
        <v>8</v>
      </c>
      <c r="K377" s="44" t="n">
        <v>27947</v>
      </c>
      <c r="L377" s="43" t="n">
        <v>2024</v>
      </c>
      <c r="M377" s="43" t="n">
        <v>8</v>
      </c>
      <c r="N377" s="44" t="n">
        <v>27216</v>
      </c>
      <c r="O377" s="43" t="n">
        <v>2024</v>
      </c>
      <c r="P377" s="43" t="n">
        <v>10</v>
      </c>
      <c r="Q377" s="44" t="n">
        <v>25263</v>
      </c>
      <c r="R377" s="43"/>
      <c r="S377" s="43" t="s">
        <v>86</v>
      </c>
      <c r="T377" s="43" t="s">
        <v>633</v>
      </c>
      <c r="U377" s="43" t="s">
        <v>647</v>
      </c>
      <c r="V377" s="43" t="n">
        <v>4</v>
      </c>
      <c r="W377" s="43" t="n">
        <v>45</v>
      </c>
      <c r="X377" s="43" t="n">
        <v>49</v>
      </c>
      <c r="Y377" s="43" t="s">
        <v>635</v>
      </c>
      <c r="Z377" s="43" t="s">
        <v>636</v>
      </c>
    </row>
    <row r="378" customFormat="false" ht="15" hidden="false" customHeight="false" outlineLevel="0" collapsed="false">
      <c r="A378" s="43" t="n">
        <v>376</v>
      </c>
      <c r="B378" s="43" t="s">
        <v>874</v>
      </c>
      <c r="C378" s="43" t="s">
        <v>875</v>
      </c>
      <c r="D378" s="43" t="s">
        <v>875</v>
      </c>
      <c r="E378" s="43" t="s">
        <v>157</v>
      </c>
      <c r="F378" s="43" t="s">
        <v>62</v>
      </c>
      <c r="G378" s="43" t="n">
        <v>2024</v>
      </c>
      <c r="H378" s="44" t="n">
        <v>0</v>
      </c>
      <c r="I378" s="43" t="n">
        <v>2024</v>
      </c>
      <c r="J378" s="43" t="n">
        <v>9</v>
      </c>
      <c r="K378" s="44" t="n">
        <v>26332</v>
      </c>
      <c r="L378" s="43" t="n">
        <v>2024</v>
      </c>
      <c r="M378" s="43" t="n">
        <v>9</v>
      </c>
      <c r="N378" s="44" t="n">
        <v>26332</v>
      </c>
      <c r="O378" s="43" t="n">
        <v>2024</v>
      </c>
      <c r="P378" s="43" t="n">
        <v>11</v>
      </c>
      <c r="Q378" s="44" t="n">
        <v>26332</v>
      </c>
      <c r="R378" s="43"/>
      <c r="S378" s="43" t="s">
        <v>86</v>
      </c>
      <c r="T378" s="43" t="s">
        <v>633</v>
      </c>
      <c r="U378" s="43" t="s">
        <v>647</v>
      </c>
      <c r="V378" s="43" t="n">
        <v>6</v>
      </c>
      <c r="W378" s="43" t="n">
        <v>45</v>
      </c>
      <c r="X378" s="43" t="n">
        <v>51</v>
      </c>
      <c r="Y378" s="43" t="s">
        <v>635</v>
      </c>
      <c r="Z378" s="43" t="s">
        <v>636</v>
      </c>
    </row>
    <row r="379" customFormat="false" ht="15" hidden="false" customHeight="false" outlineLevel="0" collapsed="false">
      <c r="A379" s="43" t="n">
        <v>377</v>
      </c>
      <c r="B379" s="43" t="s">
        <v>874</v>
      </c>
      <c r="C379" s="43" t="s">
        <v>875</v>
      </c>
      <c r="D379" s="43" t="s">
        <v>875</v>
      </c>
      <c r="E379" s="43" t="s">
        <v>157</v>
      </c>
      <c r="F379" s="43" t="s">
        <v>62</v>
      </c>
      <c r="G379" s="43" t="n">
        <v>2024</v>
      </c>
      <c r="H379" s="44" t="n">
        <v>0</v>
      </c>
      <c r="I379" s="43" t="n">
        <v>2024</v>
      </c>
      <c r="J379" s="43" t="n">
        <v>10</v>
      </c>
      <c r="K379" s="44" t="n">
        <v>11169</v>
      </c>
      <c r="L379" s="43" t="n">
        <v>2024</v>
      </c>
      <c r="M379" s="43" t="n">
        <v>11</v>
      </c>
      <c r="N379" s="44" t="n">
        <v>11350</v>
      </c>
      <c r="O379" s="43" t="n">
        <v>2024</v>
      </c>
      <c r="P379" s="43" t="n">
        <v>12</v>
      </c>
      <c r="Q379" s="44" t="n">
        <v>10026.38</v>
      </c>
      <c r="R379" s="43"/>
      <c r="S379" s="43" t="s">
        <v>86</v>
      </c>
      <c r="T379" s="43" t="s">
        <v>633</v>
      </c>
      <c r="U379" s="43" t="s">
        <v>647</v>
      </c>
      <c r="V379" s="43" t="n">
        <v>11</v>
      </c>
      <c r="W379" s="43" t="n">
        <v>42</v>
      </c>
      <c r="X379" s="43" t="n">
        <v>53</v>
      </c>
      <c r="Y379" s="43" t="s">
        <v>635</v>
      </c>
      <c r="Z379" s="43" t="s">
        <v>636</v>
      </c>
    </row>
    <row r="380" customFormat="false" ht="15" hidden="false" customHeight="false" outlineLevel="0" collapsed="false">
      <c r="A380" s="43" t="n">
        <v>378</v>
      </c>
      <c r="B380" s="43" t="s">
        <v>874</v>
      </c>
      <c r="C380" s="43" t="s">
        <v>875</v>
      </c>
      <c r="D380" s="43" t="s">
        <v>875</v>
      </c>
      <c r="E380" s="43" t="s">
        <v>157</v>
      </c>
      <c r="F380" s="43" t="s">
        <v>62</v>
      </c>
      <c r="G380" s="43" t="n">
        <v>2024</v>
      </c>
      <c r="H380" s="44" t="n">
        <v>0</v>
      </c>
      <c r="I380" s="43" t="n">
        <v>2024</v>
      </c>
      <c r="J380" s="43" t="n">
        <v>11</v>
      </c>
      <c r="K380" s="44" t="n">
        <v>12089</v>
      </c>
      <c r="L380" s="43" t="n">
        <v>2024</v>
      </c>
      <c r="M380" s="43" t="n">
        <v>11</v>
      </c>
      <c r="N380" s="44" t="n">
        <v>10703</v>
      </c>
      <c r="O380" s="43" t="n">
        <v>2025</v>
      </c>
      <c r="P380" s="43" t="n">
        <v>1</v>
      </c>
      <c r="Q380" s="44" t="n">
        <v>9454</v>
      </c>
      <c r="R380" s="43"/>
      <c r="S380" s="43" t="s">
        <v>86</v>
      </c>
      <c r="T380" s="43" t="s">
        <v>633</v>
      </c>
      <c r="U380" s="43" t="s">
        <v>647</v>
      </c>
      <c r="V380" s="43" t="n">
        <v>3</v>
      </c>
      <c r="W380" s="43" t="n">
        <v>45</v>
      </c>
      <c r="X380" s="43" t="n">
        <v>48</v>
      </c>
      <c r="Y380" s="43" t="s">
        <v>635</v>
      </c>
      <c r="Z380" s="43" t="s">
        <v>636</v>
      </c>
    </row>
    <row r="381" customFormat="false" ht="15" hidden="false" customHeight="false" outlineLevel="0" collapsed="false">
      <c r="A381" s="43" t="n">
        <v>379</v>
      </c>
      <c r="B381" s="43" t="s">
        <v>874</v>
      </c>
      <c r="C381" s="43" t="s">
        <v>875</v>
      </c>
      <c r="D381" s="43" t="s">
        <v>875</v>
      </c>
      <c r="E381" s="43" t="s">
        <v>157</v>
      </c>
      <c r="F381" s="43" t="s">
        <v>62</v>
      </c>
      <c r="G381" s="43" t="n">
        <v>2025</v>
      </c>
      <c r="H381" s="44" t="n">
        <v>0</v>
      </c>
      <c r="I381" s="43" t="n">
        <v>2025</v>
      </c>
      <c r="J381" s="43" t="n">
        <v>3</v>
      </c>
      <c r="K381" s="44" t="n">
        <v>8092</v>
      </c>
      <c r="L381" s="43" t="n">
        <v>2025</v>
      </c>
      <c r="M381" s="43" t="n">
        <v>4</v>
      </c>
      <c r="N381" s="44" t="n">
        <v>8092</v>
      </c>
      <c r="O381" s="43" t="n">
        <v>2025</v>
      </c>
      <c r="P381" s="43" t="n">
        <v>5</v>
      </c>
      <c r="Q381" s="44" t="n">
        <v>8092</v>
      </c>
      <c r="R381" s="43"/>
      <c r="S381" s="43" t="s">
        <v>86</v>
      </c>
      <c r="T381" s="43" t="s">
        <v>633</v>
      </c>
      <c r="U381" s="43" t="s">
        <v>647</v>
      </c>
      <c r="V381" s="43" t="n">
        <v>13</v>
      </c>
      <c r="W381" s="43" t="n">
        <v>47</v>
      </c>
      <c r="X381" s="43" t="n">
        <v>60</v>
      </c>
      <c r="Y381" s="43" t="s">
        <v>635</v>
      </c>
      <c r="Z381" s="43" t="s">
        <v>636</v>
      </c>
    </row>
    <row r="382" customFormat="false" ht="15" hidden="false" customHeight="false" outlineLevel="0" collapsed="false">
      <c r="A382" s="43" t="n">
        <v>380</v>
      </c>
      <c r="B382" s="43" t="s">
        <v>876</v>
      </c>
      <c r="C382" s="43" t="s">
        <v>877</v>
      </c>
      <c r="D382" s="43" t="s">
        <v>877</v>
      </c>
      <c r="E382" s="43" t="s">
        <v>145</v>
      </c>
      <c r="F382" s="43" t="s">
        <v>61</v>
      </c>
      <c r="G382" s="43" t="n">
        <v>2025</v>
      </c>
      <c r="H382" s="44" t="n">
        <v>0</v>
      </c>
      <c r="I382" s="43" t="n">
        <v>2025</v>
      </c>
      <c r="J382" s="43" t="n">
        <v>3</v>
      </c>
      <c r="K382" s="44" t="n">
        <v>58150</v>
      </c>
      <c r="L382" s="43" t="n">
        <v>2025</v>
      </c>
      <c r="M382" s="43" t="n">
        <v>5</v>
      </c>
      <c r="N382" s="44" t="n">
        <v>58150</v>
      </c>
      <c r="O382" s="43" t="n">
        <v>2025</v>
      </c>
      <c r="P382" s="43" t="n">
        <v>7</v>
      </c>
      <c r="Q382" s="44" t="n">
        <v>58150</v>
      </c>
      <c r="R382" s="43" t="s">
        <v>687</v>
      </c>
      <c r="S382" s="43" t="s">
        <v>83</v>
      </c>
      <c r="T382" s="43" t="s">
        <v>641</v>
      </c>
      <c r="U382" s="43" t="s">
        <v>642</v>
      </c>
      <c r="V382" s="43" t="n">
        <v>61</v>
      </c>
      <c r="W382" s="43" t="n">
        <v>35</v>
      </c>
      <c r="X382" s="43" t="n">
        <v>96</v>
      </c>
      <c r="Y382" s="43" t="s">
        <v>635</v>
      </c>
      <c r="Z382" s="43" t="s">
        <v>636</v>
      </c>
    </row>
    <row r="383" customFormat="false" ht="15" hidden="false" customHeight="false" outlineLevel="0" collapsed="false">
      <c r="A383" s="43" t="n">
        <v>381</v>
      </c>
      <c r="B383" s="43" t="s">
        <v>876</v>
      </c>
      <c r="C383" s="43" t="s">
        <v>877</v>
      </c>
      <c r="D383" s="43" t="s">
        <v>877</v>
      </c>
      <c r="E383" s="43" t="s">
        <v>145</v>
      </c>
      <c r="F383" s="43" t="s">
        <v>61</v>
      </c>
      <c r="G383" s="43" t="n">
        <v>2025</v>
      </c>
      <c r="H383" s="44" t="n">
        <v>0</v>
      </c>
      <c r="I383" s="43" t="n">
        <v>2025</v>
      </c>
      <c r="J383" s="43" t="n">
        <v>6</v>
      </c>
      <c r="K383" s="44" t="n">
        <v>453390.59</v>
      </c>
      <c r="L383" s="43" t="n">
        <v>2025</v>
      </c>
      <c r="M383" s="43" t="n">
        <v>8</v>
      </c>
      <c r="N383" s="44" t="n">
        <v>453390.59</v>
      </c>
      <c r="O383" s="43" t="n">
        <v>2025</v>
      </c>
      <c r="P383" s="43" t="n">
        <v>8</v>
      </c>
      <c r="Q383" s="44" t="n">
        <v>444151.687411321</v>
      </c>
      <c r="R383" s="43" t="s">
        <v>687</v>
      </c>
      <c r="S383" s="43" t="s">
        <v>83</v>
      </c>
      <c r="T383" s="43" t="s">
        <v>641</v>
      </c>
      <c r="U383" s="43" t="s">
        <v>642</v>
      </c>
      <c r="V383" s="43" t="n">
        <v>43</v>
      </c>
      <c r="W383" s="43" t="n">
        <v>14</v>
      </c>
      <c r="X383" s="43" t="n">
        <v>57</v>
      </c>
      <c r="Y383" s="43" t="s">
        <v>635</v>
      </c>
      <c r="Z383" s="43" t="s">
        <v>636</v>
      </c>
    </row>
    <row r="384" customFormat="false" ht="15" hidden="false" customHeight="false" outlineLevel="0" collapsed="false">
      <c r="A384" s="43" t="n">
        <v>382</v>
      </c>
      <c r="B384" s="43" t="s">
        <v>876</v>
      </c>
      <c r="C384" s="43" t="s">
        <v>877</v>
      </c>
      <c r="D384" s="43" t="s">
        <v>877</v>
      </c>
      <c r="E384" s="43" t="s">
        <v>145</v>
      </c>
      <c r="F384" s="43" t="s">
        <v>61</v>
      </c>
      <c r="G384" s="43" t="n">
        <v>2025</v>
      </c>
      <c r="H384" s="44" t="n">
        <v>0</v>
      </c>
      <c r="I384" s="43" t="n">
        <v>2025</v>
      </c>
      <c r="J384" s="43" t="n">
        <v>8</v>
      </c>
      <c r="K384" s="44" t="n">
        <v>153520</v>
      </c>
      <c r="L384" s="43" t="n">
        <v>2025</v>
      </c>
      <c r="M384" s="43" t="n">
        <v>9</v>
      </c>
      <c r="N384" s="44" t="n">
        <v>153520</v>
      </c>
      <c r="O384" s="43" t="n">
        <v>2025</v>
      </c>
      <c r="P384" s="43" t="n">
        <v>10</v>
      </c>
      <c r="Q384" s="44" t="n">
        <v>152334.5</v>
      </c>
      <c r="R384" s="43" t="s">
        <v>687</v>
      </c>
      <c r="S384" s="43" t="s">
        <v>83</v>
      </c>
      <c r="T384" s="43" t="s">
        <v>641</v>
      </c>
      <c r="U384" s="43" t="s">
        <v>642</v>
      </c>
      <c r="V384" s="43" t="n">
        <v>39</v>
      </c>
      <c r="W384" s="43" t="n">
        <v>24</v>
      </c>
      <c r="X384" s="43" t="n">
        <v>63</v>
      </c>
      <c r="Y384" s="43" t="s">
        <v>635</v>
      </c>
      <c r="Z384" s="43" t="s">
        <v>636</v>
      </c>
    </row>
    <row r="385" customFormat="false" ht="15" hidden="false" customHeight="false" outlineLevel="0" collapsed="false">
      <c r="A385" s="43" t="n">
        <v>383</v>
      </c>
      <c r="B385" s="43" t="s">
        <v>876</v>
      </c>
      <c r="C385" s="43" t="s">
        <v>877</v>
      </c>
      <c r="D385" s="43" t="s">
        <v>877</v>
      </c>
      <c r="E385" s="43" t="s">
        <v>145</v>
      </c>
      <c r="F385" s="43" t="s">
        <v>61</v>
      </c>
      <c r="G385" s="43" t="n">
        <v>2025</v>
      </c>
      <c r="H385" s="44" t="n">
        <v>0</v>
      </c>
      <c r="I385" s="43" t="n">
        <v>2025</v>
      </c>
      <c r="J385" s="43" t="n">
        <v>10</v>
      </c>
      <c r="K385" s="44" t="n">
        <v>205079</v>
      </c>
      <c r="L385" s="43" t="n">
        <v>2025</v>
      </c>
      <c r="M385" s="43" t="n">
        <v>11</v>
      </c>
      <c r="N385" s="44" t="n">
        <v>205079</v>
      </c>
      <c r="O385" s="43" t="n">
        <v>2025</v>
      </c>
      <c r="P385" s="43" t="n">
        <v>12</v>
      </c>
      <c r="Q385" s="44" t="n">
        <v>200900.433962264</v>
      </c>
      <c r="R385" s="43" t="s">
        <v>687</v>
      </c>
      <c r="S385" s="43" t="s">
        <v>83</v>
      </c>
      <c r="T385" s="43" t="s">
        <v>641</v>
      </c>
      <c r="U385" s="43" t="s">
        <v>642</v>
      </c>
      <c r="V385" s="43" t="n">
        <v>18</v>
      </c>
      <c r="W385" s="43" t="n">
        <v>29</v>
      </c>
      <c r="X385" s="43" t="n">
        <v>47</v>
      </c>
      <c r="Y385" s="43" t="s">
        <v>635</v>
      </c>
      <c r="Z385" s="43" t="s">
        <v>636</v>
      </c>
    </row>
    <row r="386" customFormat="false" ht="15" hidden="false" customHeight="false" outlineLevel="0" collapsed="false">
      <c r="A386" s="43" t="n">
        <v>384</v>
      </c>
      <c r="B386" s="43" t="s">
        <v>876</v>
      </c>
      <c r="C386" s="43" t="s">
        <v>877</v>
      </c>
      <c r="D386" s="43" t="s">
        <v>877</v>
      </c>
      <c r="E386" s="43" t="s">
        <v>145</v>
      </c>
      <c r="F386" s="43" t="s">
        <v>61</v>
      </c>
      <c r="G386" s="43" t="n">
        <v>2025</v>
      </c>
      <c r="H386" s="44" t="n">
        <v>0</v>
      </c>
      <c r="I386" s="43" t="n">
        <v>2025</v>
      </c>
      <c r="J386" s="43" t="n">
        <v>11</v>
      </c>
      <c r="K386" s="44" t="n">
        <v>119590</v>
      </c>
      <c r="L386" s="43" t="n">
        <v>2025</v>
      </c>
      <c r="M386" s="43" t="n">
        <v>12</v>
      </c>
      <c r="N386" s="44" t="n">
        <v>119590</v>
      </c>
      <c r="O386" s="43" t="n">
        <v>2026</v>
      </c>
      <c r="P386" s="43" t="n">
        <v>1</v>
      </c>
      <c r="Q386" s="44" t="n">
        <v>119590</v>
      </c>
      <c r="R386" s="43" t="s">
        <v>687</v>
      </c>
      <c r="S386" s="43" t="s">
        <v>83</v>
      </c>
      <c r="T386" s="43" t="s">
        <v>641</v>
      </c>
      <c r="U386" s="43" t="s">
        <v>642</v>
      </c>
      <c r="V386" s="43" t="n">
        <v>24</v>
      </c>
      <c r="W386" s="43" t="n">
        <v>19</v>
      </c>
      <c r="X386" s="43" t="n">
        <v>43</v>
      </c>
      <c r="Y386" s="43" t="s">
        <v>635</v>
      </c>
      <c r="Z386" s="43" t="s">
        <v>636</v>
      </c>
    </row>
    <row r="387" customFormat="false" ht="15" hidden="false" customHeight="false" outlineLevel="0" collapsed="false">
      <c r="A387" s="43" t="n">
        <v>385</v>
      </c>
      <c r="B387" s="43" t="s">
        <v>876</v>
      </c>
      <c r="C387" s="43" t="s">
        <v>877</v>
      </c>
      <c r="D387" s="43" t="s">
        <v>877</v>
      </c>
      <c r="E387" s="43" t="s">
        <v>145</v>
      </c>
      <c r="F387" s="43" t="s">
        <v>61</v>
      </c>
      <c r="G387" s="43" t="n">
        <v>2025</v>
      </c>
      <c r="H387" s="44" t="n">
        <v>0</v>
      </c>
      <c r="I387" s="43" t="n">
        <v>2025</v>
      </c>
      <c r="J387" s="43" t="n">
        <v>12</v>
      </c>
      <c r="K387" s="44" t="n">
        <v>8480</v>
      </c>
      <c r="L387" s="43"/>
      <c r="M387" s="43"/>
      <c r="N387" s="44" t="n">
        <v>0</v>
      </c>
      <c r="O387" s="43"/>
      <c r="P387" s="43"/>
      <c r="Q387" s="44" t="n">
        <v>0</v>
      </c>
      <c r="R387" s="43" t="s">
        <v>687</v>
      </c>
      <c r="S387" s="43" t="s">
        <v>83</v>
      </c>
      <c r="T387" s="43" t="s">
        <v>641</v>
      </c>
      <c r="U387" s="43" t="s">
        <v>642</v>
      </c>
      <c r="V387" s="43"/>
      <c r="W387" s="43"/>
      <c r="X387" s="43"/>
      <c r="Y387" s="43" t="s">
        <v>635</v>
      </c>
      <c r="Z387" s="43" t="s">
        <v>636</v>
      </c>
    </row>
    <row r="388" customFormat="false" ht="15" hidden="false" customHeight="false" outlineLevel="0" collapsed="false">
      <c r="A388" s="43" t="n">
        <v>386</v>
      </c>
      <c r="B388" s="43" t="s">
        <v>878</v>
      </c>
      <c r="C388" s="43" t="s">
        <v>879</v>
      </c>
      <c r="D388" s="43" t="s">
        <v>880</v>
      </c>
      <c r="E388" s="43" t="s">
        <v>145</v>
      </c>
      <c r="F388" s="43" t="s">
        <v>61</v>
      </c>
      <c r="G388" s="43" t="n">
        <v>2023</v>
      </c>
      <c r="H388" s="44" t="n">
        <v>5300</v>
      </c>
      <c r="I388" s="43" t="n">
        <v>2023</v>
      </c>
      <c r="J388" s="43" t="n">
        <v>11</v>
      </c>
      <c r="K388" s="44" t="n">
        <v>28417</v>
      </c>
      <c r="L388" s="43" t="n">
        <v>2023</v>
      </c>
      <c r="M388" s="43" t="n">
        <v>12</v>
      </c>
      <c r="N388" s="44" t="n">
        <v>28416.9952</v>
      </c>
      <c r="O388" s="43" t="n">
        <v>2024</v>
      </c>
      <c r="P388" s="43" t="n">
        <v>2</v>
      </c>
      <c r="Q388" s="44" t="n">
        <v>28417</v>
      </c>
      <c r="R388" s="43" t="s">
        <v>646</v>
      </c>
      <c r="S388" s="43" t="s">
        <v>83</v>
      </c>
      <c r="T388" s="43" t="s">
        <v>641</v>
      </c>
      <c r="U388" s="43" t="s">
        <v>669</v>
      </c>
      <c r="V388" s="43" t="n">
        <v>9</v>
      </c>
      <c r="W388" s="43" t="n">
        <v>63</v>
      </c>
      <c r="X388" s="43" t="n">
        <v>72</v>
      </c>
      <c r="Y388" s="43" t="s">
        <v>635</v>
      </c>
      <c r="Z388" s="43" t="s">
        <v>636</v>
      </c>
    </row>
    <row r="389" customFormat="false" ht="15" hidden="false" customHeight="false" outlineLevel="0" collapsed="false">
      <c r="A389" s="43" t="n">
        <v>387</v>
      </c>
      <c r="B389" s="43" t="s">
        <v>878</v>
      </c>
      <c r="C389" s="43" t="s">
        <v>879</v>
      </c>
      <c r="D389" s="43" t="s">
        <v>880</v>
      </c>
      <c r="E389" s="43" t="s">
        <v>145</v>
      </c>
      <c r="F389" s="43" t="s">
        <v>61</v>
      </c>
      <c r="G389" s="43" t="n">
        <v>2023</v>
      </c>
      <c r="H389" s="44" t="n">
        <v>30053</v>
      </c>
      <c r="I389" s="43" t="n">
        <v>2023</v>
      </c>
      <c r="J389" s="43" t="n">
        <v>12</v>
      </c>
      <c r="K389" s="44" t="n">
        <v>11977</v>
      </c>
      <c r="L389" s="43" t="n">
        <v>2023</v>
      </c>
      <c r="M389" s="43" t="n">
        <v>12</v>
      </c>
      <c r="N389" s="44" t="n">
        <v>11977</v>
      </c>
      <c r="O389" s="43" t="n">
        <v>2024</v>
      </c>
      <c r="P389" s="43" t="n">
        <v>2</v>
      </c>
      <c r="Q389" s="44" t="n">
        <v>11977</v>
      </c>
      <c r="R389" s="43" t="s">
        <v>646</v>
      </c>
      <c r="S389" s="43" t="s">
        <v>83</v>
      </c>
      <c r="T389" s="43" t="s">
        <v>641</v>
      </c>
      <c r="U389" s="43" t="s">
        <v>669</v>
      </c>
      <c r="V389" s="43" t="n">
        <v>5</v>
      </c>
      <c r="W389" s="43" t="n">
        <v>62</v>
      </c>
      <c r="X389" s="43" t="n">
        <v>67</v>
      </c>
      <c r="Y389" s="43" t="s">
        <v>635</v>
      </c>
      <c r="Z389" s="43" t="s">
        <v>636</v>
      </c>
    </row>
    <row r="390" customFormat="false" ht="15" hidden="false" customHeight="false" outlineLevel="0" collapsed="false">
      <c r="A390" s="43" t="n">
        <v>388</v>
      </c>
      <c r="B390" s="43" t="s">
        <v>878</v>
      </c>
      <c r="C390" s="43" t="s">
        <v>879</v>
      </c>
      <c r="D390" s="43" t="s">
        <v>880</v>
      </c>
      <c r="E390" s="43" t="s">
        <v>145</v>
      </c>
      <c r="F390" s="43" t="s">
        <v>61</v>
      </c>
      <c r="G390" s="43" t="n">
        <v>2024</v>
      </c>
      <c r="H390" s="44" t="n">
        <v>45000</v>
      </c>
      <c r="I390" s="43" t="n">
        <v>2024</v>
      </c>
      <c r="J390" s="43" t="n">
        <v>1</v>
      </c>
      <c r="K390" s="44" t="n">
        <v>31780</v>
      </c>
      <c r="L390" s="43" t="n">
        <v>2024</v>
      </c>
      <c r="M390" s="43" t="n">
        <v>1</v>
      </c>
      <c r="N390" s="44" t="n">
        <v>31780</v>
      </c>
      <c r="O390" s="43" t="n">
        <v>2024</v>
      </c>
      <c r="P390" s="43" t="n">
        <v>3</v>
      </c>
      <c r="Q390" s="44" t="n">
        <v>31780</v>
      </c>
      <c r="R390" s="43" t="s">
        <v>646</v>
      </c>
      <c r="S390" s="43" t="s">
        <v>83</v>
      </c>
      <c r="T390" s="43" t="s">
        <v>641</v>
      </c>
      <c r="U390" s="43" t="s">
        <v>669</v>
      </c>
      <c r="V390" s="43" t="n">
        <v>6</v>
      </c>
      <c r="W390" s="43" t="n">
        <v>55</v>
      </c>
      <c r="X390" s="43" t="n">
        <v>61</v>
      </c>
      <c r="Y390" s="43" t="s">
        <v>635</v>
      </c>
      <c r="Z390" s="43" t="s">
        <v>636</v>
      </c>
    </row>
    <row r="391" customFormat="false" ht="15" hidden="false" customHeight="false" outlineLevel="0" collapsed="false">
      <c r="A391" s="43" t="n">
        <v>389</v>
      </c>
      <c r="B391" s="43" t="s">
        <v>878</v>
      </c>
      <c r="C391" s="43" t="s">
        <v>879</v>
      </c>
      <c r="D391" s="43" t="s">
        <v>880</v>
      </c>
      <c r="E391" s="43" t="s">
        <v>145</v>
      </c>
      <c r="F391" s="43" t="s">
        <v>61</v>
      </c>
      <c r="G391" s="43" t="n">
        <v>2024</v>
      </c>
      <c r="H391" s="44" t="n">
        <v>40000</v>
      </c>
      <c r="I391" s="43" t="n">
        <v>2024</v>
      </c>
      <c r="J391" s="43" t="n">
        <v>2</v>
      </c>
      <c r="K391" s="44" t="n">
        <v>23974</v>
      </c>
      <c r="L391" s="43" t="n">
        <v>2024</v>
      </c>
      <c r="M391" s="43" t="n">
        <v>3</v>
      </c>
      <c r="N391" s="44" t="n">
        <v>23974</v>
      </c>
      <c r="O391" s="43" t="n">
        <v>2024</v>
      </c>
      <c r="P391" s="43" t="n">
        <v>4</v>
      </c>
      <c r="Q391" s="44" t="n">
        <v>23974</v>
      </c>
      <c r="R391" s="43" t="s">
        <v>646</v>
      </c>
      <c r="S391" s="43" t="s">
        <v>83</v>
      </c>
      <c r="T391" s="43" t="s">
        <v>641</v>
      </c>
      <c r="U391" s="43" t="s">
        <v>669</v>
      </c>
      <c r="V391" s="43" t="n">
        <v>10</v>
      </c>
      <c r="W391" s="43" t="n">
        <v>29</v>
      </c>
      <c r="X391" s="43" t="n">
        <v>39</v>
      </c>
      <c r="Y391" s="43" t="s">
        <v>635</v>
      </c>
      <c r="Z391" s="43" t="s">
        <v>636</v>
      </c>
    </row>
    <row r="392" customFormat="false" ht="15" hidden="false" customHeight="false" outlineLevel="0" collapsed="false">
      <c r="A392" s="43" t="n">
        <v>390</v>
      </c>
      <c r="B392" s="43" t="s">
        <v>878</v>
      </c>
      <c r="C392" s="43" t="s">
        <v>879</v>
      </c>
      <c r="D392" s="43" t="s">
        <v>880</v>
      </c>
      <c r="E392" s="43" t="s">
        <v>145</v>
      </c>
      <c r="F392" s="43" t="s">
        <v>61</v>
      </c>
      <c r="G392" s="43" t="n">
        <v>2024</v>
      </c>
      <c r="H392" s="44" t="n">
        <v>13986</v>
      </c>
      <c r="I392" s="43" t="n">
        <v>2024</v>
      </c>
      <c r="J392" s="43" t="n">
        <v>4</v>
      </c>
      <c r="K392" s="44" t="n">
        <v>15573</v>
      </c>
      <c r="L392" s="43" t="n">
        <v>2024</v>
      </c>
      <c r="M392" s="43" t="n">
        <v>5</v>
      </c>
      <c r="N392" s="44" t="n">
        <v>15573</v>
      </c>
      <c r="O392" s="43" t="n">
        <v>2024</v>
      </c>
      <c r="P392" s="43" t="n">
        <v>5</v>
      </c>
      <c r="Q392" s="44" t="n">
        <v>15573</v>
      </c>
      <c r="R392" s="43" t="s">
        <v>646</v>
      </c>
      <c r="S392" s="43" t="s">
        <v>83</v>
      </c>
      <c r="T392" s="43" t="s">
        <v>641</v>
      </c>
      <c r="U392" s="43" t="s">
        <v>669</v>
      </c>
      <c r="V392" s="43" t="n">
        <v>8</v>
      </c>
      <c r="W392" s="43" t="n">
        <v>24</v>
      </c>
      <c r="X392" s="43" t="n">
        <v>32</v>
      </c>
      <c r="Y392" s="43" t="s">
        <v>635</v>
      </c>
      <c r="Z392" s="43" t="s">
        <v>636</v>
      </c>
    </row>
    <row r="393" customFormat="false" ht="15" hidden="false" customHeight="false" outlineLevel="0" collapsed="false">
      <c r="A393" s="43" t="n">
        <v>391</v>
      </c>
      <c r="B393" s="43" t="s">
        <v>878</v>
      </c>
      <c r="C393" s="43" t="s">
        <v>879</v>
      </c>
      <c r="D393" s="43" t="s">
        <v>880</v>
      </c>
      <c r="E393" s="43" t="s">
        <v>145</v>
      </c>
      <c r="F393" s="43" t="s">
        <v>61</v>
      </c>
      <c r="G393" s="43" t="n">
        <v>2024</v>
      </c>
      <c r="H393" s="44" t="n">
        <v>56860</v>
      </c>
      <c r="I393" s="43" t="n">
        <v>2024</v>
      </c>
      <c r="J393" s="43" t="n">
        <v>5</v>
      </c>
      <c r="K393" s="44" t="n">
        <v>34910</v>
      </c>
      <c r="L393" s="43" t="n">
        <v>2024</v>
      </c>
      <c r="M393" s="43" t="n">
        <v>6</v>
      </c>
      <c r="N393" s="44" t="n">
        <v>34910</v>
      </c>
      <c r="O393" s="43" t="n">
        <v>2024</v>
      </c>
      <c r="P393" s="43" t="n">
        <v>7</v>
      </c>
      <c r="Q393" s="44" t="n">
        <v>33863</v>
      </c>
      <c r="R393" s="43" t="s">
        <v>646</v>
      </c>
      <c r="S393" s="43" t="s">
        <v>83</v>
      </c>
      <c r="T393" s="43" t="s">
        <v>641</v>
      </c>
      <c r="U393" s="43" t="s">
        <v>669</v>
      </c>
      <c r="V393" s="43" t="n">
        <v>26</v>
      </c>
      <c r="W393" s="43" t="n">
        <v>11</v>
      </c>
      <c r="X393" s="43" t="n">
        <v>37</v>
      </c>
      <c r="Y393" s="43" t="s">
        <v>635</v>
      </c>
      <c r="Z393" s="43" t="s">
        <v>636</v>
      </c>
    </row>
    <row r="394" customFormat="false" ht="15" hidden="false" customHeight="false" outlineLevel="0" collapsed="false">
      <c r="A394" s="43" t="n">
        <v>392</v>
      </c>
      <c r="B394" s="43" t="s">
        <v>878</v>
      </c>
      <c r="C394" s="43" t="s">
        <v>879</v>
      </c>
      <c r="D394" s="43" t="s">
        <v>880</v>
      </c>
      <c r="E394" s="43" t="s">
        <v>145</v>
      </c>
      <c r="F394" s="43" t="s">
        <v>61</v>
      </c>
      <c r="G394" s="43" t="n">
        <v>2024</v>
      </c>
      <c r="H394" s="44" t="n">
        <v>0</v>
      </c>
      <c r="I394" s="43" t="n">
        <v>2024</v>
      </c>
      <c r="J394" s="43" t="n">
        <v>5</v>
      </c>
      <c r="K394" s="44" t="n">
        <v>10160</v>
      </c>
      <c r="L394" s="43" t="n">
        <v>2024</v>
      </c>
      <c r="M394" s="43" t="n">
        <v>6</v>
      </c>
      <c r="N394" s="44" t="n">
        <v>10160</v>
      </c>
      <c r="O394" s="43" t="n">
        <v>2024</v>
      </c>
      <c r="P394" s="43" t="n">
        <v>7</v>
      </c>
      <c r="Q394" s="44" t="n">
        <v>9855</v>
      </c>
      <c r="R394" s="43" t="s">
        <v>646</v>
      </c>
      <c r="S394" s="43" t="s">
        <v>83</v>
      </c>
      <c r="T394" s="43" t="s">
        <v>641</v>
      </c>
      <c r="U394" s="43" t="s">
        <v>669</v>
      </c>
      <c r="V394" s="43" t="n">
        <v>26</v>
      </c>
      <c r="W394" s="43" t="n">
        <v>11</v>
      </c>
      <c r="X394" s="43" t="n">
        <v>37</v>
      </c>
      <c r="Y394" s="43" t="s">
        <v>635</v>
      </c>
      <c r="Z394" s="43" t="s">
        <v>636</v>
      </c>
    </row>
    <row r="395" customFormat="false" ht="15" hidden="false" customHeight="false" outlineLevel="0" collapsed="false">
      <c r="A395" s="43" t="n">
        <v>393</v>
      </c>
      <c r="B395" s="43" t="s">
        <v>878</v>
      </c>
      <c r="C395" s="43" t="s">
        <v>879</v>
      </c>
      <c r="D395" s="43" t="s">
        <v>880</v>
      </c>
      <c r="E395" s="43" t="s">
        <v>145</v>
      </c>
      <c r="F395" s="43" t="s">
        <v>61</v>
      </c>
      <c r="G395" s="43" t="n">
        <v>2024</v>
      </c>
      <c r="H395" s="44" t="n">
        <v>0</v>
      </c>
      <c r="I395" s="43" t="n">
        <v>2024</v>
      </c>
      <c r="J395" s="43" t="n">
        <v>5</v>
      </c>
      <c r="K395" s="44" t="n">
        <v>11790</v>
      </c>
      <c r="L395" s="43" t="n">
        <v>2024</v>
      </c>
      <c r="M395" s="43" t="n">
        <v>6</v>
      </c>
      <c r="N395" s="44" t="n">
        <v>11790</v>
      </c>
      <c r="O395" s="43" t="n">
        <v>2024</v>
      </c>
      <c r="P395" s="43" t="n">
        <v>7</v>
      </c>
      <c r="Q395" s="44" t="n">
        <v>11436</v>
      </c>
      <c r="R395" s="43" t="s">
        <v>646</v>
      </c>
      <c r="S395" s="43" t="s">
        <v>83</v>
      </c>
      <c r="T395" s="43" t="s">
        <v>641</v>
      </c>
      <c r="U395" s="43" t="s">
        <v>669</v>
      </c>
      <c r="V395" s="43" t="n">
        <v>26</v>
      </c>
      <c r="W395" s="43" t="n">
        <v>11</v>
      </c>
      <c r="X395" s="43" t="n">
        <v>37</v>
      </c>
      <c r="Y395" s="43" t="s">
        <v>635</v>
      </c>
      <c r="Z395" s="43" t="s">
        <v>636</v>
      </c>
    </row>
    <row r="396" customFormat="false" ht="15" hidden="false" customHeight="false" outlineLevel="0" collapsed="false">
      <c r="A396" s="43" t="n">
        <v>394</v>
      </c>
      <c r="B396" s="43" t="s">
        <v>878</v>
      </c>
      <c r="C396" s="43" t="s">
        <v>879</v>
      </c>
      <c r="D396" s="43" t="s">
        <v>880</v>
      </c>
      <c r="E396" s="43" t="s">
        <v>145</v>
      </c>
      <c r="F396" s="43" t="s">
        <v>61</v>
      </c>
      <c r="G396" s="43" t="n">
        <v>2024</v>
      </c>
      <c r="H396" s="44" t="n">
        <v>17015.3248</v>
      </c>
      <c r="I396" s="43" t="n">
        <v>2024</v>
      </c>
      <c r="J396" s="43" t="n">
        <v>7</v>
      </c>
      <c r="K396" s="44" t="n">
        <v>19158</v>
      </c>
      <c r="L396" s="43" t="n">
        <v>2024</v>
      </c>
      <c r="M396" s="43" t="n">
        <v>8</v>
      </c>
      <c r="N396" s="44" t="n">
        <v>19159</v>
      </c>
      <c r="O396" s="43" t="n">
        <v>2024</v>
      </c>
      <c r="P396" s="43" t="n">
        <v>8</v>
      </c>
      <c r="Q396" s="44" t="n">
        <v>18775.82</v>
      </c>
      <c r="R396" s="43" t="s">
        <v>646</v>
      </c>
      <c r="S396" s="43" t="s">
        <v>83</v>
      </c>
      <c r="T396" s="43" t="s">
        <v>641</v>
      </c>
      <c r="U396" s="43" t="s">
        <v>669</v>
      </c>
      <c r="V396" s="43" t="n">
        <v>20</v>
      </c>
      <c r="W396" s="43" t="n">
        <v>11</v>
      </c>
      <c r="X396" s="43" t="n">
        <v>31</v>
      </c>
      <c r="Y396" s="43" t="s">
        <v>635</v>
      </c>
      <c r="Z396" s="43" t="s">
        <v>636</v>
      </c>
    </row>
    <row r="397" customFormat="false" ht="15" hidden="false" customHeight="false" outlineLevel="0" collapsed="false">
      <c r="A397" s="43" t="n">
        <v>395</v>
      </c>
      <c r="B397" s="43" t="s">
        <v>878</v>
      </c>
      <c r="C397" s="43" t="s">
        <v>879</v>
      </c>
      <c r="D397" s="43" t="s">
        <v>880</v>
      </c>
      <c r="E397" s="43" t="s">
        <v>145</v>
      </c>
      <c r="F397" s="43" t="s">
        <v>61</v>
      </c>
      <c r="G397" s="43" t="n">
        <v>2024</v>
      </c>
      <c r="H397" s="44" t="n">
        <v>0</v>
      </c>
      <c r="I397" s="43" t="n">
        <v>2024</v>
      </c>
      <c r="J397" s="43" t="n">
        <v>6</v>
      </c>
      <c r="K397" s="44" t="n">
        <v>8313</v>
      </c>
      <c r="L397" s="43" t="n">
        <v>2024</v>
      </c>
      <c r="M397" s="43" t="n">
        <v>7</v>
      </c>
      <c r="N397" s="44" t="n">
        <v>8313</v>
      </c>
      <c r="O397" s="43" t="n">
        <v>2024</v>
      </c>
      <c r="P397" s="43" t="n">
        <v>8</v>
      </c>
      <c r="Q397" s="44" t="n">
        <v>7897.35</v>
      </c>
      <c r="R397" s="43" t="s">
        <v>646</v>
      </c>
      <c r="S397" s="43" t="s">
        <v>83</v>
      </c>
      <c r="T397" s="43" t="s">
        <v>641</v>
      </c>
      <c r="U397" s="43" t="s">
        <v>669</v>
      </c>
      <c r="V397" s="43" t="n">
        <v>14</v>
      </c>
      <c r="W397" s="43" t="n">
        <v>23</v>
      </c>
      <c r="X397" s="43" t="n">
        <v>37</v>
      </c>
      <c r="Y397" s="43" t="s">
        <v>635</v>
      </c>
      <c r="Z397" s="43" t="s">
        <v>636</v>
      </c>
    </row>
    <row r="398" customFormat="false" ht="15" hidden="false" customHeight="false" outlineLevel="0" collapsed="false">
      <c r="A398" s="43" t="n">
        <v>396</v>
      </c>
      <c r="B398" s="43" t="s">
        <v>878</v>
      </c>
      <c r="C398" s="43" t="s">
        <v>879</v>
      </c>
      <c r="D398" s="43" t="s">
        <v>880</v>
      </c>
      <c r="E398" s="43" t="s">
        <v>145</v>
      </c>
      <c r="F398" s="43" t="s">
        <v>61</v>
      </c>
      <c r="G398" s="43" t="n">
        <v>2024</v>
      </c>
      <c r="H398" s="44" t="n">
        <v>0</v>
      </c>
      <c r="I398" s="43" t="n">
        <v>2024</v>
      </c>
      <c r="J398" s="43" t="n">
        <v>6</v>
      </c>
      <c r="K398" s="44" t="n">
        <v>7105</v>
      </c>
      <c r="L398" s="43" t="n">
        <v>2024</v>
      </c>
      <c r="M398" s="43" t="n">
        <v>7</v>
      </c>
      <c r="N398" s="44" t="n">
        <v>7105</v>
      </c>
      <c r="O398" s="43" t="n">
        <v>2024</v>
      </c>
      <c r="P398" s="43" t="n">
        <v>8</v>
      </c>
      <c r="Q398" s="44" t="n">
        <v>6749.75</v>
      </c>
      <c r="R398" s="43" t="s">
        <v>646</v>
      </c>
      <c r="S398" s="43" t="s">
        <v>83</v>
      </c>
      <c r="T398" s="43" t="s">
        <v>641</v>
      </c>
      <c r="U398" s="43" t="s">
        <v>669</v>
      </c>
      <c r="V398" s="43" t="n">
        <v>14</v>
      </c>
      <c r="W398" s="43" t="n">
        <v>23</v>
      </c>
      <c r="X398" s="43" t="n">
        <v>37</v>
      </c>
      <c r="Y398" s="43" t="s">
        <v>635</v>
      </c>
      <c r="Z398" s="43" t="s">
        <v>636</v>
      </c>
    </row>
    <row r="399" customFormat="false" ht="15" hidden="false" customHeight="false" outlineLevel="0" collapsed="false">
      <c r="A399" s="43" t="n">
        <v>397</v>
      </c>
      <c r="B399" s="43" t="s">
        <v>878</v>
      </c>
      <c r="C399" s="43" t="s">
        <v>879</v>
      </c>
      <c r="D399" s="43" t="s">
        <v>880</v>
      </c>
      <c r="E399" s="43" t="s">
        <v>145</v>
      </c>
      <c r="F399" s="43" t="s">
        <v>61</v>
      </c>
      <c r="G399" s="43" t="n">
        <v>2024</v>
      </c>
      <c r="H399" s="44" t="n">
        <v>0</v>
      </c>
      <c r="I399" s="43" t="n">
        <v>2024</v>
      </c>
      <c r="J399" s="43" t="n">
        <v>7</v>
      </c>
      <c r="K399" s="44" t="n">
        <v>19689</v>
      </c>
      <c r="L399" s="43" t="n">
        <v>2024</v>
      </c>
      <c r="M399" s="43" t="n">
        <v>8</v>
      </c>
      <c r="N399" s="44" t="n">
        <v>16689</v>
      </c>
      <c r="O399" s="43" t="n">
        <v>2024</v>
      </c>
      <c r="P399" s="43" t="n">
        <v>8</v>
      </c>
      <c r="Q399" s="44" t="n">
        <v>16355.22</v>
      </c>
      <c r="R399" s="43" t="s">
        <v>646</v>
      </c>
      <c r="S399" s="43" t="s">
        <v>83</v>
      </c>
      <c r="T399" s="43" t="s">
        <v>641</v>
      </c>
      <c r="U399" s="43" t="s">
        <v>669</v>
      </c>
      <c r="V399" s="43" t="n">
        <v>20</v>
      </c>
      <c r="W399" s="43" t="n">
        <v>11</v>
      </c>
      <c r="X399" s="43" t="n">
        <v>31</v>
      </c>
      <c r="Y399" s="43" t="s">
        <v>635</v>
      </c>
      <c r="Z399" s="43" t="s">
        <v>636</v>
      </c>
    </row>
    <row r="400" customFormat="false" ht="15" hidden="false" customHeight="false" outlineLevel="0" collapsed="false">
      <c r="A400" s="43" t="n">
        <v>398</v>
      </c>
      <c r="B400" s="43" t="s">
        <v>878</v>
      </c>
      <c r="C400" s="43" t="s">
        <v>879</v>
      </c>
      <c r="D400" s="43" t="s">
        <v>880</v>
      </c>
      <c r="E400" s="43" t="s">
        <v>145</v>
      </c>
      <c r="F400" s="43" t="s">
        <v>61</v>
      </c>
      <c r="G400" s="43" t="n">
        <v>2024</v>
      </c>
      <c r="H400" s="44" t="n">
        <v>0</v>
      </c>
      <c r="I400" s="43" t="n">
        <v>2024</v>
      </c>
      <c r="J400" s="43" t="n">
        <v>7</v>
      </c>
      <c r="K400" s="44" t="n">
        <v>7105</v>
      </c>
      <c r="L400" s="43" t="n">
        <v>2024</v>
      </c>
      <c r="M400" s="43" t="n">
        <v>8</v>
      </c>
      <c r="N400" s="44" t="n">
        <v>7105</v>
      </c>
      <c r="O400" s="43" t="n">
        <v>2024</v>
      </c>
      <c r="P400" s="43" t="n">
        <v>8</v>
      </c>
      <c r="Q400" s="44" t="n">
        <v>6962.9</v>
      </c>
      <c r="R400" s="43" t="s">
        <v>646</v>
      </c>
      <c r="S400" s="43" t="s">
        <v>83</v>
      </c>
      <c r="T400" s="43" t="s">
        <v>641</v>
      </c>
      <c r="U400" s="43" t="s">
        <v>669</v>
      </c>
      <c r="V400" s="43" t="n">
        <v>20</v>
      </c>
      <c r="W400" s="43" t="n">
        <v>11</v>
      </c>
      <c r="X400" s="43" t="n">
        <v>31</v>
      </c>
      <c r="Y400" s="43" t="s">
        <v>635</v>
      </c>
      <c r="Z400" s="43" t="s">
        <v>636</v>
      </c>
    </row>
    <row r="401" customFormat="false" ht="15" hidden="false" customHeight="false" outlineLevel="0" collapsed="false">
      <c r="A401" s="43" t="n">
        <v>399</v>
      </c>
      <c r="B401" s="43" t="s">
        <v>881</v>
      </c>
      <c r="C401" s="43" t="s">
        <v>882</v>
      </c>
      <c r="D401" s="43" t="s">
        <v>882</v>
      </c>
      <c r="E401" s="43" t="s">
        <v>145</v>
      </c>
      <c r="F401" s="43" t="s">
        <v>61</v>
      </c>
      <c r="G401" s="43" t="n">
        <v>2025</v>
      </c>
      <c r="H401" s="44" t="n">
        <v>0</v>
      </c>
      <c r="I401" s="43" t="n">
        <v>2025</v>
      </c>
      <c r="J401" s="43" t="n">
        <v>1</v>
      </c>
      <c r="K401" s="44" t="n">
        <v>9930</v>
      </c>
      <c r="L401" s="43" t="n">
        <v>2025</v>
      </c>
      <c r="M401" s="43" t="n">
        <v>4</v>
      </c>
      <c r="N401" s="44" t="n">
        <v>9930</v>
      </c>
      <c r="O401" s="43" t="n">
        <v>2025</v>
      </c>
      <c r="P401" s="43" t="n">
        <v>6</v>
      </c>
      <c r="Q401" s="44" t="n">
        <v>9930</v>
      </c>
      <c r="R401" s="43" t="s">
        <v>646</v>
      </c>
      <c r="S401" s="43" t="s">
        <v>83</v>
      </c>
      <c r="T401" s="43" t="s">
        <v>641</v>
      </c>
      <c r="U401" s="43" t="s">
        <v>669</v>
      </c>
      <c r="V401" s="43" t="n">
        <v>80</v>
      </c>
      <c r="W401" s="43" t="n">
        <v>62</v>
      </c>
      <c r="X401" s="43" t="n">
        <v>142</v>
      </c>
      <c r="Y401" s="43" t="s">
        <v>635</v>
      </c>
      <c r="Z401" s="43" t="s">
        <v>636</v>
      </c>
    </row>
    <row r="402" customFormat="false" ht="15" hidden="false" customHeight="false" outlineLevel="0" collapsed="false">
      <c r="A402" s="43" t="n">
        <v>400</v>
      </c>
      <c r="B402" s="43" t="s">
        <v>881</v>
      </c>
      <c r="C402" s="43" t="s">
        <v>882</v>
      </c>
      <c r="D402" s="43" t="s">
        <v>882</v>
      </c>
      <c r="E402" s="43" t="s">
        <v>145</v>
      </c>
      <c r="F402" s="43" t="s">
        <v>61</v>
      </c>
      <c r="G402" s="43" t="n">
        <v>2025</v>
      </c>
      <c r="H402" s="44" t="n">
        <v>0</v>
      </c>
      <c r="I402" s="43" t="n">
        <v>2025</v>
      </c>
      <c r="J402" s="43" t="n">
        <v>2</v>
      </c>
      <c r="K402" s="44" t="n">
        <v>27785</v>
      </c>
      <c r="L402" s="43" t="n">
        <v>2025</v>
      </c>
      <c r="M402" s="43" t="n">
        <v>4</v>
      </c>
      <c r="N402" s="44" t="n">
        <v>27785</v>
      </c>
      <c r="O402" s="43" t="n">
        <v>2025</v>
      </c>
      <c r="P402" s="43" t="n">
        <v>6</v>
      </c>
      <c r="Q402" s="44" t="n">
        <v>27785</v>
      </c>
      <c r="R402" s="43" t="s">
        <v>646</v>
      </c>
      <c r="S402" s="43" t="s">
        <v>83</v>
      </c>
      <c r="T402" s="43" t="s">
        <v>641</v>
      </c>
      <c r="U402" s="43" t="s">
        <v>669</v>
      </c>
      <c r="V402" s="43" t="n">
        <v>49</v>
      </c>
      <c r="W402" s="43" t="n">
        <v>62</v>
      </c>
      <c r="X402" s="43" t="n">
        <v>111</v>
      </c>
      <c r="Y402" s="43" t="s">
        <v>635</v>
      </c>
      <c r="Z402" s="43" t="s">
        <v>636</v>
      </c>
    </row>
    <row r="403" customFormat="false" ht="15" hidden="false" customHeight="false" outlineLevel="0" collapsed="false">
      <c r="A403" s="43" t="n">
        <v>401</v>
      </c>
      <c r="B403" s="43" t="s">
        <v>881</v>
      </c>
      <c r="C403" s="43" t="s">
        <v>882</v>
      </c>
      <c r="D403" s="43" t="s">
        <v>882</v>
      </c>
      <c r="E403" s="43" t="s">
        <v>145</v>
      </c>
      <c r="F403" s="43" t="s">
        <v>61</v>
      </c>
      <c r="G403" s="43" t="n">
        <v>2025</v>
      </c>
      <c r="H403" s="44" t="n">
        <v>0</v>
      </c>
      <c r="I403" s="43" t="n">
        <v>2025</v>
      </c>
      <c r="J403" s="43" t="n">
        <v>3</v>
      </c>
      <c r="K403" s="44" t="n">
        <v>10082</v>
      </c>
      <c r="L403" s="43" t="n">
        <v>2025</v>
      </c>
      <c r="M403" s="43" t="n">
        <v>5</v>
      </c>
      <c r="N403" s="44" t="n">
        <v>10082</v>
      </c>
      <c r="O403" s="43" t="n">
        <v>2025</v>
      </c>
      <c r="P403" s="43" t="n">
        <v>9</v>
      </c>
      <c r="Q403" s="44" t="n">
        <v>10082</v>
      </c>
      <c r="R403" s="43" t="s">
        <v>646</v>
      </c>
      <c r="S403" s="43" t="s">
        <v>83</v>
      </c>
      <c r="T403" s="43" t="s">
        <v>641</v>
      </c>
      <c r="U403" s="43" t="s">
        <v>669</v>
      </c>
      <c r="V403" s="43" t="n">
        <v>52</v>
      </c>
      <c r="W403" s="43" t="n">
        <v>130</v>
      </c>
      <c r="X403" s="43" t="n">
        <v>182</v>
      </c>
      <c r="Y403" s="43" t="s">
        <v>635</v>
      </c>
      <c r="Z403" s="43" t="s">
        <v>636</v>
      </c>
    </row>
    <row r="404" customFormat="false" ht="15" hidden="false" customHeight="false" outlineLevel="0" collapsed="false">
      <c r="A404" s="43" t="n">
        <v>402</v>
      </c>
      <c r="B404" s="43" t="s">
        <v>881</v>
      </c>
      <c r="C404" s="43" t="s">
        <v>882</v>
      </c>
      <c r="D404" s="43" t="s">
        <v>882</v>
      </c>
      <c r="E404" s="43" t="s">
        <v>145</v>
      </c>
      <c r="F404" s="43" t="s">
        <v>61</v>
      </c>
      <c r="G404" s="43" t="n">
        <v>2025</v>
      </c>
      <c r="H404" s="44" t="n">
        <v>0</v>
      </c>
      <c r="I404" s="43" t="n">
        <v>2025</v>
      </c>
      <c r="J404" s="43" t="n">
        <v>4</v>
      </c>
      <c r="K404" s="44" t="n">
        <v>15088</v>
      </c>
      <c r="L404" s="43" t="n">
        <v>2025</v>
      </c>
      <c r="M404" s="43" t="n">
        <v>6</v>
      </c>
      <c r="N404" s="44" t="n">
        <v>15088</v>
      </c>
      <c r="O404" s="43" t="n">
        <v>2025</v>
      </c>
      <c r="P404" s="43" t="n">
        <v>8</v>
      </c>
      <c r="Q404" s="44" t="n">
        <v>14780.5464150943</v>
      </c>
      <c r="R404" s="43" t="s">
        <v>646</v>
      </c>
      <c r="S404" s="43" t="s">
        <v>83</v>
      </c>
      <c r="T404" s="43" t="s">
        <v>641</v>
      </c>
      <c r="U404" s="43" t="s">
        <v>669</v>
      </c>
      <c r="V404" s="43" t="n">
        <v>59</v>
      </c>
      <c r="W404" s="43" t="n">
        <v>55</v>
      </c>
      <c r="X404" s="43" t="n">
        <v>114</v>
      </c>
      <c r="Y404" s="43" t="s">
        <v>635</v>
      </c>
      <c r="Z404" s="43" t="s">
        <v>636</v>
      </c>
    </row>
    <row r="405" customFormat="false" ht="15" hidden="false" customHeight="false" outlineLevel="0" collapsed="false">
      <c r="A405" s="43" t="n">
        <v>403</v>
      </c>
      <c r="B405" s="43" t="s">
        <v>881</v>
      </c>
      <c r="C405" s="43" t="s">
        <v>882</v>
      </c>
      <c r="D405" s="43" t="s">
        <v>882</v>
      </c>
      <c r="E405" s="43" t="s">
        <v>145</v>
      </c>
      <c r="F405" s="43" t="s">
        <v>61</v>
      </c>
      <c r="G405" s="43" t="n">
        <v>2025</v>
      </c>
      <c r="H405" s="44" t="n">
        <v>0</v>
      </c>
      <c r="I405" s="43" t="n">
        <v>2025</v>
      </c>
      <c r="J405" s="43" t="n">
        <v>5</v>
      </c>
      <c r="K405" s="44" t="n">
        <v>4047</v>
      </c>
      <c r="L405" s="43" t="n">
        <v>2025</v>
      </c>
      <c r="M405" s="43" t="n">
        <v>6</v>
      </c>
      <c r="N405" s="44" t="n">
        <v>4047</v>
      </c>
      <c r="O405" s="43" t="n">
        <v>2025</v>
      </c>
      <c r="P405" s="43" t="n">
        <v>8</v>
      </c>
      <c r="Q405" s="44" t="n">
        <v>3964.53283018868</v>
      </c>
      <c r="R405" s="43" t="s">
        <v>646</v>
      </c>
      <c r="S405" s="43" t="s">
        <v>83</v>
      </c>
      <c r="T405" s="43" t="s">
        <v>641</v>
      </c>
      <c r="U405" s="43" t="s">
        <v>669</v>
      </c>
      <c r="V405" s="43" t="n">
        <v>30</v>
      </c>
      <c r="W405" s="43" t="n">
        <v>55</v>
      </c>
      <c r="X405" s="43" t="n">
        <v>85</v>
      </c>
      <c r="Y405" s="43" t="s">
        <v>635</v>
      </c>
      <c r="Z405" s="43" t="s">
        <v>636</v>
      </c>
    </row>
    <row r="406" customFormat="false" ht="15" hidden="false" customHeight="false" outlineLevel="0" collapsed="false">
      <c r="A406" s="43" t="n">
        <v>404</v>
      </c>
      <c r="B406" s="43" t="s">
        <v>881</v>
      </c>
      <c r="C406" s="43" t="s">
        <v>882</v>
      </c>
      <c r="D406" s="43" t="s">
        <v>882</v>
      </c>
      <c r="E406" s="43" t="s">
        <v>145</v>
      </c>
      <c r="F406" s="43" t="s">
        <v>61</v>
      </c>
      <c r="G406" s="43" t="n">
        <v>2025</v>
      </c>
      <c r="H406" s="44" t="n">
        <v>0</v>
      </c>
      <c r="I406" s="43" t="n">
        <v>2025</v>
      </c>
      <c r="J406" s="43" t="n">
        <v>5</v>
      </c>
      <c r="K406" s="44" t="n">
        <v>16127</v>
      </c>
      <c r="L406" s="43" t="n">
        <v>2025</v>
      </c>
      <c r="M406" s="43" t="n">
        <v>7</v>
      </c>
      <c r="N406" s="44" t="n">
        <v>16127</v>
      </c>
      <c r="O406" s="43" t="n">
        <v>2025</v>
      </c>
      <c r="P406" s="43" t="n">
        <v>8</v>
      </c>
      <c r="Q406" s="44" t="n">
        <v>15798.3743396226</v>
      </c>
      <c r="R406" s="43" t="s">
        <v>646</v>
      </c>
      <c r="S406" s="43" t="s">
        <v>83</v>
      </c>
      <c r="T406" s="43" t="s">
        <v>641</v>
      </c>
      <c r="U406" s="43" t="s">
        <v>669</v>
      </c>
      <c r="V406" s="43" t="n">
        <v>47</v>
      </c>
      <c r="W406" s="43" t="n">
        <v>38</v>
      </c>
      <c r="X406" s="43" t="n">
        <v>85</v>
      </c>
      <c r="Y406" s="43" t="s">
        <v>635</v>
      </c>
      <c r="Z406" s="43" t="s">
        <v>636</v>
      </c>
    </row>
    <row r="407" customFormat="false" ht="15" hidden="false" customHeight="false" outlineLevel="0" collapsed="false">
      <c r="A407" s="43" t="n">
        <v>405</v>
      </c>
      <c r="B407" s="43" t="s">
        <v>881</v>
      </c>
      <c r="C407" s="43" t="s">
        <v>882</v>
      </c>
      <c r="D407" s="43" t="s">
        <v>882</v>
      </c>
      <c r="E407" s="43" t="s">
        <v>145</v>
      </c>
      <c r="F407" s="43" t="s">
        <v>61</v>
      </c>
      <c r="G407" s="43" t="n">
        <v>2025</v>
      </c>
      <c r="H407" s="44" t="n">
        <v>0</v>
      </c>
      <c r="I407" s="43" t="n">
        <v>2025</v>
      </c>
      <c r="J407" s="43" t="n">
        <v>6</v>
      </c>
      <c r="K407" s="44" t="n">
        <v>2228</v>
      </c>
      <c r="L407" s="43" t="n">
        <v>2025</v>
      </c>
      <c r="M407" s="43" t="n">
        <v>8</v>
      </c>
      <c r="N407" s="44" t="n">
        <v>2228</v>
      </c>
      <c r="O407" s="43" t="n">
        <v>2025</v>
      </c>
      <c r="P407" s="43" t="n">
        <v>9</v>
      </c>
      <c r="Q407" s="44" t="n">
        <v>2228</v>
      </c>
      <c r="R407" s="43" t="s">
        <v>646</v>
      </c>
      <c r="S407" s="43" t="s">
        <v>83</v>
      </c>
      <c r="T407" s="43" t="s">
        <v>641</v>
      </c>
      <c r="U407" s="43" t="s">
        <v>669</v>
      </c>
      <c r="V407" s="43" t="n">
        <v>53</v>
      </c>
      <c r="W407" s="43" t="n">
        <v>22</v>
      </c>
      <c r="X407" s="43" t="n">
        <v>75</v>
      </c>
      <c r="Y407" s="43" t="s">
        <v>635</v>
      </c>
      <c r="Z407" s="43" t="s">
        <v>636</v>
      </c>
    </row>
    <row r="408" customFormat="false" ht="15" hidden="false" customHeight="false" outlineLevel="0" collapsed="false">
      <c r="A408" s="43" t="n">
        <v>406</v>
      </c>
      <c r="B408" s="43" t="s">
        <v>881</v>
      </c>
      <c r="C408" s="43" t="s">
        <v>882</v>
      </c>
      <c r="D408" s="43" t="s">
        <v>882</v>
      </c>
      <c r="E408" s="43" t="s">
        <v>145</v>
      </c>
      <c r="F408" s="43" t="s">
        <v>61</v>
      </c>
      <c r="G408" s="43" t="n">
        <v>2025</v>
      </c>
      <c r="H408" s="44" t="n">
        <v>0</v>
      </c>
      <c r="I408" s="43" t="n">
        <v>2025</v>
      </c>
      <c r="J408" s="43" t="n">
        <v>6</v>
      </c>
      <c r="K408" s="44" t="n">
        <v>2233</v>
      </c>
      <c r="L408" s="43" t="n">
        <v>2025</v>
      </c>
      <c r="M408" s="43" t="n">
        <v>8</v>
      </c>
      <c r="N408" s="44" t="n">
        <v>2233</v>
      </c>
      <c r="O408" s="43" t="n">
        <v>2025</v>
      </c>
      <c r="P408" s="43" t="n">
        <v>9</v>
      </c>
      <c r="Q408" s="44" t="n">
        <v>2233</v>
      </c>
      <c r="R408" s="43" t="s">
        <v>646</v>
      </c>
      <c r="S408" s="43" t="s">
        <v>83</v>
      </c>
      <c r="T408" s="43" t="s">
        <v>641</v>
      </c>
      <c r="U408" s="43" t="s">
        <v>669</v>
      </c>
      <c r="V408" s="43" t="n">
        <v>53</v>
      </c>
      <c r="W408" s="43" t="n">
        <v>22</v>
      </c>
      <c r="X408" s="43" t="n">
        <v>75</v>
      </c>
      <c r="Y408" s="43" t="s">
        <v>635</v>
      </c>
      <c r="Z408" s="43" t="s">
        <v>636</v>
      </c>
    </row>
    <row r="409" customFormat="false" ht="15" hidden="false" customHeight="false" outlineLevel="0" collapsed="false">
      <c r="A409" s="43" t="n">
        <v>407</v>
      </c>
      <c r="B409" s="43" t="s">
        <v>883</v>
      </c>
      <c r="C409" s="43" t="s">
        <v>884</v>
      </c>
      <c r="D409" s="43" t="s">
        <v>884</v>
      </c>
      <c r="E409" s="43" t="s">
        <v>160</v>
      </c>
      <c r="F409" s="43" t="s">
        <v>62</v>
      </c>
      <c r="G409" s="43" t="n">
        <v>2025</v>
      </c>
      <c r="H409" s="44" t="n">
        <v>0</v>
      </c>
      <c r="I409" s="43" t="n">
        <v>2025</v>
      </c>
      <c r="J409" s="43" t="n">
        <v>8</v>
      </c>
      <c r="K409" s="44" t="n">
        <v>35225</v>
      </c>
      <c r="L409" s="43" t="n">
        <v>2025</v>
      </c>
      <c r="M409" s="43" t="n">
        <v>8</v>
      </c>
      <c r="N409" s="44" t="n">
        <v>35660</v>
      </c>
      <c r="O409" s="43" t="n">
        <v>2025</v>
      </c>
      <c r="P409" s="43" t="n">
        <v>10</v>
      </c>
      <c r="Q409" s="44" t="n">
        <v>33533</v>
      </c>
      <c r="R409" s="43" t="s">
        <v>651</v>
      </c>
      <c r="S409" s="43" t="s">
        <v>85</v>
      </c>
      <c r="T409" s="43" t="s">
        <v>633</v>
      </c>
      <c r="U409" s="43" t="s">
        <v>642</v>
      </c>
      <c r="V409" s="43" t="n">
        <v>2</v>
      </c>
      <c r="W409" s="43" t="n">
        <v>54</v>
      </c>
      <c r="X409" s="43" t="n">
        <v>56</v>
      </c>
      <c r="Y409" s="43" t="s">
        <v>635</v>
      </c>
      <c r="Z409" s="43" t="s">
        <v>636</v>
      </c>
    </row>
    <row r="410" customFormat="false" ht="15" hidden="false" customHeight="false" outlineLevel="0" collapsed="false">
      <c r="A410" s="43" t="n">
        <v>408</v>
      </c>
      <c r="B410" s="43" t="s">
        <v>883</v>
      </c>
      <c r="C410" s="43" t="s">
        <v>884</v>
      </c>
      <c r="D410" s="43" t="s">
        <v>884</v>
      </c>
      <c r="E410" s="43" t="s">
        <v>160</v>
      </c>
      <c r="F410" s="43" t="s">
        <v>62</v>
      </c>
      <c r="G410" s="43" t="n">
        <v>2025</v>
      </c>
      <c r="H410" s="44" t="n">
        <v>0</v>
      </c>
      <c r="I410" s="43" t="n">
        <v>2025</v>
      </c>
      <c r="J410" s="43" t="n">
        <v>9</v>
      </c>
      <c r="K410" s="44" t="n">
        <v>39154</v>
      </c>
      <c r="L410" s="43" t="n">
        <v>2025</v>
      </c>
      <c r="M410" s="43" t="n">
        <v>9</v>
      </c>
      <c r="N410" s="44" t="n">
        <v>38366.6055045872</v>
      </c>
      <c r="O410" s="43" t="n">
        <v>2025</v>
      </c>
      <c r="P410" s="43" t="n">
        <v>11</v>
      </c>
      <c r="Q410" s="44" t="n">
        <v>36818</v>
      </c>
      <c r="R410" s="43" t="s">
        <v>651</v>
      </c>
      <c r="S410" s="43" t="s">
        <v>85</v>
      </c>
      <c r="T410" s="43" t="s">
        <v>633</v>
      </c>
      <c r="U410" s="43" t="s">
        <v>642</v>
      </c>
      <c r="V410" s="43" t="n">
        <v>7</v>
      </c>
      <c r="W410" s="43" t="n">
        <v>56</v>
      </c>
      <c r="X410" s="43" t="n">
        <v>63</v>
      </c>
      <c r="Y410" s="43" t="s">
        <v>635</v>
      </c>
      <c r="Z410" s="43" t="s">
        <v>636</v>
      </c>
    </row>
    <row r="411" customFormat="false" ht="15" hidden="false" customHeight="false" outlineLevel="0" collapsed="false">
      <c r="A411" s="43" t="n">
        <v>409</v>
      </c>
      <c r="B411" s="43" t="s">
        <v>883</v>
      </c>
      <c r="C411" s="43" t="s">
        <v>884</v>
      </c>
      <c r="D411" s="43" t="s">
        <v>884</v>
      </c>
      <c r="E411" s="43" t="s">
        <v>160</v>
      </c>
      <c r="F411" s="43" t="s">
        <v>62</v>
      </c>
      <c r="G411" s="43" t="n">
        <v>2025</v>
      </c>
      <c r="H411" s="44" t="n">
        <v>0</v>
      </c>
      <c r="I411" s="43" t="n">
        <v>2025</v>
      </c>
      <c r="J411" s="43" t="n">
        <v>10</v>
      </c>
      <c r="K411" s="44" t="n">
        <v>38758</v>
      </c>
      <c r="L411" s="43" t="n">
        <v>2025</v>
      </c>
      <c r="M411" s="43" t="n">
        <v>11</v>
      </c>
      <c r="N411" s="44" t="n">
        <v>35406.8181818182</v>
      </c>
      <c r="O411" s="43" t="n">
        <v>2026</v>
      </c>
      <c r="P411" s="43" t="n">
        <v>1</v>
      </c>
      <c r="Q411" s="44" t="n">
        <v>33676</v>
      </c>
      <c r="R411" s="43" t="s">
        <v>651</v>
      </c>
      <c r="S411" s="43" t="s">
        <v>85</v>
      </c>
      <c r="T411" s="43" t="s">
        <v>633</v>
      </c>
      <c r="U411" s="43" t="s">
        <v>642</v>
      </c>
      <c r="V411" s="43" t="n">
        <v>30</v>
      </c>
      <c r="W411" s="43" t="n">
        <v>52</v>
      </c>
      <c r="X411" s="43" t="n">
        <v>82</v>
      </c>
      <c r="Y411" s="43" t="s">
        <v>635</v>
      </c>
      <c r="Z411" s="43" t="s">
        <v>636</v>
      </c>
    </row>
    <row r="412" customFormat="false" ht="15" hidden="false" customHeight="false" outlineLevel="0" collapsed="false">
      <c r="A412" s="43" t="n">
        <v>410</v>
      </c>
      <c r="B412" s="43" t="s">
        <v>885</v>
      </c>
      <c r="C412" s="43" t="s">
        <v>886</v>
      </c>
      <c r="D412" s="43" t="s">
        <v>887</v>
      </c>
      <c r="E412" s="43" t="s">
        <v>131</v>
      </c>
      <c r="F412" s="43" t="s">
        <v>48</v>
      </c>
      <c r="G412" s="43" t="n">
        <v>2023</v>
      </c>
      <c r="H412" s="44" t="n">
        <v>37831</v>
      </c>
      <c r="I412" s="43" t="n">
        <v>2023</v>
      </c>
      <c r="J412" s="43" t="n">
        <v>9</v>
      </c>
      <c r="K412" s="44" t="n">
        <v>40233</v>
      </c>
      <c r="L412" s="43" t="n">
        <v>2023</v>
      </c>
      <c r="M412" s="43" t="n">
        <v>10</v>
      </c>
      <c r="N412" s="44" t="n">
        <v>40233</v>
      </c>
      <c r="O412" s="43" t="n">
        <v>2023</v>
      </c>
      <c r="P412" s="43" t="n">
        <v>10</v>
      </c>
      <c r="Q412" s="44" t="n">
        <v>38221.35</v>
      </c>
      <c r="R412" s="43" t="s">
        <v>640</v>
      </c>
      <c r="S412" s="43" t="s">
        <v>84</v>
      </c>
      <c r="T412" s="43" t="s">
        <v>641</v>
      </c>
      <c r="U412" s="43" t="s">
        <v>642</v>
      </c>
      <c r="V412" s="43" t="n">
        <v>16</v>
      </c>
      <c r="W412" s="43" t="n">
        <v>14</v>
      </c>
      <c r="X412" s="43" t="n">
        <v>30</v>
      </c>
      <c r="Y412" s="43" t="s">
        <v>635</v>
      </c>
      <c r="Z412" s="43" t="s">
        <v>636</v>
      </c>
    </row>
    <row r="413" customFormat="false" ht="15" hidden="false" customHeight="false" outlineLevel="0" collapsed="false">
      <c r="A413" s="43" t="n">
        <v>411</v>
      </c>
      <c r="B413" s="43" t="s">
        <v>888</v>
      </c>
      <c r="C413" s="43" t="s">
        <v>889</v>
      </c>
      <c r="D413" s="43" t="s">
        <v>890</v>
      </c>
      <c r="E413" s="43" t="s">
        <v>131</v>
      </c>
      <c r="F413" s="43" t="s">
        <v>48</v>
      </c>
      <c r="G413" s="43" t="n">
        <v>2023</v>
      </c>
      <c r="H413" s="44" t="n">
        <v>25796</v>
      </c>
      <c r="I413" s="43" t="n">
        <v>2023</v>
      </c>
      <c r="J413" s="43" t="n">
        <v>9</v>
      </c>
      <c r="K413" s="44" t="n">
        <v>27467</v>
      </c>
      <c r="L413" s="43" t="n">
        <v>2023</v>
      </c>
      <c r="M413" s="43" t="n">
        <v>10</v>
      </c>
      <c r="N413" s="44" t="n">
        <v>27467</v>
      </c>
      <c r="O413" s="43" t="n">
        <v>2023</v>
      </c>
      <c r="P413" s="43" t="n">
        <v>10</v>
      </c>
      <c r="Q413" s="44" t="n">
        <v>26093.65</v>
      </c>
      <c r="R413" s="43" t="s">
        <v>640</v>
      </c>
      <c r="S413" s="43" t="s">
        <v>84</v>
      </c>
      <c r="T413" s="43" t="s">
        <v>641</v>
      </c>
      <c r="U413" s="43" t="s">
        <v>642</v>
      </c>
      <c r="V413" s="43" t="n">
        <v>16</v>
      </c>
      <c r="W413" s="43" t="n">
        <v>14</v>
      </c>
      <c r="X413" s="43" t="n">
        <v>30</v>
      </c>
      <c r="Y413" s="43" t="s">
        <v>635</v>
      </c>
      <c r="Z413" s="43" t="s">
        <v>636</v>
      </c>
    </row>
    <row r="414" customFormat="false" ht="15" hidden="false" customHeight="false" outlineLevel="0" collapsed="false">
      <c r="A414" s="43" t="n">
        <v>412</v>
      </c>
      <c r="B414" s="43" t="s">
        <v>891</v>
      </c>
      <c r="C414" s="43" t="s">
        <v>892</v>
      </c>
      <c r="D414" s="43" t="s">
        <v>893</v>
      </c>
      <c r="E414" s="43" t="s">
        <v>136</v>
      </c>
      <c r="F414" s="43" t="s">
        <v>48</v>
      </c>
      <c r="G414" s="43" t="n">
        <v>2023</v>
      </c>
      <c r="H414" s="44" t="n">
        <v>0</v>
      </c>
      <c r="I414" s="43" t="n">
        <v>2023</v>
      </c>
      <c r="J414" s="43" t="n">
        <v>3</v>
      </c>
      <c r="K414" s="44" t="n">
        <v>62800</v>
      </c>
      <c r="L414" s="43" t="n">
        <v>2023</v>
      </c>
      <c r="M414" s="43" t="n">
        <v>4</v>
      </c>
      <c r="N414" s="44" t="n">
        <v>62800</v>
      </c>
      <c r="O414" s="43" t="n">
        <v>2023</v>
      </c>
      <c r="P414" s="43" t="n">
        <v>7</v>
      </c>
      <c r="Q414" s="44" t="n">
        <v>62800</v>
      </c>
      <c r="R414" s="43" t="s">
        <v>703</v>
      </c>
      <c r="S414" s="43" t="s">
        <v>83</v>
      </c>
      <c r="T414" s="43" t="s">
        <v>641</v>
      </c>
      <c r="U414" s="43" t="s">
        <v>642</v>
      </c>
      <c r="V414" s="43" t="n">
        <v>22</v>
      </c>
      <c r="W414" s="43" t="n">
        <v>84</v>
      </c>
      <c r="X414" s="43" t="n">
        <v>106</v>
      </c>
      <c r="Y414" s="43" t="s">
        <v>635</v>
      </c>
      <c r="Z414" s="43" t="s">
        <v>636</v>
      </c>
    </row>
    <row r="415" customFormat="false" ht="15" hidden="false" customHeight="false" outlineLevel="0" collapsed="false">
      <c r="A415" s="43" t="n">
        <v>413</v>
      </c>
      <c r="B415" s="43" t="s">
        <v>891</v>
      </c>
      <c r="C415" s="43" t="s">
        <v>892</v>
      </c>
      <c r="D415" s="43" t="s">
        <v>893</v>
      </c>
      <c r="E415" s="43" t="s">
        <v>136</v>
      </c>
      <c r="F415" s="43" t="s">
        <v>48</v>
      </c>
      <c r="G415" s="43" t="n">
        <v>2023</v>
      </c>
      <c r="H415" s="44" t="n">
        <v>0</v>
      </c>
      <c r="I415" s="43" t="n">
        <v>2023</v>
      </c>
      <c r="J415" s="43" t="n">
        <v>7</v>
      </c>
      <c r="K415" s="44" t="n">
        <v>104002.7</v>
      </c>
      <c r="L415" s="43" t="n">
        <v>2023</v>
      </c>
      <c r="M415" s="43" t="n">
        <v>7</v>
      </c>
      <c r="N415" s="44" t="n">
        <v>104003</v>
      </c>
      <c r="O415" s="43" t="n">
        <v>2023</v>
      </c>
      <c r="P415" s="43" t="n">
        <v>8</v>
      </c>
      <c r="Q415" s="44" t="n">
        <v>104003</v>
      </c>
      <c r="R415" s="43" t="s">
        <v>703</v>
      </c>
      <c r="S415" s="43" t="s">
        <v>83</v>
      </c>
      <c r="T415" s="43" t="s">
        <v>641</v>
      </c>
      <c r="U415" s="43" t="s">
        <v>642</v>
      </c>
      <c r="V415" s="43" t="n">
        <v>6</v>
      </c>
      <c r="W415" s="43" t="n">
        <v>29</v>
      </c>
      <c r="X415" s="43" t="n">
        <v>35</v>
      </c>
      <c r="Y415" s="43" t="s">
        <v>635</v>
      </c>
      <c r="Z415" s="43" t="s">
        <v>636</v>
      </c>
    </row>
    <row r="416" customFormat="false" ht="15" hidden="false" customHeight="false" outlineLevel="0" collapsed="false">
      <c r="A416" s="43" t="n">
        <v>414</v>
      </c>
      <c r="B416" s="43" t="s">
        <v>891</v>
      </c>
      <c r="C416" s="43" t="s">
        <v>892</v>
      </c>
      <c r="D416" s="43" t="s">
        <v>893</v>
      </c>
      <c r="E416" s="43" t="s">
        <v>136</v>
      </c>
      <c r="F416" s="43" t="s">
        <v>48</v>
      </c>
      <c r="G416" s="43" t="n">
        <v>2023</v>
      </c>
      <c r="H416" s="44" t="n">
        <v>0</v>
      </c>
      <c r="I416" s="43" t="n">
        <v>2023</v>
      </c>
      <c r="J416" s="43" t="n">
        <v>8</v>
      </c>
      <c r="K416" s="44" t="n">
        <v>88160.83</v>
      </c>
      <c r="L416" s="43" t="n">
        <v>2023</v>
      </c>
      <c r="M416" s="43" t="n">
        <v>9</v>
      </c>
      <c r="N416" s="44" t="n">
        <v>88161</v>
      </c>
      <c r="O416" s="43" t="n">
        <v>2023</v>
      </c>
      <c r="P416" s="43" t="n">
        <v>10</v>
      </c>
      <c r="Q416" s="44" t="n">
        <v>88161</v>
      </c>
      <c r="R416" s="43" t="s">
        <v>703</v>
      </c>
      <c r="S416" s="43" t="s">
        <v>83</v>
      </c>
      <c r="T416" s="43" t="s">
        <v>641</v>
      </c>
      <c r="U416" s="43" t="s">
        <v>642</v>
      </c>
      <c r="V416" s="43" t="n">
        <v>35</v>
      </c>
      <c r="W416" s="43" t="n">
        <v>27</v>
      </c>
      <c r="X416" s="43" t="n">
        <v>62</v>
      </c>
      <c r="Y416" s="43" t="s">
        <v>635</v>
      </c>
      <c r="Z416" s="43" t="s">
        <v>636</v>
      </c>
    </row>
    <row r="417" customFormat="false" ht="15" hidden="false" customHeight="false" outlineLevel="0" collapsed="false">
      <c r="A417" s="43" t="n">
        <v>415</v>
      </c>
      <c r="B417" s="43" t="s">
        <v>891</v>
      </c>
      <c r="C417" s="43" t="s">
        <v>892</v>
      </c>
      <c r="D417" s="43" t="s">
        <v>893</v>
      </c>
      <c r="E417" s="43" t="s">
        <v>136</v>
      </c>
      <c r="F417" s="43" t="s">
        <v>48</v>
      </c>
      <c r="G417" s="43" t="n">
        <v>2023</v>
      </c>
      <c r="H417" s="44" t="n">
        <v>42260</v>
      </c>
      <c r="I417" s="43" t="n">
        <v>2023</v>
      </c>
      <c r="J417" s="43" t="n">
        <v>10</v>
      </c>
      <c r="K417" s="44" t="n">
        <v>3577</v>
      </c>
      <c r="L417" s="43" t="n">
        <v>2023</v>
      </c>
      <c r="M417" s="43" t="n">
        <v>12</v>
      </c>
      <c r="N417" s="44" t="n">
        <v>3577</v>
      </c>
      <c r="O417" s="43" t="n">
        <v>2024</v>
      </c>
      <c r="P417" s="43" t="n">
        <v>1</v>
      </c>
      <c r="Q417" s="44" t="n">
        <v>3577</v>
      </c>
      <c r="R417" s="43" t="s">
        <v>703</v>
      </c>
      <c r="S417" s="43" t="s">
        <v>83</v>
      </c>
      <c r="T417" s="43" t="s">
        <v>641</v>
      </c>
      <c r="U417" s="43" t="s">
        <v>642</v>
      </c>
      <c r="V417" s="43" t="n">
        <v>67</v>
      </c>
      <c r="W417" s="43" t="n">
        <v>28</v>
      </c>
      <c r="X417" s="43" t="n">
        <v>95</v>
      </c>
      <c r="Y417" s="43" t="s">
        <v>635</v>
      </c>
      <c r="Z417" s="43" t="s">
        <v>636</v>
      </c>
    </row>
    <row r="418" customFormat="false" ht="15" hidden="false" customHeight="false" outlineLevel="0" collapsed="false">
      <c r="A418" s="43" t="n">
        <v>416</v>
      </c>
      <c r="B418" s="43" t="s">
        <v>894</v>
      </c>
      <c r="C418" s="43" t="s">
        <v>895</v>
      </c>
      <c r="D418" s="43" t="s">
        <v>895</v>
      </c>
      <c r="E418" s="43" t="s">
        <v>144</v>
      </c>
      <c r="F418" s="43" t="s">
        <v>61</v>
      </c>
      <c r="G418" s="43" t="n">
        <v>2026</v>
      </c>
      <c r="H418" s="44" t="n">
        <v>0</v>
      </c>
      <c r="I418" s="43" t="n">
        <v>2026</v>
      </c>
      <c r="J418" s="43" t="n">
        <v>2</v>
      </c>
      <c r="K418" s="44" t="n">
        <v>24635</v>
      </c>
      <c r="L418" s="43" t="n">
        <v>2026</v>
      </c>
      <c r="M418" s="43" t="n">
        <v>3</v>
      </c>
      <c r="N418" s="44" t="n">
        <v>24635</v>
      </c>
      <c r="O418" s="43" t="n">
        <v>2026</v>
      </c>
      <c r="P418" s="43" t="n">
        <v>4</v>
      </c>
      <c r="Q418" s="44" t="n">
        <v>24635</v>
      </c>
      <c r="R418" s="43" t="s">
        <v>651</v>
      </c>
      <c r="S418" s="43" t="s">
        <v>85</v>
      </c>
      <c r="T418" s="43" t="s">
        <v>633</v>
      </c>
      <c r="U418" s="43" t="s">
        <v>682</v>
      </c>
      <c r="V418" s="43" t="n">
        <v>28</v>
      </c>
      <c r="W418" s="43" t="n">
        <v>10</v>
      </c>
      <c r="X418" s="43" t="n">
        <v>38</v>
      </c>
      <c r="Y418" s="43" t="s">
        <v>635</v>
      </c>
      <c r="Z418" s="43" t="s">
        <v>636</v>
      </c>
    </row>
    <row r="419" customFormat="false" ht="15" hidden="false" customHeight="false" outlineLevel="0" collapsed="false">
      <c r="A419" s="43" t="n">
        <v>417</v>
      </c>
      <c r="B419" s="43" t="s">
        <v>896</v>
      </c>
      <c r="C419" s="43" t="s">
        <v>279</v>
      </c>
      <c r="D419" s="43" t="s">
        <v>279</v>
      </c>
      <c r="E419" s="43" t="s">
        <v>144</v>
      </c>
      <c r="F419" s="43" t="s">
        <v>61</v>
      </c>
      <c r="G419" s="43" t="n">
        <v>2026</v>
      </c>
      <c r="H419" s="44" t="n">
        <v>0</v>
      </c>
      <c r="I419" s="43" t="n">
        <v>2026</v>
      </c>
      <c r="J419" s="43" t="n">
        <v>1</v>
      </c>
      <c r="K419" s="44" t="n">
        <v>51680</v>
      </c>
      <c r="L419" s="43" t="n">
        <v>2026</v>
      </c>
      <c r="M419" s="43" t="n">
        <v>3</v>
      </c>
      <c r="N419" s="44" t="n">
        <v>51680</v>
      </c>
      <c r="O419" s="43" t="n">
        <v>2026</v>
      </c>
      <c r="P419" s="43" t="n">
        <v>4</v>
      </c>
      <c r="Q419" s="44" t="n">
        <v>51680</v>
      </c>
      <c r="R419" s="43" t="s">
        <v>651</v>
      </c>
      <c r="S419" s="43" t="s">
        <v>85</v>
      </c>
      <c r="T419" s="43" t="s">
        <v>633</v>
      </c>
      <c r="U419" s="43" t="s">
        <v>647</v>
      </c>
      <c r="V419" s="43" t="n">
        <v>56</v>
      </c>
      <c r="W419" s="43" t="n">
        <v>10</v>
      </c>
      <c r="X419" s="43" t="n">
        <v>66</v>
      </c>
      <c r="Y419" s="43" t="s">
        <v>635</v>
      </c>
      <c r="Z419" s="43" t="s">
        <v>636</v>
      </c>
    </row>
    <row r="420" customFormat="false" ht="15" hidden="false" customHeight="false" outlineLevel="0" collapsed="false">
      <c r="A420" s="43" t="n">
        <v>418</v>
      </c>
      <c r="B420" s="43" t="s">
        <v>896</v>
      </c>
      <c r="C420" s="43" t="s">
        <v>279</v>
      </c>
      <c r="D420" s="43" t="s">
        <v>279</v>
      </c>
      <c r="E420" s="43" t="s">
        <v>144</v>
      </c>
      <c r="F420" s="43" t="s">
        <v>61</v>
      </c>
      <c r="G420" s="43" t="n">
        <v>2026</v>
      </c>
      <c r="H420" s="44" t="n">
        <v>4918</v>
      </c>
      <c r="I420" s="43" t="n">
        <v>2026</v>
      </c>
      <c r="J420" s="43" t="n">
        <v>2</v>
      </c>
      <c r="K420" s="44" t="n">
        <v>9825</v>
      </c>
      <c r="L420" s="43" t="n">
        <v>2026</v>
      </c>
      <c r="M420" s="43" t="n">
        <v>3</v>
      </c>
      <c r="N420" s="44" t="n">
        <v>9825</v>
      </c>
      <c r="O420" s="43" t="n">
        <v>2026</v>
      </c>
      <c r="P420" s="43" t="n">
        <v>4</v>
      </c>
      <c r="Q420" s="44" t="n">
        <v>9825</v>
      </c>
      <c r="R420" s="43" t="s">
        <v>651</v>
      </c>
      <c r="S420" s="43" t="s">
        <v>85</v>
      </c>
      <c r="T420" s="43" t="s">
        <v>633</v>
      </c>
      <c r="U420" s="43" t="s">
        <v>647</v>
      </c>
      <c r="V420" s="43" t="n">
        <v>28</v>
      </c>
      <c r="W420" s="43" t="n">
        <v>10</v>
      </c>
      <c r="X420" s="43" t="n">
        <v>38</v>
      </c>
      <c r="Y420" s="43" t="s">
        <v>635</v>
      </c>
      <c r="Z420" s="43" t="s">
        <v>636</v>
      </c>
    </row>
    <row r="421" customFormat="false" ht="15" hidden="false" customHeight="false" outlineLevel="0" collapsed="false">
      <c r="A421" s="43" t="n">
        <v>419</v>
      </c>
      <c r="B421" s="43" t="s">
        <v>897</v>
      </c>
      <c r="C421" s="43" t="s">
        <v>285</v>
      </c>
      <c r="D421" s="43" t="s">
        <v>285</v>
      </c>
      <c r="E421" s="43" t="s">
        <v>135</v>
      </c>
      <c r="F421" s="43" t="s">
        <v>48</v>
      </c>
      <c r="G421" s="43" t="n">
        <v>2025</v>
      </c>
      <c r="H421" s="44" t="n">
        <v>0</v>
      </c>
      <c r="I421" s="43" t="n">
        <v>2025</v>
      </c>
      <c r="J421" s="43" t="n">
        <v>6</v>
      </c>
      <c r="K421" s="44" t="n">
        <v>54620</v>
      </c>
      <c r="L421" s="43" t="n">
        <v>2025</v>
      </c>
      <c r="M421" s="43" t="n">
        <v>8</v>
      </c>
      <c r="N421" s="44" t="n">
        <v>54620</v>
      </c>
      <c r="O421" s="43" t="n">
        <v>2025</v>
      </c>
      <c r="P421" s="43" t="n">
        <v>8</v>
      </c>
      <c r="Q421" s="44" t="n">
        <v>54620</v>
      </c>
      <c r="R421" s="43" t="s">
        <v>651</v>
      </c>
      <c r="S421" s="43" t="s">
        <v>85</v>
      </c>
      <c r="T421" s="43" t="s">
        <v>633</v>
      </c>
      <c r="U421" s="43" t="s">
        <v>634</v>
      </c>
      <c r="V421" s="43" t="n">
        <v>35</v>
      </c>
      <c r="W421" s="43" t="n">
        <v>25</v>
      </c>
      <c r="X421" s="43" t="n">
        <v>60</v>
      </c>
      <c r="Y421" s="43" t="s">
        <v>635</v>
      </c>
      <c r="Z421" s="43" t="s">
        <v>636</v>
      </c>
    </row>
    <row r="422" customFormat="false" ht="15" hidden="false" customHeight="false" outlineLevel="0" collapsed="false">
      <c r="A422" s="43" t="n">
        <v>420</v>
      </c>
      <c r="B422" s="43" t="s">
        <v>897</v>
      </c>
      <c r="C422" s="43" t="s">
        <v>285</v>
      </c>
      <c r="D422" s="43" t="s">
        <v>285</v>
      </c>
      <c r="E422" s="43" t="s">
        <v>135</v>
      </c>
      <c r="F422" s="43" t="s">
        <v>48</v>
      </c>
      <c r="G422" s="43" t="n">
        <v>2025</v>
      </c>
      <c r="H422" s="44" t="n">
        <v>0</v>
      </c>
      <c r="I422" s="43" t="n">
        <v>2025</v>
      </c>
      <c r="J422" s="43" t="n">
        <v>7</v>
      </c>
      <c r="K422" s="44" t="n">
        <v>70025</v>
      </c>
      <c r="L422" s="43" t="n">
        <v>2025</v>
      </c>
      <c r="M422" s="43" t="n">
        <v>8</v>
      </c>
      <c r="N422" s="44" t="n">
        <v>70025</v>
      </c>
      <c r="O422" s="43" t="n">
        <v>2025</v>
      </c>
      <c r="P422" s="43" t="n">
        <v>9</v>
      </c>
      <c r="Q422" s="44" t="n">
        <v>70025</v>
      </c>
      <c r="R422" s="43" t="s">
        <v>651</v>
      </c>
      <c r="S422" s="43" t="s">
        <v>85</v>
      </c>
      <c r="T422" s="43" t="s">
        <v>633</v>
      </c>
      <c r="U422" s="43" t="s">
        <v>634</v>
      </c>
      <c r="V422" s="43" t="n">
        <v>21</v>
      </c>
      <c r="W422" s="43" t="n">
        <v>22</v>
      </c>
      <c r="X422" s="43" t="n">
        <v>43</v>
      </c>
      <c r="Y422" s="43" t="s">
        <v>635</v>
      </c>
      <c r="Z422" s="43" t="s">
        <v>636</v>
      </c>
    </row>
    <row r="423" customFormat="false" ht="15" hidden="false" customHeight="false" outlineLevel="0" collapsed="false">
      <c r="A423" s="43" t="n">
        <v>421</v>
      </c>
      <c r="B423" s="43" t="s">
        <v>897</v>
      </c>
      <c r="C423" s="43" t="s">
        <v>285</v>
      </c>
      <c r="D423" s="43" t="s">
        <v>285</v>
      </c>
      <c r="E423" s="43" t="s">
        <v>135</v>
      </c>
      <c r="F423" s="43" t="s">
        <v>48</v>
      </c>
      <c r="G423" s="43" t="n">
        <v>2025</v>
      </c>
      <c r="H423" s="44" t="n">
        <v>0</v>
      </c>
      <c r="I423" s="43" t="n">
        <v>2025</v>
      </c>
      <c r="J423" s="43" t="n">
        <v>8</v>
      </c>
      <c r="K423" s="44" t="n">
        <v>70020</v>
      </c>
      <c r="L423" s="43" t="n">
        <v>2025</v>
      </c>
      <c r="M423" s="43" t="n">
        <v>9</v>
      </c>
      <c r="N423" s="44" t="n">
        <v>70020</v>
      </c>
      <c r="O423" s="43" t="n">
        <v>2025</v>
      </c>
      <c r="P423" s="43" t="n">
        <v>10</v>
      </c>
      <c r="Q423" s="44" t="n">
        <v>70020</v>
      </c>
      <c r="R423" s="43" t="s">
        <v>651</v>
      </c>
      <c r="S423" s="43" t="s">
        <v>85</v>
      </c>
      <c r="T423" s="43" t="s">
        <v>633</v>
      </c>
      <c r="U423" s="43" t="s">
        <v>634</v>
      </c>
      <c r="V423" s="43" t="n">
        <v>27</v>
      </c>
      <c r="W423" s="43" t="n">
        <v>29</v>
      </c>
      <c r="X423" s="43" t="n">
        <v>56</v>
      </c>
      <c r="Y423" s="43" t="s">
        <v>635</v>
      </c>
      <c r="Z423" s="43" t="s">
        <v>636</v>
      </c>
    </row>
    <row r="424" customFormat="false" ht="15" hidden="false" customHeight="false" outlineLevel="0" collapsed="false">
      <c r="A424" s="43" t="n">
        <v>422</v>
      </c>
      <c r="B424" s="43" t="s">
        <v>897</v>
      </c>
      <c r="C424" s="43" t="s">
        <v>285</v>
      </c>
      <c r="D424" s="43" t="s">
        <v>285</v>
      </c>
      <c r="E424" s="43" t="s">
        <v>135</v>
      </c>
      <c r="F424" s="43" t="s">
        <v>48</v>
      </c>
      <c r="G424" s="43" t="n">
        <v>2025</v>
      </c>
      <c r="H424" s="44" t="n">
        <v>0</v>
      </c>
      <c r="I424" s="43" t="n">
        <v>2025</v>
      </c>
      <c r="J424" s="43" t="n">
        <v>9</v>
      </c>
      <c r="K424" s="44" t="n">
        <v>53961</v>
      </c>
      <c r="L424" s="43" t="n">
        <v>2025</v>
      </c>
      <c r="M424" s="43" t="n">
        <v>10</v>
      </c>
      <c r="N424" s="44" t="n">
        <v>53961</v>
      </c>
      <c r="O424" s="43" t="n">
        <v>2025</v>
      </c>
      <c r="P424" s="43" t="n">
        <v>11</v>
      </c>
      <c r="Q424" s="44" t="n">
        <v>53961</v>
      </c>
      <c r="R424" s="43" t="s">
        <v>651</v>
      </c>
      <c r="S424" s="43" t="s">
        <v>85</v>
      </c>
      <c r="T424" s="43" t="s">
        <v>633</v>
      </c>
      <c r="U424" s="43" t="s">
        <v>634</v>
      </c>
      <c r="V424" s="43" t="n">
        <v>24</v>
      </c>
      <c r="W424" s="43" t="n">
        <v>28</v>
      </c>
      <c r="X424" s="43" t="n">
        <v>52</v>
      </c>
      <c r="Y424" s="43" t="s">
        <v>635</v>
      </c>
      <c r="Z424" s="43" t="s">
        <v>636</v>
      </c>
    </row>
    <row r="425" customFormat="false" ht="15" hidden="false" customHeight="false" outlineLevel="0" collapsed="false">
      <c r="A425" s="43" t="n">
        <v>423</v>
      </c>
      <c r="B425" s="43" t="s">
        <v>897</v>
      </c>
      <c r="C425" s="43" t="s">
        <v>285</v>
      </c>
      <c r="D425" s="43" t="s">
        <v>285</v>
      </c>
      <c r="E425" s="43" t="s">
        <v>135</v>
      </c>
      <c r="F425" s="43" t="s">
        <v>48</v>
      </c>
      <c r="G425" s="43" t="n">
        <v>2025</v>
      </c>
      <c r="H425" s="44" t="n">
        <v>0</v>
      </c>
      <c r="I425" s="43" t="n">
        <v>2025</v>
      </c>
      <c r="J425" s="43" t="n">
        <v>10</v>
      </c>
      <c r="K425" s="44" t="n">
        <v>31113</v>
      </c>
      <c r="L425" s="43" t="n">
        <v>2025</v>
      </c>
      <c r="M425" s="43" t="n">
        <v>11</v>
      </c>
      <c r="N425" s="44" t="n">
        <v>31113</v>
      </c>
      <c r="O425" s="43" t="n">
        <v>2025</v>
      </c>
      <c r="P425" s="43" t="n">
        <v>12</v>
      </c>
      <c r="Q425" s="44" t="n">
        <v>31113</v>
      </c>
      <c r="R425" s="43" t="s">
        <v>651</v>
      </c>
      <c r="S425" s="43" t="s">
        <v>85</v>
      </c>
      <c r="T425" s="43" t="s">
        <v>633</v>
      </c>
      <c r="U425" s="43" t="s">
        <v>634</v>
      </c>
      <c r="V425" s="43" t="n">
        <v>32</v>
      </c>
      <c r="W425" s="43" t="n">
        <v>24</v>
      </c>
      <c r="X425" s="43" t="n">
        <v>56</v>
      </c>
      <c r="Y425" s="43" t="s">
        <v>635</v>
      </c>
      <c r="Z425" s="43" t="s">
        <v>636</v>
      </c>
    </row>
    <row r="426" customFormat="false" ht="15" hidden="false" customHeight="false" outlineLevel="0" collapsed="false">
      <c r="A426" s="43" t="n">
        <v>424</v>
      </c>
      <c r="B426" s="43" t="s">
        <v>897</v>
      </c>
      <c r="C426" s="43" t="s">
        <v>285</v>
      </c>
      <c r="D426" s="43" t="s">
        <v>285</v>
      </c>
      <c r="E426" s="43" t="s">
        <v>135</v>
      </c>
      <c r="F426" s="43" t="s">
        <v>48</v>
      </c>
      <c r="G426" s="43" t="n">
        <v>2025</v>
      </c>
      <c r="H426" s="44" t="n">
        <v>0</v>
      </c>
      <c r="I426" s="43" t="n">
        <v>2025</v>
      </c>
      <c r="J426" s="43" t="n">
        <v>11</v>
      </c>
      <c r="K426" s="44" t="n">
        <v>19531</v>
      </c>
      <c r="L426" s="43" t="n">
        <v>2025</v>
      </c>
      <c r="M426" s="43" t="n">
        <v>12</v>
      </c>
      <c r="N426" s="44" t="n">
        <v>19531</v>
      </c>
      <c r="O426" s="43" t="n">
        <v>2026</v>
      </c>
      <c r="P426" s="43" t="n">
        <v>1</v>
      </c>
      <c r="Q426" s="44" t="n">
        <v>19531</v>
      </c>
      <c r="R426" s="43" t="s">
        <v>651</v>
      </c>
      <c r="S426" s="43" t="s">
        <v>85</v>
      </c>
      <c r="T426" s="43" t="s">
        <v>633</v>
      </c>
      <c r="U426" s="43" t="s">
        <v>634</v>
      </c>
      <c r="V426" s="43" t="n">
        <v>36</v>
      </c>
      <c r="W426" s="43" t="n">
        <v>30</v>
      </c>
      <c r="X426" s="43" t="n">
        <v>66</v>
      </c>
      <c r="Y426" s="43" t="s">
        <v>635</v>
      </c>
      <c r="Z426" s="43" t="s">
        <v>636</v>
      </c>
    </row>
    <row r="427" customFormat="false" ht="15" hidden="false" customHeight="false" outlineLevel="0" collapsed="false">
      <c r="A427" s="43" t="n">
        <v>425</v>
      </c>
      <c r="B427" s="43" t="s">
        <v>898</v>
      </c>
      <c r="C427" s="43" t="s">
        <v>899</v>
      </c>
      <c r="D427" s="43" t="s">
        <v>899</v>
      </c>
      <c r="E427" s="43" t="s">
        <v>135</v>
      </c>
      <c r="F427" s="43" t="s">
        <v>48</v>
      </c>
      <c r="G427" s="43" t="n">
        <v>2024</v>
      </c>
      <c r="H427" s="44" t="n">
        <v>19917</v>
      </c>
      <c r="I427" s="43" t="n">
        <v>2024</v>
      </c>
      <c r="J427" s="43" t="n">
        <v>3</v>
      </c>
      <c r="K427" s="44" t="n">
        <v>26615</v>
      </c>
      <c r="L427" s="43" t="n">
        <v>2024</v>
      </c>
      <c r="M427" s="43" t="n">
        <v>5</v>
      </c>
      <c r="N427" s="44" t="n">
        <v>26615</v>
      </c>
      <c r="O427" s="43" t="n">
        <v>2024</v>
      </c>
      <c r="P427" s="43" t="n">
        <v>6</v>
      </c>
      <c r="Q427" s="44" t="n">
        <v>26615</v>
      </c>
      <c r="R427" s="43" t="s">
        <v>651</v>
      </c>
      <c r="S427" s="43" t="s">
        <v>85</v>
      </c>
      <c r="T427" s="43" t="s">
        <v>633</v>
      </c>
      <c r="U427" s="43" t="s">
        <v>642</v>
      </c>
      <c r="V427" s="43" t="n">
        <v>52</v>
      </c>
      <c r="W427" s="43" t="n">
        <v>31</v>
      </c>
      <c r="X427" s="43" t="n">
        <v>83</v>
      </c>
      <c r="Y427" s="43" t="s">
        <v>635</v>
      </c>
      <c r="Z427" s="43" t="s">
        <v>636</v>
      </c>
    </row>
    <row r="428" customFormat="false" ht="15" hidden="false" customHeight="false" outlineLevel="0" collapsed="false">
      <c r="A428" s="43" t="n">
        <v>426</v>
      </c>
      <c r="B428" s="43" t="s">
        <v>898</v>
      </c>
      <c r="C428" s="43" t="s">
        <v>899</v>
      </c>
      <c r="D428" s="43" t="s">
        <v>899</v>
      </c>
      <c r="E428" s="43" t="s">
        <v>135</v>
      </c>
      <c r="F428" s="43" t="s">
        <v>48</v>
      </c>
      <c r="G428" s="43" t="n">
        <v>2024</v>
      </c>
      <c r="H428" s="44" t="n">
        <v>93740</v>
      </c>
      <c r="I428" s="43" t="n">
        <v>2024</v>
      </c>
      <c r="J428" s="43" t="n">
        <v>7</v>
      </c>
      <c r="K428" s="44" t="n">
        <v>71980</v>
      </c>
      <c r="L428" s="43" t="n">
        <v>2024</v>
      </c>
      <c r="M428" s="43" t="n">
        <v>8</v>
      </c>
      <c r="N428" s="44" t="n">
        <v>73718</v>
      </c>
      <c r="O428" s="43" t="n">
        <v>2024</v>
      </c>
      <c r="P428" s="43" t="n">
        <v>9</v>
      </c>
      <c r="Q428" s="44" t="n">
        <v>73718</v>
      </c>
      <c r="R428" s="43" t="s">
        <v>651</v>
      </c>
      <c r="S428" s="43" t="s">
        <v>85</v>
      </c>
      <c r="T428" s="43" t="s">
        <v>633</v>
      </c>
      <c r="U428" s="43" t="s">
        <v>642</v>
      </c>
      <c r="V428" s="43" t="n">
        <v>29</v>
      </c>
      <c r="W428" s="43" t="n">
        <v>31</v>
      </c>
      <c r="X428" s="43" t="n">
        <v>60</v>
      </c>
      <c r="Y428" s="43" t="s">
        <v>635</v>
      </c>
      <c r="Z428" s="43" t="s">
        <v>636</v>
      </c>
    </row>
    <row r="429" customFormat="false" ht="15" hidden="false" customHeight="false" outlineLevel="0" collapsed="false">
      <c r="A429" s="43" t="n">
        <v>427</v>
      </c>
      <c r="B429" s="43" t="s">
        <v>898</v>
      </c>
      <c r="C429" s="43" t="s">
        <v>899</v>
      </c>
      <c r="D429" s="43" t="s">
        <v>899</v>
      </c>
      <c r="E429" s="43" t="s">
        <v>135</v>
      </c>
      <c r="F429" s="43" t="s">
        <v>48</v>
      </c>
      <c r="G429" s="43" t="n">
        <v>2024</v>
      </c>
      <c r="H429" s="44" t="n">
        <v>0</v>
      </c>
      <c r="I429" s="43" t="n">
        <v>2024</v>
      </c>
      <c r="J429" s="43" t="n">
        <v>8</v>
      </c>
      <c r="K429" s="44" t="n">
        <v>60342</v>
      </c>
      <c r="L429" s="43" t="n">
        <v>2024</v>
      </c>
      <c r="M429" s="43" t="n">
        <v>10</v>
      </c>
      <c r="N429" s="44" t="n">
        <v>61499</v>
      </c>
      <c r="O429" s="43" t="n">
        <v>2024</v>
      </c>
      <c r="P429" s="43" t="n">
        <v>11</v>
      </c>
      <c r="Q429" s="44" t="n">
        <v>61499</v>
      </c>
      <c r="R429" s="43" t="s">
        <v>651</v>
      </c>
      <c r="S429" s="43" t="s">
        <v>85</v>
      </c>
      <c r="T429" s="43" t="s">
        <v>633</v>
      </c>
      <c r="U429" s="43" t="s">
        <v>642</v>
      </c>
      <c r="V429" s="43" t="n">
        <v>55</v>
      </c>
      <c r="W429" s="43" t="n">
        <v>25</v>
      </c>
      <c r="X429" s="43" t="n">
        <v>80</v>
      </c>
      <c r="Y429" s="43" t="s">
        <v>635</v>
      </c>
      <c r="Z429" s="43" t="s">
        <v>636</v>
      </c>
    </row>
    <row r="430" customFormat="false" ht="15" hidden="false" customHeight="false" outlineLevel="0" collapsed="false">
      <c r="A430" s="43" t="n">
        <v>428</v>
      </c>
      <c r="B430" s="43" t="s">
        <v>898</v>
      </c>
      <c r="C430" s="43" t="s">
        <v>899</v>
      </c>
      <c r="D430" s="43" t="s">
        <v>899</v>
      </c>
      <c r="E430" s="43" t="s">
        <v>135</v>
      </c>
      <c r="F430" s="43" t="s">
        <v>48</v>
      </c>
      <c r="G430" s="43" t="n">
        <v>2024</v>
      </c>
      <c r="H430" s="44" t="n">
        <v>0</v>
      </c>
      <c r="I430" s="43" t="n">
        <v>2024</v>
      </c>
      <c r="J430" s="43" t="n">
        <v>11</v>
      </c>
      <c r="K430" s="44" t="n">
        <v>34013</v>
      </c>
      <c r="L430" s="43" t="n">
        <v>2025</v>
      </c>
      <c r="M430" s="43" t="n">
        <v>1</v>
      </c>
      <c r="N430" s="44" t="n">
        <v>34013</v>
      </c>
      <c r="O430" s="43" t="n">
        <v>2025</v>
      </c>
      <c r="P430" s="43" t="n">
        <v>2</v>
      </c>
      <c r="Q430" s="44" t="n">
        <v>35295.2901</v>
      </c>
      <c r="R430" s="43" t="s">
        <v>651</v>
      </c>
      <c r="S430" s="43" t="s">
        <v>85</v>
      </c>
      <c r="T430" s="43" t="s">
        <v>633</v>
      </c>
      <c r="U430" s="43" t="s">
        <v>642</v>
      </c>
      <c r="V430" s="43" t="n">
        <v>42</v>
      </c>
      <c r="W430" s="43" t="n">
        <v>28</v>
      </c>
      <c r="X430" s="43" t="n">
        <v>70</v>
      </c>
      <c r="Y430" s="43" t="s">
        <v>635</v>
      </c>
      <c r="Z430" s="43" t="s">
        <v>636</v>
      </c>
    </row>
    <row r="431" customFormat="false" ht="15" hidden="false" customHeight="false" outlineLevel="0" collapsed="false">
      <c r="A431" s="43" t="n">
        <v>429</v>
      </c>
      <c r="B431" s="43" t="s">
        <v>900</v>
      </c>
      <c r="C431" s="43" t="s">
        <v>901</v>
      </c>
      <c r="D431" s="43" t="s">
        <v>901</v>
      </c>
      <c r="E431" s="43" t="s">
        <v>135</v>
      </c>
      <c r="F431" s="43" t="s">
        <v>63</v>
      </c>
      <c r="G431" s="43" t="n">
        <v>2024</v>
      </c>
      <c r="H431" s="44" t="n">
        <v>0</v>
      </c>
      <c r="I431" s="43" t="n">
        <v>2024</v>
      </c>
      <c r="J431" s="43" t="n">
        <v>12</v>
      </c>
      <c r="K431" s="44" t="n">
        <v>66652</v>
      </c>
      <c r="L431" s="43" t="n">
        <v>2024</v>
      </c>
      <c r="M431" s="43" t="n">
        <v>12</v>
      </c>
      <c r="N431" s="44" t="n">
        <v>66652</v>
      </c>
      <c r="O431" s="43" t="n">
        <v>2025</v>
      </c>
      <c r="P431" s="43" t="n">
        <v>2</v>
      </c>
      <c r="Q431" s="44" t="n">
        <v>66652</v>
      </c>
      <c r="R431" s="43" t="s">
        <v>651</v>
      </c>
      <c r="S431" s="43" t="s">
        <v>85</v>
      </c>
      <c r="T431" s="43" t="s">
        <v>633</v>
      </c>
      <c r="U431" s="43" t="s">
        <v>669</v>
      </c>
      <c r="V431" s="43" t="n">
        <v>0</v>
      </c>
      <c r="W431" s="43" t="n">
        <v>45</v>
      </c>
      <c r="X431" s="43" t="n">
        <v>45</v>
      </c>
      <c r="Y431" s="43" t="s">
        <v>635</v>
      </c>
      <c r="Z431" s="43" t="s">
        <v>636</v>
      </c>
    </row>
    <row r="432" customFormat="false" ht="15" hidden="false" customHeight="false" outlineLevel="0" collapsed="false">
      <c r="A432" s="43" t="n">
        <v>430</v>
      </c>
      <c r="B432" s="43" t="s">
        <v>902</v>
      </c>
      <c r="C432" s="43" t="s">
        <v>903</v>
      </c>
      <c r="D432" s="43" t="s">
        <v>903</v>
      </c>
      <c r="E432" s="43" t="s">
        <v>135</v>
      </c>
      <c r="F432" s="43" t="s">
        <v>48</v>
      </c>
      <c r="G432" s="43" t="n">
        <v>2024</v>
      </c>
      <c r="H432" s="44" t="n">
        <v>0</v>
      </c>
      <c r="I432" s="43" t="n">
        <v>2024</v>
      </c>
      <c r="J432" s="43" t="n">
        <v>9</v>
      </c>
      <c r="K432" s="44" t="n">
        <v>20675</v>
      </c>
      <c r="L432" s="43" t="n">
        <v>2024</v>
      </c>
      <c r="M432" s="43" t="n">
        <v>10</v>
      </c>
      <c r="N432" s="44" t="n">
        <v>20675</v>
      </c>
      <c r="O432" s="43" t="n">
        <v>2024</v>
      </c>
      <c r="P432" s="43" t="n">
        <v>11</v>
      </c>
      <c r="Q432" s="44" t="n">
        <v>20675</v>
      </c>
      <c r="R432" s="43" t="s">
        <v>646</v>
      </c>
      <c r="S432" s="43" t="s">
        <v>83</v>
      </c>
      <c r="T432" s="43" t="s">
        <v>641</v>
      </c>
      <c r="U432" s="43" t="s">
        <v>647</v>
      </c>
      <c r="V432" s="43" t="n">
        <v>28</v>
      </c>
      <c r="W432" s="43" t="n">
        <v>28</v>
      </c>
      <c r="X432" s="43" t="n">
        <v>56</v>
      </c>
      <c r="Y432" s="43" t="s">
        <v>635</v>
      </c>
      <c r="Z432" s="43" t="s">
        <v>636</v>
      </c>
    </row>
    <row r="433" customFormat="false" ht="15" hidden="false" customHeight="false" outlineLevel="0" collapsed="false">
      <c r="A433" s="43" t="n">
        <v>431</v>
      </c>
      <c r="B433" s="43" t="s">
        <v>902</v>
      </c>
      <c r="C433" s="43" t="s">
        <v>903</v>
      </c>
      <c r="D433" s="43" t="s">
        <v>903</v>
      </c>
      <c r="E433" s="43" t="s">
        <v>135</v>
      </c>
      <c r="F433" s="43" t="s">
        <v>48</v>
      </c>
      <c r="G433" s="43" t="n">
        <v>2024</v>
      </c>
      <c r="H433" s="44" t="n">
        <v>0</v>
      </c>
      <c r="I433" s="43" t="n">
        <v>2024</v>
      </c>
      <c r="J433" s="43" t="n">
        <v>10</v>
      </c>
      <c r="K433" s="44" t="n">
        <v>17060</v>
      </c>
      <c r="L433" s="43" t="n">
        <v>2024</v>
      </c>
      <c r="M433" s="43" t="n">
        <v>11</v>
      </c>
      <c r="N433" s="44" t="n">
        <v>17060</v>
      </c>
      <c r="O433" s="43" t="n">
        <v>2024</v>
      </c>
      <c r="P433" s="43" t="n">
        <v>12</v>
      </c>
      <c r="Q433" s="44" t="n">
        <v>16456</v>
      </c>
      <c r="R433" s="43" t="s">
        <v>646</v>
      </c>
      <c r="S433" s="43" t="s">
        <v>83</v>
      </c>
      <c r="T433" s="43" t="s">
        <v>641</v>
      </c>
      <c r="U433" s="43" t="s">
        <v>647</v>
      </c>
      <c r="V433" s="43" t="n">
        <v>35</v>
      </c>
      <c r="W433" s="43" t="n">
        <v>32</v>
      </c>
      <c r="X433" s="43" t="n">
        <v>67</v>
      </c>
      <c r="Y433" s="43" t="s">
        <v>635</v>
      </c>
      <c r="Z433" s="43" t="s">
        <v>636</v>
      </c>
    </row>
    <row r="434" customFormat="false" ht="15" hidden="false" customHeight="false" outlineLevel="0" collapsed="false">
      <c r="A434" s="43" t="n">
        <v>432</v>
      </c>
      <c r="B434" s="43" t="s">
        <v>902</v>
      </c>
      <c r="C434" s="43" t="s">
        <v>903</v>
      </c>
      <c r="D434" s="43" t="s">
        <v>903</v>
      </c>
      <c r="E434" s="43" t="s">
        <v>135</v>
      </c>
      <c r="F434" s="43" t="s">
        <v>48</v>
      </c>
      <c r="G434" s="43" t="n">
        <v>2024</v>
      </c>
      <c r="H434" s="44" t="n">
        <v>0</v>
      </c>
      <c r="I434" s="43" t="n">
        <v>2024</v>
      </c>
      <c r="J434" s="43" t="n">
        <v>12</v>
      </c>
      <c r="K434" s="44" t="n">
        <v>82420.94</v>
      </c>
      <c r="L434" s="43" t="n">
        <v>2025</v>
      </c>
      <c r="M434" s="43" t="n">
        <v>3</v>
      </c>
      <c r="N434" s="44" t="n">
        <v>82421</v>
      </c>
      <c r="O434" s="43" t="n">
        <v>2025</v>
      </c>
      <c r="P434" s="43" t="n">
        <v>4</v>
      </c>
      <c r="Q434" s="44" t="n">
        <v>87432</v>
      </c>
      <c r="R434" s="43" t="s">
        <v>646</v>
      </c>
      <c r="S434" s="43" t="s">
        <v>83</v>
      </c>
      <c r="T434" s="43" t="s">
        <v>641</v>
      </c>
      <c r="U434" s="43" t="s">
        <v>647</v>
      </c>
      <c r="V434" s="43" t="n">
        <v>76</v>
      </c>
      <c r="W434" s="43" t="n">
        <v>31</v>
      </c>
      <c r="X434" s="43" t="n">
        <v>107</v>
      </c>
      <c r="Y434" s="43" t="s">
        <v>635</v>
      </c>
      <c r="Z434" s="43" t="s">
        <v>636</v>
      </c>
    </row>
    <row r="435" customFormat="false" ht="15" hidden="false" customHeight="false" outlineLevel="0" collapsed="false">
      <c r="A435" s="43" t="n">
        <v>433</v>
      </c>
      <c r="B435" s="43" t="s">
        <v>904</v>
      </c>
      <c r="C435" s="43" t="s">
        <v>905</v>
      </c>
      <c r="D435" s="43" t="s">
        <v>906</v>
      </c>
      <c r="E435" s="43" t="s">
        <v>907</v>
      </c>
      <c r="F435" s="43" t="s">
        <v>48</v>
      </c>
      <c r="G435" s="43" t="n">
        <v>2023</v>
      </c>
      <c r="H435" s="44" t="n">
        <v>0</v>
      </c>
      <c r="I435" s="43" t="n">
        <v>2023</v>
      </c>
      <c r="J435" s="43" t="n">
        <v>2</v>
      </c>
      <c r="K435" s="44" t="n">
        <v>23220</v>
      </c>
      <c r="L435" s="43" t="n">
        <v>2023</v>
      </c>
      <c r="M435" s="43" t="n">
        <v>3</v>
      </c>
      <c r="N435" s="44" t="n">
        <v>23216.87</v>
      </c>
      <c r="O435" s="43" t="n">
        <v>2023</v>
      </c>
      <c r="P435" s="43" t="n">
        <v>5</v>
      </c>
      <c r="Q435" s="44" t="n">
        <v>23642</v>
      </c>
      <c r="R435" s="43" t="s">
        <v>651</v>
      </c>
      <c r="S435" s="43" t="s">
        <v>85</v>
      </c>
      <c r="T435" s="43" t="s">
        <v>633</v>
      </c>
      <c r="U435" s="43" t="s">
        <v>784</v>
      </c>
      <c r="V435" s="43" t="n">
        <v>10</v>
      </c>
      <c r="W435" s="43" t="n">
        <v>62</v>
      </c>
      <c r="X435" s="43" t="n">
        <v>72</v>
      </c>
      <c r="Y435" s="43" t="s">
        <v>635</v>
      </c>
      <c r="Z435" s="43" t="s">
        <v>636</v>
      </c>
    </row>
    <row r="436" customFormat="false" ht="15" hidden="false" customHeight="false" outlineLevel="0" collapsed="false">
      <c r="A436" s="43" t="n">
        <v>434</v>
      </c>
      <c r="B436" s="43" t="s">
        <v>908</v>
      </c>
      <c r="C436" s="43" t="s">
        <v>909</v>
      </c>
      <c r="D436" s="43" t="s">
        <v>910</v>
      </c>
      <c r="E436" s="43" t="s">
        <v>146</v>
      </c>
      <c r="F436" s="43" t="s">
        <v>61</v>
      </c>
      <c r="G436" s="43" t="n">
        <v>2023</v>
      </c>
      <c r="H436" s="44" t="n">
        <v>0</v>
      </c>
      <c r="I436" s="43" t="n">
        <v>2023</v>
      </c>
      <c r="J436" s="43" t="n">
        <v>4</v>
      </c>
      <c r="K436" s="44" t="n">
        <v>87438.375</v>
      </c>
      <c r="L436" s="43" t="n">
        <v>2023</v>
      </c>
      <c r="M436" s="43" t="n">
        <v>5</v>
      </c>
      <c r="N436" s="44" t="n">
        <v>87438.38</v>
      </c>
      <c r="O436" s="43" t="n">
        <v>2023</v>
      </c>
      <c r="P436" s="43" t="n">
        <v>6</v>
      </c>
      <c r="Q436" s="44" t="n">
        <v>87438.38</v>
      </c>
      <c r="R436" s="43" t="s">
        <v>651</v>
      </c>
      <c r="S436" s="43" t="s">
        <v>85</v>
      </c>
      <c r="T436" s="43" t="s">
        <v>633</v>
      </c>
      <c r="U436" s="43" t="s">
        <v>647</v>
      </c>
      <c r="V436" s="43" t="n">
        <v>40</v>
      </c>
      <c r="W436" s="43" t="n">
        <v>8</v>
      </c>
      <c r="X436" s="43" t="n">
        <v>48</v>
      </c>
      <c r="Y436" s="43" t="s">
        <v>635</v>
      </c>
      <c r="Z436" s="43" t="s">
        <v>636</v>
      </c>
    </row>
    <row r="437" customFormat="false" ht="15" hidden="false" customHeight="false" outlineLevel="0" collapsed="false">
      <c r="A437" s="43" t="n">
        <v>435</v>
      </c>
      <c r="B437" s="43" t="s">
        <v>908</v>
      </c>
      <c r="C437" s="43" t="s">
        <v>909</v>
      </c>
      <c r="D437" s="43" t="s">
        <v>910</v>
      </c>
      <c r="E437" s="43" t="s">
        <v>146</v>
      </c>
      <c r="F437" s="43" t="s">
        <v>61</v>
      </c>
      <c r="G437" s="43" t="n">
        <v>2023</v>
      </c>
      <c r="H437" s="44" t="n">
        <v>0</v>
      </c>
      <c r="I437" s="43" t="n">
        <v>2023</v>
      </c>
      <c r="J437" s="43" t="n">
        <v>5</v>
      </c>
      <c r="K437" s="44" t="n">
        <v>10028.25</v>
      </c>
      <c r="L437" s="43" t="n">
        <v>2023</v>
      </c>
      <c r="M437" s="43" t="n">
        <v>6</v>
      </c>
      <c r="N437" s="44" t="n">
        <v>10028.25</v>
      </c>
      <c r="O437" s="43" t="n">
        <v>2023</v>
      </c>
      <c r="P437" s="43" t="n">
        <v>6</v>
      </c>
      <c r="Q437" s="44" t="n">
        <v>10028.25</v>
      </c>
      <c r="R437" s="43" t="s">
        <v>651</v>
      </c>
      <c r="S437" s="43" t="s">
        <v>85</v>
      </c>
      <c r="T437" s="43" t="s">
        <v>633</v>
      </c>
      <c r="U437" s="43" t="s">
        <v>647</v>
      </c>
      <c r="V437" s="43" t="n">
        <v>31</v>
      </c>
      <c r="W437" s="43" t="n">
        <v>5</v>
      </c>
      <c r="X437" s="43" t="n">
        <v>36</v>
      </c>
      <c r="Y437" s="43" t="s">
        <v>635</v>
      </c>
      <c r="Z437" s="43" t="s">
        <v>636</v>
      </c>
    </row>
    <row r="438" customFormat="false" ht="15" hidden="false" customHeight="false" outlineLevel="0" collapsed="false">
      <c r="A438" s="43" t="n">
        <v>436</v>
      </c>
      <c r="B438" s="43" t="s">
        <v>908</v>
      </c>
      <c r="C438" s="43" t="s">
        <v>909</v>
      </c>
      <c r="D438" s="43" t="s">
        <v>910</v>
      </c>
      <c r="E438" s="43" t="s">
        <v>146</v>
      </c>
      <c r="F438" s="43" t="s">
        <v>61</v>
      </c>
      <c r="G438" s="43" t="n">
        <v>2023</v>
      </c>
      <c r="H438" s="44" t="n">
        <v>0</v>
      </c>
      <c r="I438" s="43" t="n">
        <v>2023</v>
      </c>
      <c r="J438" s="43" t="n">
        <v>7</v>
      </c>
      <c r="K438" s="44" t="n">
        <v>29431.125</v>
      </c>
      <c r="L438" s="43" t="n">
        <v>2023</v>
      </c>
      <c r="M438" s="43" t="n">
        <v>7</v>
      </c>
      <c r="N438" s="44" t="n">
        <v>29431.125</v>
      </c>
      <c r="O438" s="43" t="n">
        <v>2023</v>
      </c>
      <c r="P438" s="43" t="n">
        <v>8</v>
      </c>
      <c r="Q438" s="44" t="n">
        <v>29431.125</v>
      </c>
      <c r="R438" s="43" t="s">
        <v>651</v>
      </c>
      <c r="S438" s="43" t="s">
        <v>85</v>
      </c>
      <c r="T438" s="43" t="s">
        <v>633</v>
      </c>
      <c r="U438" s="43" t="s">
        <v>647</v>
      </c>
      <c r="V438" s="43" t="n">
        <v>25</v>
      </c>
      <c r="W438" s="43" t="n">
        <v>8</v>
      </c>
      <c r="X438" s="43" t="n">
        <v>33</v>
      </c>
      <c r="Y438" s="43" t="s">
        <v>635</v>
      </c>
      <c r="Z438" s="43" t="s">
        <v>636</v>
      </c>
    </row>
    <row r="439" customFormat="false" ht="15" hidden="false" customHeight="false" outlineLevel="0" collapsed="false">
      <c r="A439" s="43" t="n">
        <v>437</v>
      </c>
      <c r="B439" s="43" t="s">
        <v>908</v>
      </c>
      <c r="C439" s="43" t="s">
        <v>909</v>
      </c>
      <c r="D439" s="43" t="s">
        <v>910</v>
      </c>
      <c r="E439" s="43" t="s">
        <v>146</v>
      </c>
      <c r="F439" s="43" t="s">
        <v>61</v>
      </c>
      <c r="G439" s="43" t="n">
        <v>2023</v>
      </c>
      <c r="H439" s="44" t="n">
        <v>0</v>
      </c>
      <c r="I439" s="43" t="n">
        <v>2023</v>
      </c>
      <c r="J439" s="43" t="n">
        <v>7</v>
      </c>
      <c r="K439" s="44" t="n">
        <v>10934.25</v>
      </c>
      <c r="L439" s="43" t="n">
        <v>2023</v>
      </c>
      <c r="M439" s="43" t="n">
        <v>10</v>
      </c>
      <c r="N439" s="44" t="n">
        <v>10934.25</v>
      </c>
      <c r="O439" s="43" t="n">
        <v>2023</v>
      </c>
      <c r="P439" s="43" t="n">
        <v>10</v>
      </c>
      <c r="Q439" s="44" t="n">
        <v>10934.25</v>
      </c>
      <c r="R439" s="43" t="s">
        <v>651</v>
      </c>
      <c r="S439" s="43" t="s">
        <v>85</v>
      </c>
      <c r="T439" s="43" t="s">
        <v>633</v>
      </c>
      <c r="U439" s="43" t="s">
        <v>647</v>
      </c>
      <c r="V439" s="43" t="n">
        <v>69</v>
      </c>
      <c r="W439" s="43" t="n">
        <v>4</v>
      </c>
      <c r="X439" s="43" t="n">
        <v>73</v>
      </c>
      <c r="Y439" s="43" t="s">
        <v>635</v>
      </c>
      <c r="Z439" s="43" t="s">
        <v>636</v>
      </c>
    </row>
    <row r="440" customFormat="false" ht="15" hidden="false" customHeight="false" outlineLevel="0" collapsed="false">
      <c r="A440" s="43" t="n">
        <v>438</v>
      </c>
      <c r="B440" s="43" t="s">
        <v>911</v>
      </c>
      <c r="C440" s="43" t="s">
        <v>912</v>
      </c>
      <c r="D440" s="43" t="s">
        <v>912</v>
      </c>
      <c r="E440" s="43" t="s">
        <v>146</v>
      </c>
      <c r="F440" s="43" t="s">
        <v>61</v>
      </c>
      <c r="G440" s="43" t="n">
        <v>2024</v>
      </c>
      <c r="H440" s="44" t="n">
        <v>0</v>
      </c>
      <c r="I440" s="43" t="n">
        <v>2024</v>
      </c>
      <c r="J440" s="43" t="n">
        <v>10</v>
      </c>
      <c r="K440" s="44" t="n">
        <v>33000</v>
      </c>
      <c r="L440" s="43" t="n">
        <v>2024</v>
      </c>
      <c r="M440" s="43" t="n">
        <v>10</v>
      </c>
      <c r="N440" s="44" t="n">
        <v>32612</v>
      </c>
      <c r="O440" s="43" t="n">
        <v>2024</v>
      </c>
      <c r="P440" s="43" t="n">
        <v>12</v>
      </c>
      <c r="Q440" s="44" t="n">
        <v>31947.45</v>
      </c>
      <c r="R440" s="43" t="s">
        <v>703</v>
      </c>
      <c r="S440" s="43" t="s">
        <v>83</v>
      </c>
      <c r="T440" s="43" t="s">
        <v>641</v>
      </c>
      <c r="U440" s="43" t="s">
        <v>647</v>
      </c>
      <c r="V440" s="43" t="n">
        <v>9</v>
      </c>
      <c r="W440" s="43" t="n">
        <v>37</v>
      </c>
      <c r="X440" s="43" t="n">
        <v>46</v>
      </c>
      <c r="Y440" s="43" t="s">
        <v>635</v>
      </c>
      <c r="Z440" s="43" t="s">
        <v>636</v>
      </c>
    </row>
    <row r="441" customFormat="false" ht="15" hidden="false" customHeight="false" outlineLevel="0" collapsed="false">
      <c r="A441" s="43" t="n">
        <v>439</v>
      </c>
      <c r="B441" s="43" t="s">
        <v>911</v>
      </c>
      <c r="C441" s="43" t="s">
        <v>912</v>
      </c>
      <c r="D441" s="43" t="s">
        <v>912</v>
      </c>
      <c r="E441" s="43" t="s">
        <v>146</v>
      </c>
      <c r="F441" s="43" t="s">
        <v>61</v>
      </c>
      <c r="G441" s="43" t="n">
        <v>2024</v>
      </c>
      <c r="H441" s="44" t="n">
        <v>0</v>
      </c>
      <c r="I441" s="43" t="n">
        <v>2024</v>
      </c>
      <c r="J441" s="43" t="n">
        <v>11</v>
      </c>
      <c r="K441" s="44" t="n">
        <v>21062</v>
      </c>
      <c r="L441" s="43" t="n">
        <v>2024</v>
      </c>
      <c r="M441" s="43" t="n">
        <v>12</v>
      </c>
      <c r="N441" s="44" t="n">
        <v>21062</v>
      </c>
      <c r="O441" s="43" t="n">
        <v>2025</v>
      </c>
      <c r="P441" s="43" t="n">
        <v>1</v>
      </c>
      <c r="Q441" s="44" t="n">
        <v>21632</v>
      </c>
      <c r="R441" s="43" t="s">
        <v>703</v>
      </c>
      <c r="S441" s="43" t="s">
        <v>83</v>
      </c>
      <c r="T441" s="43" t="s">
        <v>641</v>
      </c>
      <c r="U441" s="43" t="s">
        <v>647</v>
      </c>
      <c r="V441" s="43" t="n">
        <v>13</v>
      </c>
      <c r="W441" s="43" t="n">
        <v>31</v>
      </c>
      <c r="X441" s="43" t="n">
        <v>44</v>
      </c>
      <c r="Y441" s="43" t="s">
        <v>635</v>
      </c>
      <c r="Z441" s="43" t="s">
        <v>636</v>
      </c>
    </row>
    <row r="442" customFormat="false" ht="15" hidden="false" customHeight="false" outlineLevel="0" collapsed="false">
      <c r="A442" s="43" t="n">
        <v>440</v>
      </c>
      <c r="B442" s="43" t="s">
        <v>911</v>
      </c>
      <c r="C442" s="43" t="s">
        <v>912</v>
      </c>
      <c r="D442" s="43" t="s">
        <v>912</v>
      </c>
      <c r="E442" s="43" t="s">
        <v>146</v>
      </c>
      <c r="F442" s="43" t="s">
        <v>61</v>
      </c>
      <c r="G442" s="43" t="n">
        <v>2024</v>
      </c>
      <c r="H442" s="44" t="n">
        <v>0</v>
      </c>
      <c r="I442" s="43" t="n">
        <v>2024</v>
      </c>
      <c r="J442" s="43" t="n">
        <v>12</v>
      </c>
      <c r="K442" s="44" t="n">
        <v>19771</v>
      </c>
      <c r="L442" s="43" t="n">
        <v>2024</v>
      </c>
      <c r="M442" s="43" t="n">
        <v>12</v>
      </c>
      <c r="N442" s="44" t="n">
        <v>19771</v>
      </c>
      <c r="O442" s="43" t="n">
        <v>2025</v>
      </c>
      <c r="P442" s="43" t="n">
        <v>1</v>
      </c>
      <c r="Q442" s="44" t="n">
        <v>20771</v>
      </c>
      <c r="R442" s="43" t="s">
        <v>703</v>
      </c>
      <c r="S442" s="43" t="s">
        <v>83</v>
      </c>
      <c r="T442" s="43" t="s">
        <v>641</v>
      </c>
      <c r="U442" s="43" t="s">
        <v>647</v>
      </c>
      <c r="V442" s="43"/>
      <c r="W442" s="43" t="n">
        <v>29</v>
      </c>
      <c r="X442" s="43" t="n">
        <v>27</v>
      </c>
      <c r="Y442" s="43" t="s">
        <v>635</v>
      </c>
      <c r="Z442" s="43" t="s">
        <v>636</v>
      </c>
    </row>
    <row r="443" customFormat="false" ht="15" hidden="false" customHeight="false" outlineLevel="0" collapsed="false">
      <c r="A443" s="43" t="n">
        <v>441</v>
      </c>
      <c r="B443" s="43" t="s">
        <v>911</v>
      </c>
      <c r="C443" s="43" t="s">
        <v>912</v>
      </c>
      <c r="D443" s="43" t="s">
        <v>912</v>
      </c>
      <c r="E443" s="43" t="s">
        <v>146</v>
      </c>
      <c r="F443" s="43" t="s">
        <v>61</v>
      </c>
      <c r="G443" s="43" t="n">
        <v>2025</v>
      </c>
      <c r="H443" s="44" t="n">
        <v>0</v>
      </c>
      <c r="I443" s="43" t="n">
        <v>2025</v>
      </c>
      <c r="J443" s="43" t="n">
        <v>1</v>
      </c>
      <c r="K443" s="44" t="n">
        <v>57745</v>
      </c>
      <c r="L443" s="43" t="n">
        <v>2025</v>
      </c>
      <c r="M443" s="43" t="n">
        <v>1</v>
      </c>
      <c r="N443" s="44" t="n">
        <v>57745</v>
      </c>
      <c r="O443" s="43" t="n">
        <v>2025</v>
      </c>
      <c r="P443" s="43" t="n">
        <v>3</v>
      </c>
      <c r="Q443" s="44" t="n">
        <v>59963</v>
      </c>
      <c r="R443" s="43" t="s">
        <v>703</v>
      </c>
      <c r="S443" s="43" t="s">
        <v>83</v>
      </c>
      <c r="T443" s="43" t="s">
        <v>641</v>
      </c>
      <c r="U443" s="43" t="s">
        <v>647</v>
      </c>
      <c r="V443" s="43" t="n">
        <v>7</v>
      </c>
      <c r="W443" s="43" t="n">
        <v>32</v>
      </c>
      <c r="X443" s="43" t="n">
        <v>39</v>
      </c>
      <c r="Y443" s="43" t="s">
        <v>635</v>
      </c>
      <c r="Z443" s="43" t="s">
        <v>636</v>
      </c>
    </row>
    <row r="444" customFormat="false" ht="15" hidden="false" customHeight="false" outlineLevel="0" collapsed="false">
      <c r="A444" s="43" t="n">
        <v>442</v>
      </c>
      <c r="B444" s="43" t="s">
        <v>911</v>
      </c>
      <c r="C444" s="43" t="s">
        <v>912</v>
      </c>
      <c r="D444" s="43" t="s">
        <v>912</v>
      </c>
      <c r="E444" s="43" t="s">
        <v>146</v>
      </c>
      <c r="F444" s="43" t="s">
        <v>61</v>
      </c>
      <c r="G444" s="43" t="n">
        <v>2025</v>
      </c>
      <c r="H444" s="44" t="n">
        <v>0</v>
      </c>
      <c r="I444" s="43" t="n">
        <v>2025</v>
      </c>
      <c r="J444" s="43" t="n">
        <v>2</v>
      </c>
      <c r="K444" s="44" t="n">
        <v>24935</v>
      </c>
      <c r="L444" s="43" t="n">
        <v>2025</v>
      </c>
      <c r="M444" s="43" t="n">
        <v>4</v>
      </c>
      <c r="N444" s="44" t="n">
        <v>24935</v>
      </c>
      <c r="O444" s="43" t="n">
        <v>2025</v>
      </c>
      <c r="P444" s="43" t="n">
        <v>5</v>
      </c>
      <c r="Q444" s="44" t="n">
        <v>24935</v>
      </c>
      <c r="R444" s="43" t="s">
        <v>703</v>
      </c>
      <c r="S444" s="43" t="s">
        <v>83</v>
      </c>
      <c r="T444" s="43" t="s">
        <v>641</v>
      </c>
      <c r="U444" s="43" t="s">
        <v>647</v>
      </c>
      <c r="V444" s="43" t="n">
        <v>49</v>
      </c>
      <c r="W444" s="43" t="n">
        <v>37</v>
      </c>
      <c r="X444" s="43" t="n">
        <v>86</v>
      </c>
      <c r="Y444" s="43" t="s">
        <v>635</v>
      </c>
      <c r="Z444" s="43" t="s">
        <v>636</v>
      </c>
    </row>
    <row r="445" customFormat="false" ht="15" hidden="false" customHeight="false" outlineLevel="0" collapsed="false">
      <c r="A445" s="43" t="n">
        <v>443</v>
      </c>
      <c r="B445" s="43" t="s">
        <v>911</v>
      </c>
      <c r="C445" s="43" t="s">
        <v>912</v>
      </c>
      <c r="D445" s="43" t="s">
        <v>912</v>
      </c>
      <c r="E445" s="43" t="s">
        <v>146</v>
      </c>
      <c r="F445" s="43" t="s">
        <v>61</v>
      </c>
      <c r="G445" s="43" t="n">
        <v>2025</v>
      </c>
      <c r="H445" s="44" t="n">
        <v>0</v>
      </c>
      <c r="I445" s="43" t="n">
        <v>2025</v>
      </c>
      <c r="J445" s="43" t="n">
        <v>5</v>
      </c>
      <c r="K445" s="44" t="n">
        <v>5265</v>
      </c>
      <c r="L445" s="43" t="n">
        <v>2025</v>
      </c>
      <c r="M445" s="43" t="n">
        <v>6</v>
      </c>
      <c r="N445" s="44" t="n">
        <v>5265</v>
      </c>
      <c r="O445" s="43" t="n">
        <v>2025</v>
      </c>
      <c r="P445" s="43" t="n">
        <v>7</v>
      </c>
      <c r="Q445" s="44" t="n">
        <v>5265</v>
      </c>
      <c r="R445" s="43" t="s">
        <v>703</v>
      </c>
      <c r="S445" s="43" t="s">
        <v>83</v>
      </c>
      <c r="T445" s="43" t="s">
        <v>641</v>
      </c>
      <c r="U445" s="43" t="s">
        <v>647</v>
      </c>
      <c r="V445" s="43" t="n">
        <v>31</v>
      </c>
      <c r="W445" s="43" t="n">
        <v>35</v>
      </c>
      <c r="X445" s="43" t="n">
        <v>66</v>
      </c>
      <c r="Y445" s="43" t="s">
        <v>635</v>
      </c>
      <c r="Z445" s="43" t="s">
        <v>636</v>
      </c>
    </row>
    <row r="446" customFormat="false" ht="15" hidden="false" customHeight="false" outlineLevel="0" collapsed="false">
      <c r="A446" s="43" t="n">
        <v>444</v>
      </c>
      <c r="B446" s="43" t="s">
        <v>913</v>
      </c>
      <c r="C446" s="43" t="s">
        <v>914</v>
      </c>
      <c r="D446" s="43" t="s">
        <v>914</v>
      </c>
      <c r="E446" s="43" t="s">
        <v>165</v>
      </c>
      <c r="F446" s="43" t="s">
        <v>63</v>
      </c>
      <c r="G446" s="43" t="n">
        <v>2024</v>
      </c>
      <c r="H446" s="44" t="n">
        <v>0</v>
      </c>
      <c r="I446" s="43" t="n">
        <v>2024</v>
      </c>
      <c r="J446" s="43" t="n">
        <v>6</v>
      </c>
      <c r="K446" s="44" t="n">
        <v>288500</v>
      </c>
      <c r="L446" s="43" t="n">
        <v>2024</v>
      </c>
      <c r="M446" s="43" t="n">
        <v>8</v>
      </c>
      <c r="N446" s="44" t="n">
        <v>288500</v>
      </c>
      <c r="O446" s="43" t="n">
        <v>2024</v>
      </c>
      <c r="P446" s="43" t="n">
        <v>9</v>
      </c>
      <c r="Q446" s="44" t="n">
        <v>288500</v>
      </c>
      <c r="R446" s="43" t="s">
        <v>651</v>
      </c>
      <c r="S446" s="43" t="s">
        <v>85</v>
      </c>
      <c r="T446" s="43" t="s">
        <v>633</v>
      </c>
      <c r="U446" s="43" t="s">
        <v>647</v>
      </c>
      <c r="V446" s="43" t="n">
        <v>46</v>
      </c>
      <c r="W446" s="43" t="n">
        <v>30</v>
      </c>
      <c r="X446" s="43" t="n">
        <v>76</v>
      </c>
      <c r="Y446" s="43" t="s">
        <v>635</v>
      </c>
      <c r="Z446" s="43" t="s">
        <v>636</v>
      </c>
    </row>
    <row r="447" customFormat="false" ht="15" hidden="false" customHeight="false" outlineLevel="0" collapsed="false">
      <c r="A447" s="43" t="n">
        <v>445</v>
      </c>
      <c r="B447" s="43" t="s">
        <v>913</v>
      </c>
      <c r="C447" s="43" t="s">
        <v>914</v>
      </c>
      <c r="D447" s="43" t="s">
        <v>914</v>
      </c>
      <c r="E447" s="43" t="s">
        <v>165</v>
      </c>
      <c r="F447" s="43" t="s">
        <v>63</v>
      </c>
      <c r="G447" s="43" t="n">
        <v>2024</v>
      </c>
      <c r="H447" s="44" t="n">
        <v>0</v>
      </c>
      <c r="I447" s="43" t="n">
        <v>2024</v>
      </c>
      <c r="J447" s="43" t="n">
        <v>7</v>
      </c>
      <c r="K447" s="44" t="n">
        <v>283900</v>
      </c>
      <c r="L447" s="43" t="n">
        <v>2024</v>
      </c>
      <c r="M447" s="43" t="n">
        <v>8</v>
      </c>
      <c r="N447" s="44" t="n">
        <v>283900</v>
      </c>
      <c r="O447" s="43" t="n">
        <v>2024</v>
      </c>
      <c r="P447" s="43" t="n">
        <v>9</v>
      </c>
      <c r="Q447" s="44" t="n">
        <v>283900</v>
      </c>
      <c r="R447" s="43" t="s">
        <v>651</v>
      </c>
      <c r="S447" s="43" t="s">
        <v>85</v>
      </c>
      <c r="T447" s="43" t="s">
        <v>633</v>
      </c>
      <c r="U447" s="43" t="s">
        <v>647</v>
      </c>
      <c r="V447" s="43" t="n">
        <v>19</v>
      </c>
      <c r="W447" s="43" t="n">
        <v>30</v>
      </c>
      <c r="X447" s="43" t="n">
        <v>49</v>
      </c>
      <c r="Y447" s="43" t="s">
        <v>635</v>
      </c>
      <c r="Z447" s="43" t="s">
        <v>636</v>
      </c>
    </row>
    <row r="448" customFormat="false" ht="15" hidden="false" customHeight="false" outlineLevel="0" collapsed="false">
      <c r="A448" s="43" t="n">
        <v>446</v>
      </c>
      <c r="B448" s="43" t="s">
        <v>915</v>
      </c>
      <c r="C448" s="43" t="s">
        <v>916</v>
      </c>
      <c r="D448" s="43" t="s">
        <v>916</v>
      </c>
      <c r="E448" s="43" t="s">
        <v>139</v>
      </c>
      <c r="F448" s="43" t="s">
        <v>48</v>
      </c>
      <c r="G448" s="43" t="n">
        <v>2024</v>
      </c>
      <c r="H448" s="44" t="n">
        <v>0</v>
      </c>
      <c r="I448" s="43" t="n">
        <v>2024</v>
      </c>
      <c r="J448" s="43" t="n">
        <v>6</v>
      </c>
      <c r="K448" s="44" t="n">
        <v>71760</v>
      </c>
      <c r="L448" s="43" t="n">
        <v>2024</v>
      </c>
      <c r="M448" s="43" t="n">
        <v>6</v>
      </c>
      <c r="N448" s="44" t="n">
        <v>71760</v>
      </c>
      <c r="O448" s="43" t="n">
        <v>2024</v>
      </c>
      <c r="P448" s="43" t="n">
        <v>7</v>
      </c>
      <c r="Q448" s="44" t="n">
        <v>71760</v>
      </c>
      <c r="R448" s="43" t="s">
        <v>651</v>
      </c>
      <c r="S448" s="43" t="s">
        <v>85</v>
      </c>
      <c r="T448" s="43" t="s">
        <v>633</v>
      </c>
      <c r="U448" s="43" t="s">
        <v>682</v>
      </c>
      <c r="V448" s="43" t="n">
        <v>0</v>
      </c>
      <c r="W448" s="43" t="n">
        <v>27</v>
      </c>
      <c r="X448" s="43" t="n">
        <v>27</v>
      </c>
      <c r="Y448" s="43" t="s">
        <v>635</v>
      </c>
      <c r="Z448" s="43" t="s">
        <v>636</v>
      </c>
    </row>
    <row r="449" customFormat="false" ht="15" hidden="false" customHeight="false" outlineLevel="0" collapsed="false">
      <c r="A449" s="43" t="n">
        <v>447</v>
      </c>
      <c r="B449" s="43" t="s">
        <v>915</v>
      </c>
      <c r="C449" s="43" t="s">
        <v>916</v>
      </c>
      <c r="D449" s="43" t="s">
        <v>916</v>
      </c>
      <c r="E449" s="43" t="s">
        <v>139</v>
      </c>
      <c r="F449" s="43" t="s">
        <v>48</v>
      </c>
      <c r="G449" s="43" t="n">
        <v>2024</v>
      </c>
      <c r="H449" s="44" t="n">
        <v>0</v>
      </c>
      <c r="I449" s="43" t="n">
        <v>2024</v>
      </c>
      <c r="J449" s="43" t="n">
        <v>9</v>
      </c>
      <c r="K449" s="44" t="n">
        <v>71760</v>
      </c>
      <c r="L449" s="43" t="n">
        <v>2024</v>
      </c>
      <c r="M449" s="43" t="n">
        <v>9</v>
      </c>
      <c r="N449" s="44" t="n">
        <v>71760</v>
      </c>
      <c r="O449" s="43" t="n">
        <v>2024</v>
      </c>
      <c r="P449" s="43" t="n">
        <v>10</v>
      </c>
      <c r="Q449" s="44" t="n">
        <v>71760</v>
      </c>
      <c r="R449" s="43" t="s">
        <v>651</v>
      </c>
      <c r="S449" s="43" t="s">
        <v>85</v>
      </c>
      <c r="T449" s="43" t="s">
        <v>633</v>
      </c>
      <c r="U449" s="43" t="s">
        <v>682</v>
      </c>
      <c r="V449" s="43" t="n">
        <v>0</v>
      </c>
      <c r="W449" s="43" t="n">
        <v>13</v>
      </c>
      <c r="X449" s="43" t="n">
        <v>13</v>
      </c>
      <c r="Y449" s="43" t="s">
        <v>635</v>
      </c>
      <c r="Z449" s="43" t="s">
        <v>636</v>
      </c>
    </row>
    <row r="450" customFormat="false" ht="15" hidden="false" customHeight="false" outlineLevel="0" collapsed="false">
      <c r="A450" s="43" t="n">
        <v>448</v>
      </c>
      <c r="B450" s="43" t="s">
        <v>915</v>
      </c>
      <c r="C450" s="43" t="s">
        <v>916</v>
      </c>
      <c r="D450" s="43" t="s">
        <v>916</v>
      </c>
      <c r="E450" s="43" t="s">
        <v>139</v>
      </c>
      <c r="F450" s="43" t="s">
        <v>48</v>
      </c>
      <c r="G450" s="43" t="n">
        <v>2024</v>
      </c>
      <c r="H450" s="44" t="n">
        <v>0</v>
      </c>
      <c r="I450" s="43" t="n">
        <v>2024</v>
      </c>
      <c r="J450" s="43" t="n">
        <v>10</v>
      </c>
      <c r="K450" s="44" t="n">
        <v>71760</v>
      </c>
      <c r="L450" s="43" t="n">
        <v>2024</v>
      </c>
      <c r="M450" s="43" t="n">
        <v>10</v>
      </c>
      <c r="N450" s="44" t="n">
        <v>71760</v>
      </c>
      <c r="O450" s="43" t="n">
        <v>2024</v>
      </c>
      <c r="P450" s="43" t="n">
        <v>11</v>
      </c>
      <c r="Q450" s="44" t="n">
        <v>71760</v>
      </c>
      <c r="R450" s="43" t="s">
        <v>651</v>
      </c>
      <c r="S450" s="43" t="s">
        <v>85</v>
      </c>
      <c r="T450" s="43" t="s">
        <v>633</v>
      </c>
      <c r="U450" s="43" t="s">
        <v>682</v>
      </c>
      <c r="V450" s="43"/>
      <c r="W450" s="43" t="n">
        <v>23</v>
      </c>
      <c r="X450" s="43" t="n">
        <v>22</v>
      </c>
      <c r="Y450" s="43" t="s">
        <v>635</v>
      </c>
      <c r="Z450" s="43" t="s">
        <v>636</v>
      </c>
    </row>
    <row r="451" customFormat="false" ht="15" hidden="false" customHeight="false" outlineLevel="0" collapsed="false">
      <c r="A451" s="43" t="n">
        <v>449</v>
      </c>
      <c r="B451" s="43" t="s">
        <v>915</v>
      </c>
      <c r="C451" s="43" t="s">
        <v>916</v>
      </c>
      <c r="D451" s="43" t="s">
        <v>916</v>
      </c>
      <c r="E451" s="43" t="s">
        <v>139</v>
      </c>
      <c r="F451" s="43" t="s">
        <v>48</v>
      </c>
      <c r="G451" s="43" t="n">
        <v>2025</v>
      </c>
      <c r="H451" s="44" t="n">
        <v>0</v>
      </c>
      <c r="I451" s="43" t="n">
        <v>2025</v>
      </c>
      <c r="J451" s="43" t="n">
        <v>1</v>
      </c>
      <c r="K451" s="44" t="n">
        <v>23720</v>
      </c>
      <c r="L451" s="43" t="n">
        <v>2025</v>
      </c>
      <c r="M451" s="43" t="n">
        <v>3</v>
      </c>
      <c r="N451" s="44" t="n">
        <v>23720</v>
      </c>
      <c r="O451" s="43" t="n">
        <v>2025</v>
      </c>
      <c r="P451" s="43" t="n">
        <v>4</v>
      </c>
      <c r="Q451" s="44" t="n">
        <v>23720</v>
      </c>
      <c r="R451" s="43" t="s">
        <v>651</v>
      </c>
      <c r="S451" s="43" t="s">
        <v>85</v>
      </c>
      <c r="T451" s="43" t="s">
        <v>633</v>
      </c>
      <c r="U451" s="43" t="s">
        <v>682</v>
      </c>
      <c r="V451" s="43" t="n">
        <v>32</v>
      </c>
      <c r="W451" s="43" t="n">
        <v>35</v>
      </c>
      <c r="X451" s="43" t="n">
        <v>67</v>
      </c>
      <c r="Y451" s="43" t="s">
        <v>635</v>
      </c>
      <c r="Z451" s="43" t="s">
        <v>636</v>
      </c>
    </row>
    <row r="452" customFormat="false" ht="15" hidden="false" customHeight="false" outlineLevel="0" collapsed="false">
      <c r="A452" s="43" t="n">
        <v>450</v>
      </c>
      <c r="B452" s="43" t="s">
        <v>917</v>
      </c>
      <c r="C452" s="43" t="s">
        <v>918</v>
      </c>
      <c r="D452" s="43" t="s">
        <v>918</v>
      </c>
      <c r="E452" s="43" t="s">
        <v>796</v>
      </c>
      <c r="F452" s="43" t="s">
        <v>61</v>
      </c>
      <c r="G452" s="43" t="n">
        <v>2024</v>
      </c>
      <c r="H452" s="44" t="n">
        <v>0</v>
      </c>
      <c r="I452" s="43" t="n">
        <v>2024</v>
      </c>
      <c r="J452" s="43" t="n">
        <v>7</v>
      </c>
      <c r="K452" s="44" t="n">
        <v>23980</v>
      </c>
      <c r="L452" s="43" t="n">
        <v>2024</v>
      </c>
      <c r="M452" s="43" t="n">
        <v>9</v>
      </c>
      <c r="N452" s="44" t="n">
        <v>23980</v>
      </c>
      <c r="O452" s="43" t="n">
        <v>2024</v>
      </c>
      <c r="P452" s="43" t="n">
        <v>10</v>
      </c>
      <c r="Q452" s="44" t="n">
        <v>23491.29</v>
      </c>
      <c r="R452" s="43" t="s">
        <v>687</v>
      </c>
      <c r="S452" s="43" t="s">
        <v>83</v>
      </c>
      <c r="T452" s="43" t="s">
        <v>641</v>
      </c>
      <c r="U452" s="43" t="s">
        <v>647</v>
      </c>
      <c r="V452" s="43" t="n">
        <v>57</v>
      </c>
      <c r="W452" s="43" t="n">
        <v>35</v>
      </c>
      <c r="X452" s="43" t="n">
        <v>92</v>
      </c>
      <c r="Y452" s="43" t="s">
        <v>635</v>
      </c>
      <c r="Z452" s="43" t="s">
        <v>636</v>
      </c>
    </row>
    <row r="453" customFormat="false" ht="15" hidden="false" customHeight="false" outlineLevel="0" collapsed="false">
      <c r="A453" s="43" t="n">
        <v>451</v>
      </c>
      <c r="B453" s="43" t="s">
        <v>917</v>
      </c>
      <c r="C453" s="43" t="s">
        <v>918</v>
      </c>
      <c r="D453" s="43" t="s">
        <v>918</v>
      </c>
      <c r="E453" s="43" t="s">
        <v>796</v>
      </c>
      <c r="F453" s="43" t="s">
        <v>61</v>
      </c>
      <c r="G453" s="43" t="n">
        <v>2024</v>
      </c>
      <c r="H453" s="44" t="n">
        <v>0</v>
      </c>
      <c r="I453" s="43" t="n">
        <v>2024</v>
      </c>
      <c r="J453" s="43" t="n">
        <v>9</v>
      </c>
      <c r="K453" s="44" t="n">
        <v>21582</v>
      </c>
      <c r="L453" s="43" t="n">
        <v>2024</v>
      </c>
      <c r="M453" s="43" t="n">
        <v>10</v>
      </c>
      <c r="N453" s="44" t="n">
        <v>21582</v>
      </c>
      <c r="O453" s="43" t="n">
        <v>2025</v>
      </c>
      <c r="P453" s="43" t="n">
        <v>2</v>
      </c>
      <c r="Q453" s="44" t="n">
        <v>22411</v>
      </c>
      <c r="R453" s="43" t="s">
        <v>687</v>
      </c>
      <c r="S453" s="43" t="s">
        <v>83</v>
      </c>
      <c r="T453" s="43" t="s">
        <v>641</v>
      </c>
      <c r="U453" s="43" t="s">
        <v>647</v>
      </c>
      <c r="V453" s="43" t="n">
        <v>22</v>
      </c>
      <c r="W453" s="43" t="n">
        <v>118</v>
      </c>
      <c r="X453" s="43" t="n">
        <v>140</v>
      </c>
      <c r="Y453" s="43" t="s">
        <v>635</v>
      </c>
      <c r="Z453" s="43" t="s">
        <v>636</v>
      </c>
    </row>
    <row r="454" customFormat="false" ht="15" hidden="false" customHeight="false" outlineLevel="0" collapsed="false">
      <c r="A454" s="43" t="n">
        <v>452</v>
      </c>
      <c r="B454" s="43" t="s">
        <v>919</v>
      </c>
      <c r="C454" s="43" t="s">
        <v>140</v>
      </c>
      <c r="D454" s="43" t="s">
        <v>920</v>
      </c>
      <c r="E454" s="43" t="s">
        <v>140</v>
      </c>
      <c r="F454" s="43" t="s">
        <v>48</v>
      </c>
      <c r="G454" s="43" t="n">
        <v>2022</v>
      </c>
      <c r="H454" s="44" t="n">
        <v>0</v>
      </c>
      <c r="I454" s="43" t="n">
        <v>2022</v>
      </c>
      <c r="J454" s="43" t="n">
        <v>11</v>
      </c>
      <c r="K454" s="44" t="n">
        <v>39901.11</v>
      </c>
      <c r="L454" s="43" t="n">
        <v>2022</v>
      </c>
      <c r="M454" s="43" t="n">
        <v>12</v>
      </c>
      <c r="N454" s="44" t="n">
        <v>39901.11</v>
      </c>
      <c r="O454" s="43" t="n">
        <v>2023</v>
      </c>
      <c r="P454" s="43" t="n">
        <v>1</v>
      </c>
      <c r="Q454" s="44" t="n">
        <v>39901.11</v>
      </c>
      <c r="R454" s="43" t="s">
        <v>651</v>
      </c>
      <c r="S454" s="43" t="s">
        <v>85</v>
      </c>
      <c r="T454" s="43" t="s">
        <v>633</v>
      </c>
      <c r="U454" s="43" t="s">
        <v>647</v>
      </c>
      <c r="V454" s="43" t="n">
        <v>39</v>
      </c>
      <c r="W454" s="43" t="n">
        <v>7</v>
      </c>
      <c r="X454" s="43" t="n">
        <v>46</v>
      </c>
      <c r="Y454" s="43" t="s">
        <v>635</v>
      </c>
      <c r="Z454" s="43" t="s">
        <v>636</v>
      </c>
    </row>
    <row r="455" customFormat="false" ht="15" hidden="false" customHeight="false" outlineLevel="0" collapsed="false">
      <c r="A455" s="43" t="n">
        <v>453</v>
      </c>
      <c r="B455" s="43" t="s">
        <v>919</v>
      </c>
      <c r="C455" s="43" t="s">
        <v>140</v>
      </c>
      <c r="D455" s="43" t="s">
        <v>920</v>
      </c>
      <c r="E455" s="43" t="s">
        <v>140</v>
      </c>
      <c r="F455" s="43" t="s">
        <v>48</v>
      </c>
      <c r="G455" s="43" t="n">
        <v>2023</v>
      </c>
      <c r="H455" s="44" t="n">
        <v>0</v>
      </c>
      <c r="I455" s="43" t="n">
        <v>2022</v>
      </c>
      <c r="J455" s="43" t="n">
        <v>12</v>
      </c>
      <c r="K455" s="44" t="n">
        <v>46667.98875</v>
      </c>
      <c r="L455" s="43" t="n">
        <v>2023</v>
      </c>
      <c r="M455" s="43" t="n">
        <v>3</v>
      </c>
      <c r="N455" s="44" t="n">
        <v>46667.98875</v>
      </c>
      <c r="O455" s="43" t="n">
        <v>2023</v>
      </c>
      <c r="P455" s="43" t="n">
        <v>3</v>
      </c>
      <c r="Q455" s="44" t="n">
        <v>46667.98875</v>
      </c>
      <c r="R455" s="43" t="s">
        <v>651</v>
      </c>
      <c r="S455" s="43" t="s">
        <v>85</v>
      </c>
      <c r="T455" s="43" t="s">
        <v>633</v>
      </c>
      <c r="U455" s="43" t="s">
        <v>647</v>
      </c>
      <c r="V455" s="43" t="n">
        <v>71</v>
      </c>
      <c r="W455" s="43" t="n">
        <v>7</v>
      </c>
      <c r="X455" s="43" t="n">
        <v>78</v>
      </c>
      <c r="Y455" s="43" t="s">
        <v>635</v>
      </c>
      <c r="Z455" s="43" t="s">
        <v>636</v>
      </c>
    </row>
    <row r="456" customFormat="false" ht="15" hidden="false" customHeight="false" outlineLevel="0" collapsed="false">
      <c r="A456" s="43" t="n">
        <v>454</v>
      </c>
      <c r="B456" s="43" t="s">
        <v>919</v>
      </c>
      <c r="C456" s="43" t="s">
        <v>140</v>
      </c>
      <c r="D456" s="43" t="s">
        <v>920</v>
      </c>
      <c r="E456" s="43" t="s">
        <v>140</v>
      </c>
      <c r="F456" s="43" t="s">
        <v>48</v>
      </c>
      <c r="G456" s="43" t="n">
        <v>2023</v>
      </c>
      <c r="H456" s="44" t="n">
        <v>0</v>
      </c>
      <c r="I456" s="43" t="n">
        <v>2023</v>
      </c>
      <c r="J456" s="43" t="n">
        <v>1</v>
      </c>
      <c r="K456" s="44" t="n">
        <v>27689.485</v>
      </c>
      <c r="L456" s="43" t="n">
        <v>2023</v>
      </c>
      <c r="M456" s="43" t="n">
        <v>3</v>
      </c>
      <c r="N456" s="44" t="n">
        <v>27689.485</v>
      </c>
      <c r="O456" s="43" t="n">
        <v>2023</v>
      </c>
      <c r="P456" s="43" t="n">
        <v>3</v>
      </c>
      <c r="Q456" s="44" t="n">
        <v>27689.485</v>
      </c>
      <c r="R456" s="43" t="s">
        <v>651</v>
      </c>
      <c r="S456" s="43" t="s">
        <v>85</v>
      </c>
      <c r="T456" s="43" t="s">
        <v>633</v>
      </c>
      <c r="U456" s="43" t="s">
        <v>647</v>
      </c>
      <c r="V456" s="43" t="n">
        <v>40</v>
      </c>
      <c r="W456" s="43" t="n">
        <v>7</v>
      </c>
      <c r="X456" s="43" t="n">
        <v>47</v>
      </c>
      <c r="Y456" s="43" t="s">
        <v>635</v>
      </c>
      <c r="Z456" s="43" t="s">
        <v>636</v>
      </c>
    </row>
    <row r="457" customFormat="false" ht="15" hidden="false" customHeight="false" outlineLevel="0" collapsed="false">
      <c r="A457" s="43" t="n">
        <v>455</v>
      </c>
      <c r="B457" s="43" t="s">
        <v>919</v>
      </c>
      <c r="C457" s="43" t="s">
        <v>140</v>
      </c>
      <c r="D457" s="43" t="s">
        <v>920</v>
      </c>
      <c r="E457" s="43" t="s">
        <v>140</v>
      </c>
      <c r="F457" s="43" t="s">
        <v>48</v>
      </c>
      <c r="G457" s="43" t="n">
        <v>2023</v>
      </c>
      <c r="H457" s="44" t="n">
        <v>0</v>
      </c>
      <c r="I457" s="43" t="n">
        <v>2023</v>
      </c>
      <c r="J457" s="43" t="n">
        <v>2</v>
      </c>
      <c r="K457" s="44" t="n">
        <v>35526.91375</v>
      </c>
      <c r="L457" s="43" t="n">
        <v>2023</v>
      </c>
      <c r="M457" s="43" t="n">
        <v>3</v>
      </c>
      <c r="N457" s="44" t="n">
        <v>35526.91375</v>
      </c>
      <c r="O457" s="43" t="n">
        <v>2023</v>
      </c>
      <c r="P457" s="43" t="n">
        <v>3</v>
      </c>
      <c r="Q457" s="44" t="n">
        <v>35526.91375</v>
      </c>
      <c r="R457" s="43" t="s">
        <v>651</v>
      </c>
      <c r="S457" s="43" t="s">
        <v>85</v>
      </c>
      <c r="T457" s="43" t="s">
        <v>633</v>
      </c>
      <c r="U457" s="43" t="s">
        <v>647</v>
      </c>
      <c r="V457" s="43" t="n">
        <v>9</v>
      </c>
      <c r="W457" s="43" t="n">
        <v>7</v>
      </c>
      <c r="X457" s="43" t="n">
        <v>16</v>
      </c>
      <c r="Y457" s="43" t="s">
        <v>635</v>
      </c>
      <c r="Z457" s="43" t="s">
        <v>636</v>
      </c>
    </row>
    <row r="458" customFormat="false" ht="15" hidden="false" customHeight="false" outlineLevel="0" collapsed="false">
      <c r="A458" s="43" t="n">
        <v>456</v>
      </c>
      <c r="B458" s="43" t="s">
        <v>919</v>
      </c>
      <c r="C458" s="43" t="s">
        <v>140</v>
      </c>
      <c r="D458" s="43" t="s">
        <v>920</v>
      </c>
      <c r="E458" s="43" t="s">
        <v>140</v>
      </c>
      <c r="F458" s="43" t="s">
        <v>48</v>
      </c>
      <c r="G458" s="43" t="n">
        <v>2023</v>
      </c>
      <c r="H458" s="44" t="n">
        <v>0</v>
      </c>
      <c r="I458" s="43" t="n">
        <v>2023</v>
      </c>
      <c r="J458" s="43" t="n">
        <v>6</v>
      </c>
      <c r="K458" s="44" t="n">
        <v>40733.79</v>
      </c>
      <c r="L458" s="43" t="n">
        <v>2023</v>
      </c>
      <c r="M458" s="43" t="n">
        <v>6</v>
      </c>
      <c r="N458" s="44" t="n">
        <v>40773.79</v>
      </c>
      <c r="O458" s="43" t="n">
        <v>2023</v>
      </c>
      <c r="P458" s="43" t="n">
        <v>6</v>
      </c>
      <c r="Q458" s="44" t="n">
        <v>40773.79</v>
      </c>
      <c r="R458" s="43" t="s">
        <v>651</v>
      </c>
      <c r="S458" s="43" t="s">
        <v>85</v>
      </c>
      <c r="T458" s="43" t="s">
        <v>633</v>
      </c>
      <c r="U458" s="43" t="s">
        <v>647</v>
      </c>
      <c r="V458" s="43" t="n">
        <v>8</v>
      </c>
      <c r="W458" s="43" t="n">
        <v>7</v>
      </c>
      <c r="X458" s="43" t="n">
        <v>15</v>
      </c>
      <c r="Y458" s="43" t="s">
        <v>635</v>
      </c>
      <c r="Z458" s="43" t="s">
        <v>636</v>
      </c>
    </row>
    <row r="459" customFormat="false" ht="15" hidden="false" customHeight="false" outlineLevel="0" collapsed="false">
      <c r="A459" s="43" t="n">
        <v>457</v>
      </c>
      <c r="B459" s="43" t="s">
        <v>921</v>
      </c>
      <c r="C459" s="43" t="s">
        <v>922</v>
      </c>
      <c r="D459" s="43" t="s">
        <v>922</v>
      </c>
      <c r="E459" s="43" t="s">
        <v>923</v>
      </c>
      <c r="F459" s="43" t="s">
        <v>48</v>
      </c>
      <c r="G459" s="43" t="n">
        <v>2026</v>
      </c>
      <c r="H459" s="44" t="n">
        <v>0</v>
      </c>
      <c r="I459" s="43" t="n">
        <v>2026</v>
      </c>
      <c r="J459" s="43" t="n">
        <v>4</v>
      </c>
      <c r="K459" s="44" t="n">
        <v>60007</v>
      </c>
      <c r="L459" s="43" t="n">
        <v>2026</v>
      </c>
      <c r="M459" s="43" t="n">
        <v>4</v>
      </c>
      <c r="N459" s="44" t="n">
        <v>60007</v>
      </c>
      <c r="O459" s="43" t="n">
        <v>2026</v>
      </c>
      <c r="P459" s="43" t="n">
        <v>5</v>
      </c>
      <c r="Q459" s="44" t="n">
        <v>60007</v>
      </c>
      <c r="R459" s="43" t="s">
        <v>646</v>
      </c>
      <c r="S459" s="43" t="s">
        <v>83</v>
      </c>
      <c r="T459" s="43" t="s">
        <v>641</v>
      </c>
      <c r="U459" s="43" t="s">
        <v>642</v>
      </c>
      <c r="V459" s="43"/>
      <c r="W459" s="43" t="n">
        <v>21</v>
      </c>
      <c r="X459" s="43" t="n">
        <v>14</v>
      </c>
      <c r="Y459" s="43" t="s">
        <v>635</v>
      </c>
      <c r="Z459" s="43" t="s">
        <v>636</v>
      </c>
    </row>
    <row r="460" customFormat="false" ht="15" hidden="false" customHeight="false" outlineLevel="0" collapsed="false">
      <c r="A460" s="43" t="n">
        <v>458</v>
      </c>
      <c r="B460" s="43" t="s">
        <v>921</v>
      </c>
      <c r="C460" s="43" t="s">
        <v>922</v>
      </c>
      <c r="D460" s="43" t="s">
        <v>922</v>
      </c>
      <c r="E460" s="43" t="s">
        <v>923</v>
      </c>
      <c r="F460" s="43" t="s">
        <v>48</v>
      </c>
      <c r="G460" s="43" t="n">
        <v>2026</v>
      </c>
      <c r="H460" s="44" t="n">
        <v>0</v>
      </c>
      <c r="I460" s="43" t="n">
        <v>2026</v>
      </c>
      <c r="J460" s="43" t="n">
        <v>5</v>
      </c>
      <c r="K460" s="44" t="n">
        <v>50707</v>
      </c>
      <c r="L460" s="43"/>
      <c r="M460" s="43"/>
      <c r="N460" s="44" t="n">
        <v>0</v>
      </c>
      <c r="O460" s="43"/>
      <c r="P460" s="43"/>
      <c r="Q460" s="44" t="n">
        <v>0</v>
      </c>
      <c r="R460" s="43" t="s">
        <v>646</v>
      </c>
      <c r="S460" s="43" t="s">
        <v>83</v>
      </c>
      <c r="T460" s="43" t="s">
        <v>641</v>
      </c>
      <c r="U460" s="43" t="s">
        <v>642</v>
      </c>
      <c r="V460" s="43"/>
      <c r="W460" s="43"/>
      <c r="X460" s="43"/>
      <c r="Y460" s="43" t="s">
        <v>635</v>
      </c>
      <c r="Z460" s="43" t="s">
        <v>636</v>
      </c>
    </row>
    <row r="461" customFormat="false" ht="15" hidden="false" customHeight="false" outlineLevel="0" collapsed="false">
      <c r="A461" s="43" t="n">
        <v>459</v>
      </c>
      <c r="B461" s="43" t="s">
        <v>924</v>
      </c>
      <c r="C461" s="43" t="s">
        <v>925</v>
      </c>
      <c r="D461" s="43" t="s">
        <v>925</v>
      </c>
      <c r="E461" s="43" t="s">
        <v>143</v>
      </c>
      <c r="F461" s="43" t="s">
        <v>61</v>
      </c>
      <c r="G461" s="43" t="n">
        <v>2024</v>
      </c>
      <c r="H461" s="44" t="n">
        <v>0</v>
      </c>
      <c r="I461" s="43" t="n">
        <v>2024</v>
      </c>
      <c r="J461" s="43" t="n">
        <v>5</v>
      </c>
      <c r="K461" s="44" t="n">
        <v>8262</v>
      </c>
      <c r="L461" s="43" t="n">
        <v>2024</v>
      </c>
      <c r="M461" s="43" t="n">
        <v>6</v>
      </c>
      <c r="N461" s="44" t="n">
        <v>8262</v>
      </c>
      <c r="O461" s="43" t="n">
        <v>2024</v>
      </c>
      <c r="P461" s="43" t="n">
        <v>7</v>
      </c>
      <c r="Q461" s="44" t="n">
        <v>8262</v>
      </c>
      <c r="R461" s="43" t="s">
        <v>651</v>
      </c>
      <c r="S461" s="43" t="s">
        <v>85</v>
      </c>
      <c r="T461" s="43" t="s">
        <v>633</v>
      </c>
      <c r="U461" s="43" t="s">
        <v>647</v>
      </c>
      <c r="V461" s="43" t="n">
        <v>20</v>
      </c>
      <c r="W461" s="43" t="n">
        <v>24</v>
      </c>
      <c r="X461" s="43" t="n">
        <v>44</v>
      </c>
      <c r="Y461" s="43" t="s">
        <v>635</v>
      </c>
      <c r="Z461" s="43" t="s">
        <v>636</v>
      </c>
    </row>
    <row r="462" customFormat="false" ht="15" hidden="false" customHeight="false" outlineLevel="0" collapsed="false">
      <c r="A462" s="43" t="n">
        <v>460</v>
      </c>
      <c r="B462" s="43" t="s">
        <v>926</v>
      </c>
      <c r="C462" s="43" t="s">
        <v>927</v>
      </c>
      <c r="D462" s="43" t="s">
        <v>927</v>
      </c>
      <c r="E462" s="43" t="s">
        <v>143</v>
      </c>
      <c r="F462" s="43" t="s">
        <v>61</v>
      </c>
      <c r="G462" s="43" t="n">
        <v>2024</v>
      </c>
      <c r="H462" s="44" t="n">
        <v>0</v>
      </c>
      <c r="I462" s="43" t="n">
        <v>2024</v>
      </c>
      <c r="J462" s="43" t="n">
        <v>7</v>
      </c>
      <c r="K462" s="44" t="n">
        <v>32242</v>
      </c>
      <c r="L462" s="43" t="n">
        <v>2024</v>
      </c>
      <c r="M462" s="43" t="n">
        <v>8</v>
      </c>
      <c r="N462" s="44" t="n">
        <v>32242</v>
      </c>
      <c r="O462" s="43" t="n">
        <v>2024</v>
      </c>
      <c r="P462" s="43" t="n">
        <v>9</v>
      </c>
      <c r="Q462" s="44" t="n">
        <v>32242</v>
      </c>
      <c r="R462" s="43" t="s">
        <v>651</v>
      </c>
      <c r="S462" s="43" t="s">
        <v>85</v>
      </c>
      <c r="T462" s="43" t="s">
        <v>633</v>
      </c>
      <c r="U462" s="43" t="s">
        <v>669</v>
      </c>
      <c r="V462" s="43" t="n">
        <v>27</v>
      </c>
      <c r="W462" s="43" t="n">
        <v>30</v>
      </c>
      <c r="X462" s="43" t="n">
        <v>57</v>
      </c>
      <c r="Y462" s="43" t="s">
        <v>635</v>
      </c>
      <c r="Z462" s="43" t="s">
        <v>636</v>
      </c>
    </row>
    <row r="463" customFormat="false" ht="15" hidden="false" customHeight="false" outlineLevel="0" collapsed="false">
      <c r="A463" s="43" t="n">
        <v>461</v>
      </c>
      <c r="B463" s="43" t="s">
        <v>926</v>
      </c>
      <c r="C463" s="43" t="s">
        <v>927</v>
      </c>
      <c r="D463" s="43" t="s">
        <v>927</v>
      </c>
      <c r="E463" s="43" t="s">
        <v>143</v>
      </c>
      <c r="F463" s="43" t="s">
        <v>61</v>
      </c>
      <c r="G463" s="43" t="n">
        <v>2024</v>
      </c>
      <c r="H463" s="44" t="n">
        <v>0</v>
      </c>
      <c r="I463" s="43" t="n">
        <v>2024</v>
      </c>
      <c r="J463" s="43" t="n">
        <v>8</v>
      </c>
      <c r="K463" s="44" t="n">
        <v>82138</v>
      </c>
      <c r="L463" s="43" t="n">
        <v>2024</v>
      </c>
      <c r="M463" s="43" t="n">
        <v>9</v>
      </c>
      <c r="N463" s="44" t="n">
        <v>82138</v>
      </c>
      <c r="O463" s="43" t="n">
        <v>2024</v>
      </c>
      <c r="P463" s="43" t="n">
        <v>10</v>
      </c>
      <c r="Q463" s="44" t="n">
        <v>80437.7434</v>
      </c>
      <c r="R463" s="43" t="s">
        <v>651</v>
      </c>
      <c r="S463" s="43" t="s">
        <v>85</v>
      </c>
      <c r="T463" s="43" t="s">
        <v>633</v>
      </c>
      <c r="U463" s="43" t="s">
        <v>669</v>
      </c>
      <c r="V463" s="43" t="n">
        <v>4</v>
      </c>
      <c r="W463" s="43" t="n">
        <v>31</v>
      </c>
      <c r="X463" s="43" t="n">
        <v>35</v>
      </c>
      <c r="Y463" s="43" t="s">
        <v>635</v>
      </c>
      <c r="Z463" s="43" t="s">
        <v>636</v>
      </c>
    </row>
    <row r="464" customFormat="false" ht="15" hidden="false" customHeight="false" outlineLevel="0" collapsed="false">
      <c r="A464" s="43" t="n">
        <v>462</v>
      </c>
      <c r="B464" s="43" t="s">
        <v>926</v>
      </c>
      <c r="C464" s="43" t="s">
        <v>927</v>
      </c>
      <c r="D464" s="43" t="s">
        <v>927</v>
      </c>
      <c r="E464" s="43" t="s">
        <v>143</v>
      </c>
      <c r="F464" s="43" t="s">
        <v>61</v>
      </c>
      <c r="G464" s="43" t="n">
        <v>2024</v>
      </c>
      <c r="H464" s="44" t="n">
        <v>0</v>
      </c>
      <c r="I464" s="43" t="n">
        <v>2024</v>
      </c>
      <c r="J464" s="43" t="n">
        <v>9</v>
      </c>
      <c r="K464" s="44" t="n">
        <v>5513</v>
      </c>
      <c r="L464" s="43" t="n">
        <v>2024</v>
      </c>
      <c r="M464" s="43" t="n">
        <v>10</v>
      </c>
      <c r="N464" s="44" t="n">
        <v>5513</v>
      </c>
      <c r="O464" s="43" t="n">
        <v>2024</v>
      </c>
      <c r="P464" s="43" t="n">
        <v>11</v>
      </c>
      <c r="Q464" s="44" t="n">
        <v>5513</v>
      </c>
      <c r="R464" s="43" t="s">
        <v>651</v>
      </c>
      <c r="S464" s="43" t="s">
        <v>85</v>
      </c>
      <c r="T464" s="43" t="s">
        <v>633</v>
      </c>
      <c r="U464" s="43" t="s">
        <v>669</v>
      </c>
      <c r="V464" s="43" t="n">
        <v>22</v>
      </c>
      <c r="W464" s="43" t="n">
        <v>30</v>
      </c>
      <c r="X464" s="43" t="n">
        <v>52</v>
      </c>
      <c r="Y464" s="43" t="s">
        <v>635</v>
      </c>
      <c r="Z464" s="43" t="s">
        <v>636</v>
      </c>
    </row>
    <row r="465" customFormat="false" ht="15" hidden="false" customHeight="false" outlineLevel="0" collapsed="false">
      <c r="A465" s="43" t="n">
        <v>463</v>
      </c>
      <c r="B465" s="43" t="s">
        <v>928</v>
      </c>
      <c r="C465" s="43" t="s">
        <v>929</v>
      </c>
      <c r="D465" s="43" t="s">
        <v>929</v>
      </c>
      <c r="E465" s="43" t="s">
        <v>143</v>
      </c>
      <c r="F465" s="43" t="s">
        <v>61</v>
      </c>
      <c r="G465" s="43" t="n">
        <v>2024</v>
      </c>
      <c r="H465" s="44" t="n">
        <v>0</v>
      </c>
      <c r="I465" s="43" t="n">
        <v>2024</v>
      </c>
      <c r="J465" s="43" t="n">
        <v>10</v>
      </c>
      <c r="K465" s="44" t="n">
        <v>26104</v>
      </c>
      <c r="L465" s="43" t="n">
        <v>2024</v>
      </c>
      <c r="M465" s="43" t="n">
        <v>11</v>
      </c>
      <c r="N465" s="44" t="n">
        <v>26104</v>
      </c>
      <c r="O465" s="43" t="n">
        <v>2024</v>
      </c>
      <c r="P465" s="43" t="n">
        <v>11</v>
      </c>
      <c r="Q465" s="44" t="n">
        <v>26104</v>
      </c>
      <c r="R465" s="43" t="s">
        <v>651</v>
      </c>
      <c r="S465" s="43" t="s">
        <v>85</v>
      </c>
      <c r="T465" s="43" t="s">
        <v>633</v>
      </c>
      <c r="U465" s="43" t="s">
        <v>647</v>
      </c>
      <c r="V465" s="43" t="n">
        <v>11</v>
      </c>
      <c r="W465" s="43" t="n">
        <v>10</v>
      </c>
      <c r="X465" s="43" t="n">
        <v>21</v>
      </c>
      <c r="Y465" s="43" t="s">
        <v>635</v>
      </c>
      <c r="Z465" s="43" t="s">
        <v>636</v>
      </c>
    </row>
    <row r="466" customFormat="false" ht="15" hidden="false" customHeight="false" outlineLevel="0" collapsed="false">
      <c r="A466" s="43" t="n">
        <v>464</v>
      </c>
      <c r="B466" s="43" t="s">
        <v>928</v>
      </c>
      <c r="C466" s="43" t="s">
        <v>929</v>
      </c>
      <c r="D466" s="43" t="s">
        <v>929</v>
      </c>
      <c r="E466" s="43" t="s">
        <v>143</v>
      </c>
      <c r="F466" s="43" t="s">
        <v>61</v>
      </c>
      <c r="G466" s="43" t="n">
        <v>2024</v>
      </c>
      <c r="H466" s="44" t="n">
        <v>0</v>
      </c>
      <c r="I466" s="43" t="n">
        <v>2024</v>
      </c>
      <c r="J466" s="43" t="n">
        <v>11</v>
      </c>
      <c r="K466" s="44" t="n">
        <v>25519</v>
      </c>
      <c r="L466" s="43" t="n">
        <v>2024</v>
      </c>
      <c r="M466" s="43" t="n">
        <v>12</v>
      </c>
      <c r="N466" s="44" t="n">
        <v>25519</v>
      </c>
      <c r="O466" s="43" t="n">
        <v>2024</v>
      </c>
      <c r="P466" s="43" t="n">
        <v>12</v>
      </c>
      <c r="Q466" s="44" t="n">
        <v>25000</v>
      </c>
      <c r="R466" s="43" t="s">
        <v>651</v>
      </c>
      <c r="S466" s="43" t="s">
        <v>85</v>
      </c>
      <c r="T466" s="43" t="s">
        <v>633</v>
      </c>
      <c r="U466" s="43" t="s">
        <v>647</v>
      </c>
      <c r="V466" s="43" t="n">
        <v>13</v>
      </c>
      <c r="W466" s="43" t="n">
        <v>15</v>
      </c>
      <c r="X466" s="43" t="n">
        <v>28</v>
      </c>
      <c r="Y466" s="43" t="s">
        <v>635</v>
      </c>
      <c r="Z466" s="43" t="s">
        <v>636</v>
      </c>
    </row>
    <row r="467" customFormat="false" ht="15" hidden="false" customHeight="false" outlineLevel="0" collapsed="false">
      <c r="A467" s="43" t="n">
        <v>465</v>
      </c>
      <c r="B467" s="43" t="s">
        <v>928</v>
      </c>
      <c r="C467" s="43" t="s">
        <v>929</v>
      </c>
      <c r="D467" s="43" t="s">
        <v>929</v>
      </c>
      <c r="E467" s="43" t="s">
        <v>143</v>
      </c>
      <c r="F467" s="43" t="s">
        <v>61</v>
      </c>
      <c r="G467" s="43" t="n">
        <v>2024</v>
      </c>
      <c r="H467" s="44" t="n">
        <v>0</v>
      </c>
      <c r="I467" s="43" t="n">
        <v>2024</v>
      </c>
      <c r="J467" s="43" t="n">
        <v>12</v>
      </c>
      <c r="K467" s="44" t="n">
        <v>13312</v>
      </c>
      <c r="L467" s="43" t="n">
        <v>2025</v>
      </c>
      <c r="M467" s="43" t="n">
        <v>1</v>
      </c>
      <c r="N467" s="44" t="n">
        <v>13312</v>
      </c>
      <c r="O467" s="43" t="n">
        <v>2025</v>
      </c>
      <c r="P467" s="43" t="n">
        <v>1</v>
      </c>
      <c r="Q467" s="44" t="n">
        <v>13823</v>
      </c>
      <c r="R467" s="43" t="s">
        <v>651</v>
      </c>
      <c r="S467" s="43" t="s">
        <v>85</v>
      </c>
      <c r="T467" s="43" t="s">
        <v>633</v>
      </c>
      <c r="U467" s="43" t="s">
        <v>647</v>
      </c>
      <c r="V467" s="43" t="n">
        <v>8</v>
      </c>
      <c r="W467" s="43" t="n">
        <v>13</v>
      </c>
      <c r="X467" s="43" t="n">
        <v>21</v>
      </c>
      <c r="Y467" s="43" t="s">
        <v>635</v>
      </c>
      <c r="Z467" s="43" t="s">
        <v>636</v>
      </c>
    </row>
    <row r="468" customFormat="false" ht="15" hidden="false" customHeight="false" outlineLevel="0" collapsed="false">
      <c r="A468" s="43" t="n">
        <v>466</v>
      </c>
      <c r="B468" s="43" t="s">
        <v>930</v>
      </c>
      <c r="C468" s="43" t="s">
        <v>931</v>
      </c>
      <c r="D468" s="43" t="s">
        <v>931</v>
      </c>
      <c r="E468" s="43" t="s">
        <v>143</v>
      </c>
      <c r="F468" s="43" t="s">
        <v>61</v>
      </c>
      <c r="G468" s="43" t="n">
        <v>2025</v>
      </c>
      <c r="H468" s="44" t="n">
        <v>0</v>
      </c>
      <c r="I468" s="43"/>
      <c r="J468" s="43"/>
      <c r="K468" s="44" t="n">
        <v>0</v>
      </c>
      <c r="L468" s="43" t="n">
        <v>2025</v>
      </c>
      <c r="M468" s="43" t="n">
        <v>9</v>
      </c>
      <c r="N468" s="44" t="n">
        <v>12000</v>
      </c>
      <c r="O468" s="43" t="n">
        <v>2025</v>
      </c>
      <c r="P468" s="43" t="n">
        <v>10</v>
      </c>
      <c r="Q468" s="44" t="n">
        <v>12000</v>
      </c>
      <c r="R468" s="43" t="s">
        <v>651</v>
      </c>
      <c r="S468" s="43" t="s">
        <v>85</v>
      </c>
      <c r="T468" s="43" t="s">
        <v>633</v>
      </c>
      <c r="U468" s="43" t="s">
        <v>647</v>
      </c>
      <c r="V468" s="43"/>
      <c r="W468" s="43" t="n">
        <v>52</v>
      </c>
      <c r="X468" s="43"/>
      <c r="Y468" s="43" t="s">
        <v>635</v>
      </c>
      <c r="Z468" s="43" t="s">
        <v>636</v>
      </c>
    </row>
    <row r="469" customFormat="false" ht="15" hidden="false" customHeight="false" outlineLevel="0" collapsed="false">
      <c r="A469" s="43" t="n">
        <v>467</v>
      </c>
      <c r="B469" s="43" t="s">
        <v>932</v>
      </c>
      <c r="C469" s="43" t="s">
        <v>933</v>
      </c>
      <c r="D469" s="43" t="s">
        <v>933</v>
      </c>
      <c r="E469" s="43" t="s">
        <v>143</v>
      </c>
      <c r="F469" s="43" t="s">
        <v>61</v>
      </c>
      <c r="G469" s="43" t="n">
        <v>2023</v>
      </c>
      <c r="H469" s="44" t="n">
        <v>0</v>
      </c>
      <c r="I469" s="43" t="n">
        <v>2023</v>
      </c>
      <c r="J469" s="43" t="n">
        <v>12</v>
      </c>
      <c r="K469" s="44" t="n">
        <v>65088</v>
      </c>
      <c r="L469" s="43" t="n">
        <v>2024</v>
      </c>
      <c r="M469" s="43" t="n">
        <v>1</v>
      </c>
      <c r="N469" s="44" t="n">
        <v>65088</v>
      </c>
      <c r="O469" s="43" t="n">
        <v>2024</v>
      </c>
      <c r="P469" s="43" t="n">
        <v>1</v>
      </c>
      <c r="Q469" s="44" t="n">
        <v>65088</v>
      </c>
      <c r="R469" s="43" t="s">
        <v>640</v>
      </c>
      <c r="S469" s="43" t="s">
        <v>84</v>
      </c>
      <c r="T469" s="43" t="s">
        <v>641</v>
      </c>
      <c r="U469" s="43" t="s">
        <v>647</v>
      </c>
      <c r="V469" s="43" t="n">
        <v>25</v>
      </c>
      <c r="W469" s="43" t="n">
        <v>12</v>
      </c>
      <c r="X469" s="43" t="n">
        <v>37</v>
      </c>
      <c r="Y469" s="43" t="s">
        <v>635</v>
      </c>
      <c r="Z469" s="43" t="s">
        <v>636</v>
      </c>
    </row>
    <row r="470" customFormat="false" ht="15" hidden="false" customHeight="false" outlineLevel="0" collapsed="false">
      <c r="A470" s="43" t="n">
        <v>468</v>
      </c>
      <c r="B470" s="43" t="s">
        <v>934</v>
      </c>
      <c r="C470" s="43" t="s">
        <v>935</v>
      </c>
      <c r="D470" s="43" t="s">
        <v>935</v>
      </c>
      <c r="E470" s="43" t="s">
        <v>143</v>
      </c>
      <c r="F470" s="43" t="s">
        <v>61</v>
      </c>
      <c r="G470" s="43" t="n">
        <v>2024</v>
      </c>
      <c r="H470" s="44" t="n">
        <v>0</v>
      </c>
      <c r="I470" s="43" t="n">
        <v>2024</v>
      </c>
      <c r="J470" s="43" t="n">
        <v>6</v>
      </c>
      <c r="K470" s="44" t="n">
        <v>13797</v>
      </c>
      <c r="L470" s="43" t="n">
        <v>2024</v>
      </c>
      <c r="M470" s="43" t="n">
        <v>7</v>
      </c>
      <c r="N470" s="44" t="n">
        <v>13797</v>
      </c>
      <c r="O470" s="43" t="n">
        <v>2024</v>
      </c>
      <c r="P470" s="43" t="n">
        <v>7</v>
      </c>
      <c r="Q470" s="44" t="n">
        <v>13797</v>
      </c>
      <c r="R470" s="43" t="s">
        <v>651</v>
      </c>
      <c r="S470" s="43" t="s">
        <v>85</v>
      </c>
      <c r="T470" s="43" t="s">
        <v>633</v>
      </c>
      <c r="U470" s="43" t="s">
        <v>660</v>
      </c>
      <c r="V470" s="43" t="n">
        <v>13</v>
      </c>
      <c r="W470" s="43" t="n">
        <v>10</v>
      </c>
      <c r="X470" s="43" t="n">
        <v>23</v>
      </c>
      <c r="Y470" s="43" t="s">
        <v>635</v>
      </c>
      <c r="Z470" s="43" t="s">
        <v>636</v>
      </c>
    </row>
    <row r="471" customFormat="false" ht="15" hidden="false" customHeight="false" outlineLevel="0" collapsed="false">
      <c r="A471" s="43" t="n">
        <v>469</v>
      </c>
      <c r="B471" s="43" t="s">
        <v>936</v>
      </c>
      <c r="C471" s="43" t="s">
        <v>937</v>
      </c>
      <c r="D471" s="43" t="s">
        <v>937</v>
      </c>
      <c r="E471" s="43" t="s">
        <v>143</v>
      </c>
      <c r="F471" s="43" t="s">
        <v>61</v>
      </c>
      <c r="G471" s="43" t="n">
        <v>2025</v>
      </c>
      <c r="H471" s="44" t="n">
        <v>0</v>
      </c>
      <c r="I471" s="43" t="n">
        <v>2025</v>
      </c>
      <c r="J471" s="43" t="n">
        <v>5</v>
      </c>
      <c r="K471" s="44" t="n">
        <v>29207</v>
      </c>
      <c r="L471" s="43" t="n">
        <v>2026</v>
      </c>
      <c r="M471" s="43" t="n">
        <v>1</v>
      </c>
      <c r="N471" s="44" t="n">
        <v>33892</v>
      </c>
      <c r="O471" s="43" t="n">
        <v>2026</v>
      </c>
      <c r="P471" s="43" t="n">
        <v>2</v>
      </c>
      <c r="Q471" s="44" t="n">
        <v>33892</v>
      </c>
      <c r="R471" s="43" t="s">
        <v>651</v>
      </c>
      <c r="S471" s="43" t="s">
        <v>85</v>
      </c>
      <c r="T471" s="43" t="s">
        <v>633</v>
      </c>
      <c r="U471" s="43" t="s">
        <v>642</v>
      </c>
      <c r="V471" s="43" t="n">
        <v>235</v>
      </c>
      <c r="W471" s="43" t="n">
        <v>14</v>
      </c>
      <c r="X471" s="43" t="n">
        <v>249</v>
      </c>
      <c r="Y471" s="43" t="s">
        <v>635</v>
      </c>
      <c r="Z471" s="43" t="s">
        <v>636</v>
      </c>
    </row>
    <row r="472" customFormat="false" ht="15" hidden="false" customHeight="false" outlineLevel="0" collapsed="false">
      <c r="A472" s="43" t="n">
        <v>470</v>
      </c>
      <c r="B472" s="43" t="s">
        <v>938</v>
      </c>
      <c r="C472" s="43" t="s">
        <v>939</v>
      </c>
      <c r="D472" s="43" t="s">
        <v>939</v>
      </c>
      <c r="E472" s="43" t="s">
        <v>143</v>
      </c>
      <c r="F472" s="43" t="s">
        <v>61</v>
      </c>
      <c r="G472" s="43" t="n">
        <v>2026</v>
      </c>
      <c r="H472" s="44" t="n">
        <v>0</v>
      </c>
      <c r="I472" s="43" t="n">
        <v>2026</v>
      </c>
      <c r="J472" s="43" t="n">
        <v>5</v>
      </c>
      <c r="K472" s="44" t="n">
        <v>40271</v>
      </c>
      <c r="L472" s="43"/>
      <c r="M472" s="43"/>
      <c r="N472" s="44" t="n">
        <v>0</v>
      </c>
      <c r="O472" s="43"/>
      <c r="P472" s="43"/>
      <c r="Q472" s="44" t="n">
        <v>0</v>
      </c>
      <c r="R472" s="43" t="s">
        <v>651</v>
      </c>
      <c r="S472" s="43" t="s">
        <v>85</v>
      </c>
      <c r="T472" s="43" t="s">
        <v>633</v>
      </c>
      <c r="U472" s="43" t="s">
        <v>642</v>
      </c>
      <c r="V472" s="43"/>
      <c r="W472" s="43"/>
      <c r="X472" s="43"/>
      <c r="Y472" s="43" t="s">
        <v>635</v>
      </c>
      <c r="Z472" s="43" t="s">
        <v>636</v>
      </c>
    </row>
    <row r="473" customFormat="false" ht="15" hidden="false" customHeight="false" outlineLevel="0" collapsed="false">
      <c r="A473" s="43" t="n">
        <v>471</v>
      </c>
      <c r="B473" s="43" t="s">
        <v>940</v>
      </c>
      <c r="C473" s="43" t="s">
        <v>941</v>
      </c>
      <c r="D473" s="43" t="s">
        <v>941</v>
      </c>
      <c r="E473" s="43" t="s">
        <v>143</v>
      </c>
      <c r="F473" s="43" t="s">
        <v>61</v>
      </c>
      <c r="G473" s="43" t="n">
        <v>2024</v>
      </c>
      <c r="H473" s="44" t="n">
        <v>0</v>
      </c>
      <c r="I473" s="43" t="n">
        <v>2024</v>
      </c>
      <c r="J473" s="43" t="n">
        <v>7</v>
      </c>
      <c r="K473" s="44" t="n">
        <v>84801.87</v>
      </c>
      <c r="L473" s="43" t="n">
        <v>2024</v>
      </c>
      <c r="M473" s="43" t="n">
        <v>8</v>
      </c>
      <c r="N473" s="44" t="n">
        <v>84862</v>
      </c>
      <c r="O473" s="43" t="n">
        <v>2024</v>
      </c>
      <c r="P473" s="43" t="n">
        <v>9</v>
      </c>
      <c r="Q473" s="44" t="n">
        <v>84862</v>
      </c>
      <c r="R473" s="43" t="s">
        <v>646</v>
      </c>
      <c r="S473" s="43" t="s">
        <v>83</v>
      </c>
      <c r="T473" s="43" t="s">
        <v>641</v>
      </c>
      <c r="U473" s="43" t="s">
        <v>642</v>
      </c>
      <c r="V473" s="43" t="n">
        <v>25</v>
      </c>
      <c r="W473" s="43" t="n">
        <v>31</v>
      </c>
      <c r="X473" s="43" t="n">
        <v>56</v>
      </c>
      <c r="Y473" s="43" t="s">
        <v>635</v>
      </c>
      <c r="Z473" s="43" t="s">
        <v>636</v>
      </c>
    </row>
    <row r="474" customFormat="false" ht="15" hidden="false" customHeight="false" outlineLevel="0" collapsed="false">
      <c r="A474" s="43" t="n">
        <v>472</v>
      </c>
      <c r="B474" s="43" t="s">
        <v>940</v>
      </c>
      <c r="C474" s="43" t="s">
        <v>941</v>
      </c>
      <c r="D474" s="43" t="s">
        <v>941</v>
      </c>
      <c r="E474" s="43" t="s">
        <v>143</v>
      </c>
      <c r="F474" s="43" t="s">
        <v>61</v>
      </c>
      <c r="G474" s="43" t="n">
        <v>2024</v>
      </c>
      <c r="H474" s="44" t="n">
        <v>0</v>
      </c>
      <c r="I474" s="43" t="n">
        <v>2024</v>
      </c>
      <c r="J474" s="43" t="n">
        <v>8</v>
      </c>
      <c r="K474" s="44" t="n">
        <v>10481</v>
      </c>
      <c r="L474" s="43" t="n">
        <v>2024</v>
      </c>
      <c r="M474" s="43" t="n">
        <v>9</v>
      </c>
      <c r="N474" s="44" t="n">
        <v>10481</v>
      </c>
      <c r="O474" s="43" t="n">
        <v>2024</v>
      </c>
      <c r="P474" s="43" t="n">
        <v>10</v>
      </c>
      <c r="Q474" s="44" t="n">
        <v>10264.0433</v>
      </c>
      <c r="R474" s="43" t="s">
        <v>646</v>
      </c>
      <c r="S474" s="43" t="s">
        <v>83</v>
      </c>
      <c r="T474" s="43" t="s">
        <v>641</v>
      </c>
      <c r="U474" s="43" t="s">
        <v>642</v>
      </c>
      <c r="V474" s="43" t="n">
        <v>4</v>
      </c>
      <c r="W474" s="43" t="n">
        <v>31</v>
      </c>
      <c r="X474" s="43" t="n">
        <v>35</v>
      </c>
      <c r="Y474" s="43" t="s">
        <v>635</v>
      </c>
      <c r="Z474" s="43" t="s">
        <v>636</v>
      </c>
    </row>
    <row r="475" customFormat="false" ht="15" hidden="false" customHeight="false" outlineLevel="0" collapsed="false">
      <c r="A475" s="43" t="n">
        <v>473</v>
      </c>
      <c r="B475" s="43" t="s">
        <v>942</v>
      </c>
      <c r="C475" s="43" t="s">
        <v>943</v>
      </c>
      <c r="D475" s="43" t="s">
        <v>943</v>
      </c>
      <c r="E475" s="43" t="s">
        <v>143</v>
      </c>
      <c r="F475" s="43" t="s">
        <v>61</v>
      </c>
      <c r="G475" s="43" t="n">
        <v>2024</v>
      </c>
      <c r="H475" s="44" t="n">
        <v>0</v>
      </c>
      <c r="I475" s="43" t="n">
        <v>2024</v>
      </c>
      <c r="J475" s="43" t="n">
        <v>7</v>
      </c>
      <c r="K475" s="44" t="n">
        <v>24551</v>
      </c>
      <c r="L475" s="43" t="n">
        <v>2024</v>
      </c>
      <c r="M475" s="43" t="n">
        <v>8</v>
      </c>
      <c r="N475" s="44" t="n">
        <v>24551</v>
      </c>
      <c r="O475" s="43" t="n">
        <v>2024</v>
      </c>
      <c r="P475" s="43" t="n">
        <v>8</v>
      </c>
      <c r="Q475" s="44" t="n">
        <v>23814.47</v>
      </c>
      <c r="R475" s="43" t="s">
        <v>651</v>
      </c>
      <c r="S475" s="43" t="s">
        <v>85</v>
      </c>
      <c r="T475" s="43" t="s">
        <v>633</v>
      </c>
      <c r="U475" s="43" t="s">
        <v>660</v>
      </c>
      <c r="V475" s="43" t="n">
        <v>22</v>
      </c>
      <c r="W475" s="43" t="n">
        <v>10</v>
      </c>
      <c r="X475" s="43" t="n">
        <v>32</v>
      </c>
      <c r="Y475" s="43" t="s">
        <v>635</v>
      </c>
      <c r="Z475" s="43" t="s">
        <v>636</v>
      </c>
    </row>
    <row r="476" customFormat="false" ht="15" hidden="false" customHeight="false" outlineLevel="0" collapsed="false">
      <c r="A476" s="43" t="n">
        <v>474</v>
      </c>
      <c r="B476" s="43" t="s">
        <v>944</v>
      </c>
      <c r="C476" s="43" t="s">
        <v>945</v>
      </c>
      <c r="D476" s="43" t="s">
        <v>945</v>
      </c>
      <c r="E476" s="43" t="s">
        <v>143</v>
      </c>
      <c r="F476" s="43" t="s">
        <v>61</v>
      </c>
      <c r="G476" s="43" t="n">
        <v>2023</v>
      </c>
      <c r="H476" s="44" t="n">
        <v>0</v>
      </c>
      <c r="I476" s="43" t="n">
        <v>2023</v>
      </c>
      <c r="J476" s="43" t="n">
        <v>11</v>
      </c>
      <c r="K476" s="44" t="n">
        <v>15000</v>
      </c>
      <c r="L476" s="43" t="n">
        <v>2023</v>
      </c>
      <c r="M476" s="43" t="n">
        <v>12</v>
      </c>
      <c r="N476" s="44" t="n">
        <v>15000</v>
      </c>
      <c r="O476" s="43" t="n">
        <v>2023</v>
      </c>
      <c r="P476" s="43" t="n">
        <v>12</v>
      </c>
      <c r="Q476" s="44" t="n">
        <v>15000</v>
      </c>
      <c r="R476" s="43" t="s">
        <v>651</v>
      </c>
      <c r="S476" s="43" t="s">
        <v>85</v>
      </c>
      <c r="T476" s="43" t="s">
        <v>633</v>
      </c>
      <c r="U476" s="43" t="s">
        <v>647</v>
      </c>
      <c r="V476" s="43" t="n">
        <v>23</v>
      </c>
      <c r="W476" s="43" t="n">
        <v>9</v>
      </c>
      <c r="X476" s="43" t="n">
        <v>32</v>
      </c>
      <c r="Y476" s="43" t="s">
        <v>635</v>
      </c>
      <c r="Z476" s="43" t="s">
        <v>636</v>
      </c>
    </row>
    <row r="477" customFormat="false" ht="15" hidden="false" customHeight="false" outlineLevel="0" collapsed="false">
      <c r="A477" s="43" t="n">
        <v>475</v>
      </c>
      <c r="B477" s="43" t="s">
        <v>946</v>
      </c>
      <c r="C477" s="43" t="s">
        <v>947</v>
      </c>
      <c r="D477" s="43" t="s">
        <v>947</v>
      </c>
      <c r="E477" s="43" t="s">
        <v>143</v>
      </c>
      <c r="F477" s="43" t="s">
        <v>61</v>
      </c>
      <c r="G477" s="43" t="n">
        <v>2026</v>
      </c>
      <c r="H477" s="44" t="n">
        <v>0</v>
      </c>
      <c r="I477" s="43" t="n">
        <v>2026</v>
      </c>
      <c r="J477" s="43" t="n">
        <v>5</v>
      </c>
      <c r="K477" s="44" t="n">
        <v>10527</v>
      </c>
      <c r="L477" s="43"/>
      <c r="M477" s="43"/>
      <c r="N477" s="44" t="n">
        <v>0</v>
      </c>
      <c r="O477" s="43"/>
      <c r="P477" s="43"/>
      <c r="Q477" s="44" t="n">
        <v>0</v>
      </c>
      <c r="R477" s="43" t="s">
        <v>651</v>
      </c>
      <c r="S477" s="43" t="s">
        <v>85</v>
      </c>
      <c r="T477" s="43" t="s">
        <v>633</v>
      </c>
      <c r="U477" s="43" t="s">
        <v>647</v>
      </c>
      <c r="V477" s="43"/>
      <c r="W477" s="43"/>
      <c r="X477" s="43"/>
      <c r="Y477" s="43" t="s">
        <v>635</v>
      </c>
      <c r="Z477" s="43" t="s">
        <v>636</v>
      </c>
    </row>
    <row r="478" customFormat="false" ht="15" hidden="false" customHeight="false" outlineLevel="0" collapsed="false">
      <c r="A478" s="43" t="n">
        <v>476</v>
      </c>
      <c r="B478" s="43" t="s">
        <v>948</v>
      </c>
      <c r="C478" s="43" t="s">
        <v>949</v>
      </c>
      <c r="D478" s="43" t="s">
        <v>949</v>
      </c>
      <c r="E478" s="43" t="s">
        <v>143</v>
      </c>
      <c r="F478" s="43" t="s">
        <v>61</v>
      </c>
      <c r="G478" s="43" t="n">
        <v>2024</v>
      </c>
      <c r="H478" s="44" t="n">
        <v>0</v>
      </c>
      <c r="I478" s="43" t="n">
        <v>2024</v>
      </c>
      <c r="J478" s="43" t="n">
        <v>7</v>
      </c>
      <c r="K478" s="44" t="n">
        <v>53339</v>
      </c>
      <c r="L478" s="43" t="n">
        <v>2024</v>
      </c>
      <c r="M478" s="43" t="n">
        <v>10</v>
      </c>
      <c r="N478" s="44" t="n">
        <v>53339</v>
      </c>
      <c r="O478" s="43" t="n">
        <v>2024</v>
      </c>
      <c r="P478" s="43" t="n">
        <v>10</v>
      </c>
      <c r="Q478" s="44" t="n">
        <v>52252</v>
      </c>
      <c r="R478" s="43" t="s">
        <v>646</v>
      </c>
      <c r="S478" s="43" t="s">
        <v>83</v>
      </c>
      <c r="T478" s="43" t="s">
        <v>641</v>
      </c>
      <c r="U478" s="43" t="s">
        <v>647</v>
      </c>
      <c r="V478" s="43" t="n">
        <v>99</v>
      </c>
      <c r="W478" s="43" t="n">
        <v>10</v>
      </c>
      <c r="X478" s="43" t="n">
        <v>109</v>
      </c>
      <c r="Y478" s="43" t="s">
        <v>635</v>
      </c>
      <c r="Z478" s="43" t="s">
        <v>636</v>
      </c>
    </row>
    <row r="479" customFormat="false" ht="15" hidden="false" customHeight="false" outlineLevel="0" collapsed="false">
      <c r="A479" s="43" t="n">
        <v>477</v>
      </c>
      <c r="B479" s="43" t="s">
        <v>950</v>
      </c>
      <c r="C479" s="43" t="s">
        <v>951</v>
      </c>
      <c r="D479" s="43" t="s">
        <v>951</v>
      </c>
      <c r="E479" s="43" t="s">
        <v>143</v>
      </c>
      <c r="F479" s="43" t="s">
        <v>61</v>
      </c>
      <c r="G479" s="43" t="n">
        <v>2025</v>
      </c>
      <c r="H479" s="44" t="n">
        <v>0</v>
      </c>
      <c r="I479" s="43" t="n">
        <v>2025</v>
      </c>
      <c r="J479" s="43" t="n">
        <v>3</v>
      </c>
      <c r="K479" s="44" t="n">
        <v>51870</v>
      </c>
      <c r="L479" s="43" t="n">
        <v>2025</v>
      </c>
      <c r="M479" s="43" t="n">
        <v>5</v>
      </c>
      <c r="N479" s="44" t="n">
        <v>51870</v>
      </c>
      <c r="O479" s="43" t="n">
        <v>2025</v>
      </c>
      <c r="P479" s="43" t="n">
        <v>5</v>
      </c>
      <c r="Q479" s="44" t="n">
        <v>48608</v>
      </c>
      <c r="R479" s="43" t="s">
        <v>651</v>
      </c>
      <c r="S479" s="43" t="s">
        <v>85</v>
      </c>
      <c r="T479" s="43" t="s">
        <v>633</v>
      </c>
      <c r="U479" s="43" t="s">
        <v>642</v>
      </c>
      <c r="V479" s="43" t="n">
        <v>44</v>
      </c>
      <c r="W479" s="43" t="n">
        <v>12</v>
      </c>
      <c r="X479" s="43" t="n">
        <v>56</v>
      </c>
      <c r="Y479" s="43" t="s">
        <v>635</v>
      </c>
      <c r="Z479" s="43" t="s">
        <v>636</v>
      </c>
    </row>
    <row r="480" customFormat="false" ht="15" hidden="false" customHeight="false" outlineLevel="0" collapsed="false">
      <c r="A480" s="43" t="n">
        <v>478</v>
      </c>
      <c r="B480" s="43" t="s">
        <v>952</v>
      </c>
      <c r="C480" s="43" t="s">
        <v>953</v>
      </c>
      <c r="D480" s="43" t="s">
        <v>953</v>
      </c>
      <c r="E480" s="43" t="s">
        <v>143</v>
      </c>
      <c r="F480" s="43" t="s">
        <v>61</v>
      </c>
      <c r="G480" s="43" t="n">
        <v>2025</v>
      </c>
      <c r="H480" s="44" t="n">
        <v>0</v>
      </c>
      <c r="I480" s="43" t="n">
        <v>2025</v>
      </c>
      <c r="J480" s="43" t="n">
        <v>4</v>
      </c>
      <c r="K480" s="44" t="n">
        <v>76361</v>
      </c>
      <c r="L480" s="43" t="n">
        <v>2025</v>
      </c>
      <c r="M480" s="43" t="n">
        <v>6</v>
      </c>
      <c r="N480" s="44" t="n">
        <v>76361</v>
      </c>
      <c r="O480" s="43" t="n">
        <v>2025</v>
      </c>
      <c r="P480" s="43" t="n">
        <v>7</v>
      </c>
      <c r="Q480" s="44" t="n">
        <v>76361</v>
      </c>
      <c r="R480" s="43" t="s">
        <v>646</v>
      </c>
      <c r="S480" s="43" t="s">
        <v>83</v>
      </c>
      <c r="T480" s="43" t="s">
        <v>641</v>
      </c>
      <c r="U480" s="43" t="s">
        <v>642</v>
      </c>
      <c r="V480" s="43" t="n">
        <v>37</v>
      </c>
      <c r="W480" s="43" t="n">
        <v>49</v>
      </c>
      <c r="X480" s="43" t="n">
        <v>86</v>
      </c>
      <c r="Y480" s="43" t="s">
        <v>635</v>
      </c>
      <c r="Z480" s="43" t="s">
        <v>636</v>
      </c>
    </row>
    <row r="481" customFormat="false" ht="15" hidden="false" customHeight="false" outlineLevel="0" collapsed="false">
      <c r="A481" s="43" t="n">
        <v>479</v>
      </c>
      <c r="B481" s="43" t="s">
        <v>952</v>
      </c>
      <c r="C481" s="43" t="s">
        <v>953</v>
      </c>
      <c r="D481" s="43" t="s">
        <v>953</v>
      </c>
      <c r="E481" s="43" t="s">
        <v>143</v>
      </c>
      <c r="F481" s="43" t="s">
        <v>61</v>
      </c>
      <c r="G481" s="43" t="n">
        <v>2025</v>
      </c>
      <c r="H481" s="44" t="n">
        <v>0</v>
      </c>
      <c r="I481" s="43" t="n">
        <v>2025</v>
      </c>
      <c r="J481" s="43" t="n">
        <v>6</v>
      </c>
      <c r="K481" s="44" t="n">
        <v>114681</v>
      </c>
      <c r="L481" s="43" t="n">
        <v>2025</v>
      </c>
      <c r="M481" s="43" t="n">
        <v>8</v>
      </c>
      <c r="N481" s="44" t="n">
        <v>114681</v>
      </c>
      <c r="O481" s="43" t="n">
        <v>2025</v>
      </c>
      <c r="P481" s="43" t="n">
        <v>9</v>
      </c>
      <c r="Q481" s="44" t="n">
        <v>112344</v>
      </c>
      <c r="R481" s="43" t="s">
        <v>646</v>
      </c>
      <c r="S481" s="43" t="s">
        <v>83</v>
      </c>
      <c r="T481" s="43" t="s">
        <v>641</v>
      </c>
      <c r="U481" s="43" t="s">
        <v>642</v>
      </c>
      <c r="V481" s="43" t="n">
        <v>50</v>
      </c>
      <c r="W481" s="43" t="n">
        <v>31</v>
      </c>
      <c r="X481" s="43" t="n">
        <v>81</v>
      </c>
      <c r="Y481" s="43" t="s">
        <v>635</v>
      </c>
      <c r="Z481" s="43" t="s">
        <v>636</v>
      </c>
    </row>
    <row r="482" customFormat="false" ht="15" hidden="false" customHeight="false" outlineLevel="0" collapsed="false">
      <c r="A482" s="43" t="n">
        <v>480</v>
      </c>
      <c r="B482" s="43" t="s">
        <v>952</v>
      </c>
      <c r="C482" s="43" t="s">
        <v>953</v>
      </c>
      <c r="D482" s="43" t="s">
        <v>953</v>
      </c>
      <c r="E482" s="43" t="s">
        <v>143</v>
      </c>
      <c r="F482" s="43" t="s">
        <v>61</v>
      </c>
      <c r="G482" s="43" t="n">
        <v>2025</v>
      </c>
      <c r="H482" s="44" t="n">
        <v>0</v>
      </c>
      <c r="I482" s="43" t="n">
        <v>2025</v>
      </c>
      <c r="J482" s="43" t="n">
        <v>8</v>
      </c>
      <c r="K482" s="44" t="n">
        <v>23019</v>
      </c>
      <c r="L482" s="43" t="n">
        <v>2025</v>
      </c>
      <c r="M482" s="43" t="n">
        <v>9</v>
      </c>
      <c r="N482" s="44" t="n">
        <v>23019</v>
      </c>
      <c r="O482" s="43" t="n">
        <v>2025</v>
      </c>
      <c r="P482" s="43" t="n">
        <v>10</v>
      </c>
      <c r="Q482" s="44" t="n">
        <v>23019</v>
      </c>
      <c r="R482" s="43" t="s">
        <v>646</v>
      </c>
      <c r="S482" s="43" t="s">
        <v>83</v>
      </c>
      <c r="T482" s="43" t="s">
        <v>641</v>
      </c>
      <c r="U482" s="43" t="s">
        <v>642</v>
      </c>
      <c r="V482" s="43" t="n">
        <v>12</v>
      </c>
      <c r="W482" s="43" t="n">
        <v>52</v>
      </c>
      <c r="X482" s="43" t="n">
        <v>64</v>
      </c>
      <c r="Y482" s="43" t="s">
        <v>635</v>
      </c>
      <c r="Z482" s="43" t="s">
        <v>636</v>
      </c>
    </row>
    <row r="483" customFormat="false" ht="15" hidden="false" customHeight="false" outlineLevel="0" collapsed="false">
      <c r="A483" s="43" t="n">
        <v>481</v>
      </c>
      <c r="B483" s="43" t="s">
        <v>952</v>
      </c>
      <c r="C483" s="43" t="s">
        <v>953</v>
      </c>
      <c r="D483" s="43" t="s">
        <v>953</v>
      </c>
      <c r="E483" s="43" t="s">
        <v>143</v>
      </c>
      <c r="F483" s="43" t="s">
        <v>61</v>
      </c>
      <c r="G483" s="43" t="n">
        <v>2025</v>
      </c>
      <c r="H483" s="44" t="n">
        <v>0</v>
      </c>
      <c r="I483" s="43" t="n">
        <v>2025</v>
      </c>
      <c r="J483" s="43" t="n">
        <v>9</v>
      </c>
      <c r="K483" s="44" t="n">
        <v>8564</v>
      </c>
      <c r="L483" s="43"/>
      <c r="M483" s="43"/>
      <c r="N483" s="44" t="n">
        <v>0</v>
      </c>
      <c r="O483" s="43"/>
      <c r="P483" s="43"/>
      <c r="Q483" s="44" t="n">
        <v>0</v>
      </c>
      <c r="R483" s="43" t="s">
        <v>646</v>
      </c>
      <c r="S483" s="43" t="s">
        <v>83</v>
      </c>
      <c r="T483" s="43" t="s">
        <v>641</v>
      </c>
      <c r="U483" s="43" t="s">
        <v>642</v>
      </c>
      <c r="V483" s="43"/>
      <c r="W483" s="43"/>
      <c r="X483" s="43"/>
      <c r="Y483" s="43" t="s">
        <v>635</v>
      </c>
      <c r="Z483" s="43" t="s">
        <v>636</v>
      </c>
    </row>
    <row r="484" customFormat="false" ht="15" hidden="false" customHeight="false" outlineLevel="0" collapsed="false">
      <c r="A484" s="43" t="n">
        <v>482</v>
      </c>
      <c r="B484" s="43" t="s">
        <v>952</v>
      </c>
      <c r="C484" s="43" t="s">
        <v>953</v>
      </c>
      <c r="D484" s="43" t="s">
        <v>953</v>
      </c>
      <c r="E484" s="43" t="s">
        <v>143</v>
      </c>
      <c r="F484" s="43" t="s">
        <v>61</v>
      </c>
      <c r="G484" s="43" t="n">
        <v>2025</v>
      </c>
      <c r="H484" s="44" t="n">
        <v>0</v>
      </c>
      <c r="I484" s="43" t="n">
        <v>2025</v>
      </c>
      <c r="J484" s="43" t="n">
        <v>10</v>
      </c>
      <c r="K484" s="44" t="n">
        <v>17010</v>
      </c>
      <c r="L484" s="43"/>
      <c r="M484" s="43"/>
      <c r="N484" s="44" t="n">
        <v>0</v>
      </c>
      <c r="O484" s="43"/>
      <c r="P484" s="43"/>
      <c r="Q484" s="44" t="n">
        <v>0</v>
      </c>
      <c r="R484" s="43" t="s">
        <v>646</v>
      </c>
      <c r="S484" s="43" t="s">
        <v>83</v>
      </c>
      <c r="T484" s="43" t="s">
        <v>641</v>
      </c>
      <c r="U484" s="43" t="s">
        <v>642</v>
      </c>
      <c r="V484" s="43"/>
      <c r="W484" s="43"/>
      <c r="X484" s="43"/>
      <c r="Y484" s="43" t="s">
        <v>635</v>
      </c>
      <c r="Z484" s="43" t="s">
        <v>636</v>
      </c>
    </row>
    <row r="485" customFormat="false" ht="15" hidden="false" customHeight="false" outlineLevel="0" collapsed="false">
      <c r="A485" s="43" t="n">
        <v>483</v>
      </c>
      <c r="B485" s="43" t="s">
        <v>954</v>
      </c>
      <c r="C485" s="43" t="s">
        <v>955</v>
      </c>
      <c r="D485" s="43" t="s">
        <v>955</v>
      </c>
      <c r="E485" s="43" t="s">
        <v>143</v>
      </c>
      <c r="F485" s="43" t="s">
        <v>61</v>
      </c>
      <c r="G485" s="43" t="n">
        <v>2025</v>
      </c>
      <c r="H485" s="44" t="n">
        <v>0</v>
      </c>
      <c r="I485" s="43" t="n">
        <v>2025</v>
      </c>
      <c r="J485" s="43" t="n">
        <v>7</v>
      </c>
      <c r="K485" s="44" t="n">
        <v>35690</v>
      </c>
      <c r="L485" s="43" t="n">
        <v>2025</v>
      </c>
      <c r="M485" s="43" t="n">
        <v>10</v>
      </c>
      <c r="N485" s="44" t="n">
        <v>37221</v>
      </c>
      <c r="O485" s="43" t="n">
        <v>2025</v>
      </c>
      <c r="P485" s="43" t="n">
        <v>10</v>
      </c>
      <c r="Q485" s="44" t="n">
        <v>33707.7142857143</v>
      </c>
      <c r="R485" s="43" t="s">
        <v>651</v>
      </c>
      <c r="S485" s="43" t="s">
        <v>85</v>
      </c>
      <c r="T485" s="43" t="s">
        <v>633</v>
      </c>
      <c r="U485" s="43" t="s">
        <v>642</v>
      </c>
      <c r="V485" s="43" t="n">
        <v>67</v>
      </c>
      <c r="W485" s="43" t="n">
        <v>1</v>
      </c>
      <c r="X485" s="43" t="n">
        <v>68</v>
      </c>
      <c r="Y485" s="43" t="s">
        <v>635</v>
      </c>
      <c r="Z485" s="43" t="s">
        <v>636</v>
      </c>
    </row>
    <row r="486" customFormat="false" ht="15" hidden="false" customHeight="false" outlineLevel="0" collapsed="false">
      <c r="A486" s="43" t="n">
        <v>484</v>
      </c>
      <c r="B486" s="43" t="s">
        <v>956</v>
      </c>
      <c r="C486" s="43" t="s">
        <v>957</v>
      </c>
      <c r="D486" s="43" t="s">
        <v>957</v>
      </c>
      <c r="E486" s="43" t="s">
        <v>143</v>
      </c>
      <c r="F486" s="43" t="s">
        <v>61</v>
      </c>
      <c r="G486" s="43" t="n">
        <v>2024</v>
      </c>
      <c r="H486" s="44" t="n">
        <v>25600</v>
      </c>
      <c r="I486" s="43" t="n">
        <v>2024</v>
      </c>
      <c r="J486" s="43" t="n">
        <v>2</v>
      </c>
      <c r="K486" s="44" t="n">
        <v>25600</v>
      </c>
      <c r="L486" s="43" t="n">
        <v>2024</v>
      </c>
      <c r="M486" s="43" t="n">
        <v>3</v>
      </c>
      <c r="N486" s="44" t="n">
        <v>25600</v>
      </c>
      <c r="O486" s="43" t="n">
        <v>2024</v>
      </c>
      <c r="P486" s="43" t="n">
        <v>3</v>
      </c>
      <c r="Q486" s="44" t="n">
        <v>25600</v>
      </c>
      <c r="R486" s="43" t="s">
        <v>646</v>
      </c>
      <c r="S486" s="43" t="s">
        <v>83</v>
      </c>
      <c r="T486" s="43" t="s">
        <v>641</v>
      </c>
      <c r="U486" s="43" t="s">
        <v>642</v>
      </c>
      <c r="V486" s="43" t="n">
        <v>21</v>
      </c>
      <c r="W486" s="43" t="n">
        <v>1</v>
      </c>
      <c r="X486" s="43" t="n">
        <v>22</v>
      </c>
      <c r="Y486" s="43" t="s">
        <v>635</v>
      </c>
      <c r="Z486" s="43" t="s">
        <v>636</v>
      </c>
    </row>
    <row r="487" customFormat="false" ht="15" hidden="false" customHeight="false" outlineLevel="0" collapsed="false">
      <c r="A487" s="43" t="n">
        <v>485</v>
      </c>
      <c r="B487" s="43" t="s">
        <v>958</v>
      </c>
      <c r="C487" s="43" t="s">
        <v>959</v>
      </c>
      <c r="D487" s="43" t="s">
        <v>959</v>
      </c>
      <c r="E487" s="43" t="s">
        <v>960</v>
      </c>
      <c r="F487" s="43" t="s">
        <v>61</v>
      </c>
      <c r="G487" s="43" t="n">
        <v>2026</v>
      </c>
      <c r="H487" s="44" t="n">
        <v>0</v>
      </c>
      <c r="I487" s="43" t="n">
        <v>2026</v>
      </c>
      <c r="J487" s="43" t="n">
        <v>4</v>
      </c>
      <c r="K487" s="44" t="n">
        <v>23962</v>
      </c>
      <c r="L487" s="43"/>
      <c r="M487" s="43"/>
      <c r="N487" s="44" t="n">
        <v>0</v>
      </c>
      <c r="O487" s="43"/>
      <c r="P487" s="43"/>
      <c r="Q487" s="44" t="n">
        <v>0</v>
      </c>
      <c r="R487" s="43" t="s">
        <v>651</v>
      </c>
      <c r="S487" s="43" t="s">
        <v>85</v>
      </c>
      <c r="T487" s="43" t="s">
        <v>633</v>
      </c>
      <c r="U487" s="43" t="s">
        <v>682</v>
      </c>
      <c r="V487" s="43"/>
      <c r="W487" s="43"/>
      <c r="X487" s="43"/>
      <c r="Y487" s="43" t="s">
        <v>635</v>
      </c>
      <c r="Z487" s="43" t="s">
        <v>636</v>
      </c>
    </row>
    <row r="488" customFormat="false" ht="15" hidden="false" customHeight="false" outlineLevel="0" collapsed="false">
      <c r="A488" s="43" t="n">
        <v>486</v>
      </c>
      <c r="B488" s="43" t="s">
        <v>958</v>
      </c>
      <c r="C488" s="43" t="s">
        <v>959</v>
      </c>
      <c r="D488" s="43" t="s">
        <v>959</v>
      </c>
      <c r="E488" s="43" t="s">
        <v>960</v>
      </c>
      <c r="F488" s="43" t="s">
        <v>61</v>
      </c>
      <c r="G488" s="43" t="n">
        <v>2026</v>
      </c>
      <c r="H488" s="44" t="n">
        <v>0</v>
      </c>
      <c r="I488" s="43" t="n">
        <v>2026</v>
      </c>
      <c r="J488" s="43" t="n">
        <v>5</v>
      </c>
      <c r="K488" s="44" t="n">
        <v>7741</v>
      </c>
      <c r="L488" s="43"/>
      <c r="M488" s="43"/>
      <c r="N488" s="44" t="n">
        <v>0</v>
      </c>
      <c r="O488" s="43"/>
      <c r="P488" s="43"/>
      <c r="Q488" s="44" t="n">
        <v>0</v>
      </c>
      <c r="R488" s="43" t="s">
        <v>651</v>
      </c>
      <c r="S488" s="43" t="s">
        <v>85</v>
      </c>
      <c r="T488" s="43" t="s">
        <v>633</v>
      </c>
      <c r="U488" s="43" t="s">
        <v>682</v>
      </c>
      <c r="V488" s="43"/>
      <c r="W488" s="43"/>
      <c r="X488" s="43"/>
      <c r="Y488" s="43" t="s">
        <v>635</v>
      </c>
      <c r="Z488" s="43" t="s">
        <v>636</v>
      </c>
    </row>
    <row r="489" customFormat="false" ht="15" hidden="false" customHeight="false" outlineLevel="0" collapsed="false">
      <c r="A489" s="43" t="n">
        <v>487</v>
      </c>
      <c r="B489" s="43" t="s">
        <v>961</v>
      </c>
      <c r="C489" s="43" t="s">
        <v>253</v>
      </c>
      <c r="D489" s="43" t="s">
        <v>253</v>
      </c>
      <c r="E489" s="43" t="s">
        <v>148</v>
      </c>
      <c r="F489" s="43" t="s">
        <v>61</v>
      </c>
      <c r="G489" s="43" t="n">
        <v>2025</v>
      </c>
      <c r="H489" s="44" t="n">
        <v>0</v>
      </c>
      <c r="I489" s="43" t="n">
        <v>2025</v>
      </c>
      <c r="J489" s="43" t="n">
        <v>11</v>
      </c>
      <c r="K489" s="44" t="n">
        <v>20102</v>
      </c>
      <c r="L489" s="43" t="n">
        <v>2025</v>
      </c>
      <c r="M489" s="43" t="n">
        <v>12</v>
      </c>
      <c r="N489" s="44" t="n">
        <v>20102</v>
      </c>
      <c r="O489" s="43" t="n">
        <v>2026</v>
      </c>
      <c r="P489" s="43" t="n">
        <v>1</v>
      </c>
      <c r="Q489" s="44" t="n">
        <v>20102</v>
      </c>
      <c r="R489" s="43" t="s">
        <v>646</v>
      </c>
      <c r="S489" s="43" t="s">
        <v>83</v>
      </c>
      <c r="T489" s="43" t="s">
        <v>641</v>
      </c>
      <c r="U489" s="43" t="s">
        <v>784</v>
      </c>
      <c r="V489" s="43" t="n">
        <v>16</v>
      </c>
      <c r="W489" s="43" t="n">
        <v>40</v>
      </c>
      <c r="X489" s="43" t="n">
        <v>56</v>
      </c>
      <c r="Y489" s="43" t="s">
        <v>635</v>
      </c>
      <c r="Z489" s="43" t="s">
        <v>636</v>
      </c>
    </row>
    <row r="490" customFormat="false" ht="15" hidden="false" customHeight="false" outlineLevel="0" collapsed="false">
      <c r="A490" s="43" t="n">
        <v>488</v>
      </c>
      <c r="B490" s="43" t="s">
        <v>961</v>
      </c>
      <c r="C490" s="43" t="s">
        <v>253</v>
      </c>
      <c r="D490" s="43" t="s">
        <v>253</v>
      </c>
      <c r="E490" s="43" t="s">
        <v>148</v>
      </c>
      <c r="F490" s="43" t="s">
        <v>61</v>
      </c>
      <c r="G490" s="43" t="n">
        <v>2025</v>
      </c>
      <c r="H490" s="44" t="n">
        <v>0</v>
      </c>
      <c r="I490" s="43" t="n">
        <v>2025</v>
      </c>
      <c r="J490" s="43" t="n">
        <v>12</v>
      </c>
      <c r="K490" s="44" t="n">
        <v>23931</v>
      </c>
      <c r="L490" s="43" t="n">
        <v>2026</v>
      </c>
      <c r="M490" s="43" t="n">
        <v>1</v>
      </c>
      <c r="N490" s="44" t="n">
        <v>25531</v>
      </c>
      <c r="O490" s="43" t="n">
        <v>2026</v>
      </c>
      <c r="P490" s="43" t="n">
        <v>2</v>
      </c>
      <c r="Q490" s="44" t="n">
        <v>24414</v>
      </c>
      <c r="R490" s="43" t="s">
        <v>646</v>
      </c>
      <c r="S490" s="43" t="s">
        <v>83</v>
      </c>
      <c r="T490" s="43" t="s">
        <v>641</v>
      </c>
      <c r="U490" s="43" t="s">
        <v>784</v>
      </c>
      <c r="V490" s="43" t="n">
        <v>26</v>
      </c>
      <c r="W490" s="43" t="n">
        <v>30</v>
      </c>
      <c r="X490" s="43" t="n">
        <v>56</v>
      </c>
      <c r="Y490" s="43" t="s">
        <v>635</v>
      </c>
      <c r="Z490" s="43" t="s">
        <v>636</v>
      </c>
    </row>
    <row r="491" customFormat="false" ht="15" hidden="false" customHeight="false" outlineLevel="0" collapsed="false">
      <c r="A491" s="43" t="n">
        <v>489</v>
      </c>
      <c r="B491" s="43" t="s">
        <v>961</v>
      </c>
      <c r="C491" s="43" t="s">
        <v>253</v>
      </c>
      <c r="D491" s="43" t="s">
        <v>253</v>
      </c>
      <c r="E491" s="43" t="s">
        <v>148</v>
      </c>
      <c r="F491" s="43" t="s">
        <v>61</v>
      </c>
      <c r="G491" s="43" t="n">
        <v>2026</v>
      </c>
      <c r="H491" s="44" t="n">
        <v>0</v>
      </c>
      <c r="I491" s="43" t="n">
        <v>2026</v>
      </c>
      <c r="J491" s="43" t="n">
        <v>1</v>
      </c>
      <c r="K491" s="44" t="n">
        <v>46313</v>
      </c>
      <c r="L491" s="43" t="n">
        <v>2026</v>
      </c>
      <c r="M491" s="43" t="n">
        <v>2</v>
      </c>
      <c r="N491" s="44" t="n">
        <v>46313</v>
      </c>
      <c r="O491" s="43" t="n">
        <v>2026</v>
      </c>
      <c r="P491" s="43" t="n">
        <v>3</v>
      </c>
      <c r="Q491" s="44" t="n">
        <v>46313</v>
      </c>
      <c r="R491" s="43" t="s">
        <v>646</v>
      </c>
      <c r="S491" s="43" t="s">
        <v>83</v>
      </c>
      <c r="T491" s="43" t="s">
        <v>641</v>
      </c>
      <c r="U491" s="43" t="s">
        <v>784</v>
      </c>
      <c r="V491" s="43" t="n">
        <v>14</v>
      </c>
      <c r="W491" s="43" t="n">
        <v>45</v>
      </c>
      <c r="X491" s="43" t="n">
        <v>59</v>
      </c>
      <c r="Y491" s="43" t="s">
        <v>635</v>
      </c>
      <c r="Z491" s="43" t="s">
        <v>636</v>
      </c>
    </row>
    <row r="492" customFormat="false" ht="15" hidden="false" customHeight="false" outlineLevel="0" collapsed="false">
      <c r="A492" s="43" t="n">
        <v>490</v>
      </c>
      <c r="B492" s="43" t="s">
        <v>961</v>
      </c>
      <c r="C492" s="43" t="s">
        <v>253</v>
      </c>
      <c r="D492" s="43" t="s">
        <v>253</v>
      </c>
      <c r="E492" s="43" t="s">
        <v>960</v>
      </c>
      <c r="F492" s="43" t="s">
        <v>61</v>
      </c>
      <c r="G492" s="43" t="n">
        <v>2026</v>
      </c>
      <c r="H492" s="44" t="n">
        <v>34000</v>
      </c>
      <c r="I492" s="43" t="n">
        <v>2026</v>
      </c>
      <c r="J492" s="43" t="n">
        <v>2</v>
      </c>
      <c r="K492" s="44" t="n">
        <v>32927</v>
      </c>
      <c r="L492" s="43" t="n">
        <v>2026</v>
      </c>
      <c r="M492" s="43" t="n">
        <v>5</v>
      </c>
      <c r="N492" s="44" t="n">
        <v>32927</v>
      </c>
      <c r="O492" s="43" t="n">
        <v>2026</v>
      </c>
      <c r="P492" s="43" t="n">
        <v>7</v>
      </c>
      <c r="Q492" s="44" t="n">
        <v>0</v>
      </c>
      <c r="R492" s="43" t="s">
        <v>646</v>
      </c>
      <c r="S492" s="43" t="s">
        <v>83</v>
      </c>
      <c r="T492" s="43" t="s">
        <v>641</v>
      </c>
      <c r="U492" s="43" t="s">
        <v>784</v>
      </c>
      <c r="V492" s="43" t="n">
        <v>93</v>
      </c>
      <c r="W492" s="43" t="n">
        <v>45</v>
      </c>
      <c r="X492" s="43" t="n">
        <v>138</v>
      </c>
      <c r="Y492" s="43" t="s">
        <v>635</v>
      </c>
      <c r="Z492" s="43" t="s">
        <v>636</v>
      </c>
    </row>
    <row r="493" customFormat="false" ht="15" hidden="false" customHeight="false" outlineLevel="0" collapsed="false">
      <c r="A493" s="43" t="n">
        <v>491</v>
      </c>
      <c r="B493" s="43" t="s">
        <v>961</v>
      </c>
      <c r="C493" s="43" t="s">
        <v>253</v>
      </c>
      <c r="D493" s="43" t="s">
        <v>253</v>
      </c>
      <c r="E493" s="43" t="s">
        <v>960</v>
      </c>
      <c r="F493" s="43" t="s">
        <v>61</v>
      </c>
      <c r="G493" s="43" t="n">
        <v>2026</v>
      </c>
      <c r="H493" s="44" t="n">
        <v>0</v>
      </c>
      <c r="I493" s="43" t="n">
        <v>2026</v>
      </c>
      <c r="J493" s="43" t="n">
        <v>4</v>
      </c>
      <c r="K493" s="44" t="n">
        <v>15675</v>
      </c>
      <c r="L493" s="43"/>
      <c r="M493" s="43"/>
      <c r="N493" s="44" t="n">
        <v>0</v>
      </c>
      <c r="O493" s="43"/>
      <c r="P493" s="43"/>
      <c r="Q493" s="44" t="n">
        <v>0</v>
      </c>
      <c r="R493" s="43" t="s">
        <v>646</v>
      </c>
      <c r="S493" s="43" t="s">
        <v>83</v>
      </c>
      <c r="T493" s="43" t="s">
        <v>641</v>
      </c>
      <c r="U493" s="43" t="s">
        <v>784</v>
      </c>
      <c r="V493" s="43"/>
      <c r="W493" s="43"/>
      <c r="X493" s="43"/>
      <c r="Y493" s="43" t="s">
        <v>635</v>
      </c>
      <c r="Z493" s="43" t="s">
        <v>636</v>
      </c>
    </row>
    <row r="494" customFormat="false" ht="15" hidden="false" customHeight="false" outlineLevel="0" collapsed="false">
      <c r="A494" s="43" t="n">
        <v>492</v>
      </c>
      <c r="B494" s="43" t="s">
        <v>962</v>
      </c>
      <c r="C494" s="43" t="s">
        <v>963</v>
      </c>
      <c r="D494" s="43" t="s">
        <v>963</v>
      </c>
      <c r="E494" s="43" t="s">
        <v>148</v>
      </c>
      <c r="F494" s="43" t="s">
        <v>61</v>
      </c>
      <c r="G494" s="43" t="n">
        <v>2023</v>
      </c>
      <c r="H494" s="44" t="n">
        <v>9666.66666666667</v>
      </c>
      <c r="I494" s="43" t="n">
        <v>2023</v>
      </c>
      <c r="J494" s="43" t="n">
        <v>12</v>
      </c>
      <c r="K494" s="44" t="n">
        <v>23659.07</v>
      </c>
      <c r="L494" s="43" t="n">
        <v>2023</v>
      </c>
      <c r="M494" s="43" t="n">
        <v>12</v>
      </c>
      <c r="N494" s="44" t="n">
        <v>23659</v>
      </c>
      <c r="O494" s="43" t="n">
        <v>2023</v>
      </c>
      <c r="P494" s="43" t="n">
        <v>12</v>
      </c>
      <c r="Q494" s="44" t="n">
        <v>23659</v>
      </c>
      <c r="R494" s="43" t="s">
        <v>646</v>
      </c>
      <c r="S494" s="43" t="s">
        <v>83</v>
      </c>
      <c r="T494" s="43" t="s">
        <v>641</v>
      </c>
      <c r="U494" s="43" t="s">
        <v>642</v>
      </c>
      <c r="V494" s="43" t="n">
        <v>3</v>
      </c>
      <c r="W494" s="43" t="n">
        <v>4</v>
      </c>
      <c r="X494" s="43" t="n">
        <v>7</v>
      </c>
      <c r="Y494" s="43" t="s">
        <v>635</v>
      </c>
      <c r="Z494" s="43" t="s">
        <v>636</v>
      </c>
    </row>
    <row r="495" customFormat="false" ht="15" hidden="false" customHeight="false" outlineLevel="0" collapsed="false">
      <c r="A495" s="43" t="n">
        <v>493</v>
      </c>
      <c r="B495" s="43" t="s">
        <v>962</v>
      </c>
      <c r="C495" s="43" t="s">
        <v>963</v>
      </c>
      <c r="D495" s="43" t="s">
        <v>963</v>
      </c>
      <c r="E495" s="43" t="s">
        <v>148</v>
      </c>
      <c r="F495" s="43" t="s">
        <v>61</v>
      </c>
      <c r="G495" s="43" t="n">
        <v>2023</v>
      </c>
      <c r="H495" s="44" t="n">
        <v>23027.2</v>
      </c>
      <c r="I495" s="43" t="n">
        <v>2023</v>
      </c>
      <c r="J495" s="43" t="n">
        <v>12</v>
      </c>
      <c r="K495" s="44" t="n">
        <v>26813.83</v>
      </c>
      <c r="L495" s="43" t="n">
        <v>2024</v>
      </c>
      <c r="M495" s="43" t="n">
        <v>1</v>
      </c>
      <c r="N495" s="44" t="n">
        <v>26813.83</v>
      </c>
      <c r="O495" s="43" t="n">
        <v>2024</v>
      </c>
      <c r="P495" s="43" t="n">
        <v>2</v>
      </c>
      <c r="Q495" s="44" t="n">
        <v>26902</v>
      </c>
      <c r="R495" s="43" t="s">
        <v>646</v>
      </c>
      <c r="S495" s="43" t="s">
        <v>83</v>
      </c>
      <c r="T495" s="43" t="s">
        <v>641</v>
      </c>
      <c r="U495" s="43" t="s">
        <v>642</v>
      </c>
      <c r="V495" s="43" t="n">
        <v>23</v>
      </c>
      <c r="W495" s="43" t="n">
        <v>31</v>
      </c>
      <c r="X495" s="43" t="n">
        <v>54</v>
      </c>
      <c r="Y495" s="43" t="s">
        <v>635</v>
      </c>
      <c r="Z495" s="43" t="s">
        <v>636</v>
      </c>
    </row>
    <row r="496" customFormat="false" ht="15" hidden="false" customHeight="false" outlineLevel="0" collapsed="false">
      <c r="A496" s="43" t="n">
        <v>494</v>
      </c>
      <c r="B496" s="43" t="s">
        <v>962</v>
      </c>
      <c r="C496" s="43" t="s">
        <v>963</v>
      </c>
      <c r="D496" s="43" t="s">
        <v>963</v>
      </c>
      <c r="E496" s="43" t="s">
        <v>148</v>
      </c>
      <c r="F496" s="43" t="s">
        <v>61</v>
      </c>
      <c r="G496" s="43" t="n">
        <v>2024</v>
      </c>
      <c r="H496" s="44" t="n">
        <v>32332</v>
      </c>
      <c r="I496" s="43" t="n">
        <v>2024</v>
      </c>
      <c r="J496" s="43" t="n">
        <v>1</v>
      </c>
      <c r="K496" s="44" t="n">
        <v>11221.9</v>
      </c>
      <c r="L496" s="43" t="n">
        <v>2024</v>
      </c>
      <c r="M496" s="43" t="n">
        <v>2</v>
      </c>
      <c r="N496" s="44" t="n">
        <v>11221.9</v>
      </c>
      <c r="O496" s="43" t="n">
        <v>2024</v>
      </c>
      <c r="P496" s="43" t="n">
        <v>5</v>
      </c>
      <c r="Q496" s="44" t="n">
        <v>11222</v>
      </c>
      <c r="R496" s="43" t="s">
        <v>646</v>
      </c>
      <c r="S496" s="43" t="s">
        <v>83</v>
      </c>
      <c r="T496" s="43" t="s">
        <v>641</v>
      </c>
      <c r="U496" s="43" t="s">
        <v>642</v>
      </c>
      <c r="V496" s="43" t="n">
        <v>11</v>
      </c>
      <c r="W496" s="43" t="n">
        <v>89</v>
      </c>
      <c r="X496" s="43" t="n">
        <v>100</v>
      </c>
      <c r="Y496" s="43" t="s">
        <v>635</v>
      </c>
      <c r="Z496" s="43" t="s">
        <v>636</v>
      </c>
    </row>
    <row r="497" customFormat="false" ht="15" hidden="false" customHeight="false" outlineLevel="0" collapsed="false">
      <c r="A497" s="43" t="n">
        <v>495</v>
      </c>
      <c r="B497" s="43" t="s">
        <v>962</v>
      </c>
      <c r="C497" s="43" t="s">
        <v>963</v>
      </c>
      <c r="D497" s="43" t="s">
        <v>963</v>
      </c>
      <c r="E497" s="43" t="s">
        <v>148</v>
      </c>
      <c r="F497" s="43" t="s">
        <v>61</v>
      </c>
      <c r="G497" s="43" t="n">
        <v>2024</v>
      </c>
      <c r="H497" s="44" t="n">
        <v>33133</v>
      </c>
      <c r="I497" s="43" t="n">
        <v>2024</v>
      </c>
      <c r="J497" s="43" t="n">
        <v>2</v>
      </c>
      <c r="K497" s="44" t="n">
        <v>7526</v>
      </c>
      <c r="L497" s="43" t="n">
        <v>2024</v>
      </c>
      <c r="M497" s="43" t="n">
        <v>3</v>
      </c>
      <c r="N497" s="44" t="n">
        <v>7526</v>
      </c>
      <c r="O497" s="43" t="n">
        <v>2024</v>
      </c>
      <c r="P497" s="43" t="n">
        <v>4</v>
      </c>
      <c r="Q497" s="44" t="n">
        <v>7526</v>
      </c>
      <c r="R497" s="43" t="s">
        <v>646</v>
      </c>
      <c r="S497" s="43" t="s">
        <v>83</v>
      </c>
      <c r="T497" s="43" t="s">
        <v>641</v>
      </c>
      <c r="U497" s="43" t="s">
        <v>642</v>
      </c>
      <c r="V497" s="43" t="n">
        <v>11</v>
      </c>
      <c r="W497" s="43" t="n">
        <v>41</v>
      </c>
      <c r="X497" s="43" t="n">
        <v>52</v>
      </c>
      <c r="Y497" s="43" t="s">
        <v>635</v>
      </c>
      <c r="Z497" s="43" t="s">
        <v>636</v>
      </c>
    </row>
    <row r="498" customFormat="false" ht="15" hidden="false" customHeight="false" outlineLevel="0" collapsed="false">
      <c r="A498" s="43" t="n">
        <v>496</v>
      </c>
      <c r="B498" s="43" t="s">
        <v>962</v>
      </c>
      <c r="C498" s="43" t="s">
        <v>963</v>
      </c>
      <c r="D498" s="43" t="s">
        <v>963</v>
      </c>
      <c r="E498" s="43" t="s">
        <v>148</v>
      </c>
      <c r="F498" s="43" t="s">
        <v>61</v>
      </c>
      <c r="G498" s="43" t="n">
        <v>2024</v>
      </c>
      <c r="H498" s="44" t="n">
        <v>30481</v>
      </c>
      <c r="I498" s="43" t="n">
        <v>2024</v>
      </c>
      <c r="J498" s="43" t="n">
        <v>3</v>
      </c>
      <c r="K498" s="44" t="n">
        <v>15246</v>
      </c>
      <c r="L498" s="43" t="n">
        <v>2024</v>
      </c>
      <c r="M498" s="43" t="n">
        <v>3</v>
      </c>
      <c r="N498" s="44" t="n">
        <v>15246</v>
      </c>
      <c r="O498" s="43" t="n">
        <v>2024</v>
      </c>
      <c r="P498" s="43" t="n">
        <v>4</v>
      </c>
      <c r="Q498" s="44" t="n">
        <v>15246</v>
      </c>
      <c r="R498" s="43" t="s">
        <v>646</v>
      </c>
      <c r="S498" s="43" t="s">
        <v>83</v>
      </c>
      <c r="T498" s="43" t="s">
        <v>641</v>
      </c>
      <c r="U498" s="43" t="s">
        <v>642</v>
      </c>
      <c r="V498" s="43" t="n">
        <v>1</v>
      </c>
      <c r="W498" s="43" t="n">
        <v>31</v>
      </c>
      <c r="X498" s="43" t="n">
        <v>32</v>
      </c>
      <c r="Y498" s="43" t="s">
        <v>635</v>
      </c>
      <c r="Z498" s="43" t="s">
        <v>636</v>
      </c>
    </row>
    <row r="499" customFormat="false" ht="15" hidden="false" customHeight="false" outlineLevel="0" collapsed="false">
      <c r="A499" s="43" t="n">
        <v>497</v>
      </c>
      <c r="B499" s="43" t="s">
        <v>962</v>
      </c>
      <c r="C499" s="43" t="s">
        <v>963</v>
      </c>
      <c r="D499" s="43" t="s">
        <v>963</v>
      </c>
      <c r="E499" s="43" t="s">
        <v>148</v>
      </c>
      <c r="F499" s="43" t="s">
        <v>61</v>
      </c>
      <c r="G499" s="43" t="n">
        <v>2024</v>
      </c>
      <c r="H499" s="44" t="n">
        <v>22893</v>
      </c>
      <c r="I499" s="43" t="n">
        <v>2024</v>
      </c>
      <c r="J499" s="43" t="n">
        <v>4</v>
      </c>
      <c r="K499" s="44" t="n">
        <v>30669.3</v>
      </c>
      <c r="L499" s="43" t="n">
        <v>2024</v>
      </c>
      <c r="M499" s="43" t="n">
        <v>4</v>
      </c>
      <c r="N499" s="44" t="n">
        <v>30669</v>
      </c>
      <c r="O499" s="43" t="n">
        <v>2024</v>
      </c>
      <c r="P499" s="43" t="n">
        <v>5</v>
      </c>
      <c r="Q499" s="44" t="n">
        <v>30669</v>
      </c>
      <c r="R499" s="43" t="s">
        <v>646</v>
      </c>
      <c r="S499" s="43" t="s">
        <v>83</v>
      </c>
      <c r="T499" s="43" t="s">
        <v>641</v>
      </c>
      <c r="U499" s="43" t="s">
        <v>642</v>
      </c>
      <c r="V499" s="43" t="n">
        <v>6</v>
      </c>
      <c r="W499" s="43" t="n">
        <v>30</v>
      </c>
      <c r="X499" s="43" t="n">
        <v>36</v>
      </c>
      <c r="Y499" s="43" t="s">
        <v>635</v>
      </c>
      <c r="Z499" s="43" t="s">
        <v>636</v>
      </c>
    </row>
    <row r="500" customFormat="false" ht="15" hidden="false" customHeight="false" outlineLevel="0" collapsed="false">
      <c r="A500" s="43" t="n">
        <v>498</v>
      </c>
      <c r="B500" s="43" t="s">
        <v>964</v>
      </c>
      <c r="C500" s="43" t="s">
        <v>965</v>
      </c>
      <c r="D500" s="43" t="s">
        <v>965</v>
      </c>
      <c r="E500" s="43" t="s">
        <v>153</v>
      </c>
      <c r="F500" s="43" t="s">
        <v>62</v>
      </c>
      <c r="G500" s="43" t="n">
        <v>2024</v>
      </c>
      <c r="H500" s="44" t="n">
        <v>0</v>
      </c>
      <c r="I500" s="43" t="n">
        <v>2024</v>
      </c>
      <c r="J500" s="43" t="n">
        <v>10</v>
      </c>
      <c r="K500" s="44" t="n">
        <v>31426</v>
      </c>
      <c r="L500" s="43" t="n">
        <v>2024</v>
      </c>
      <c r="M500" s="43" t="n">
        <v>10</v>
      </c>
      <c r="N500" s="44" t="n">
        <v>31720</v>
      </c>
      <c r="O500" s="43" t="n">
        <v>2025</v>
      </c>
      <c r="P500" s="43" t="n">
        <v>1</v>
      </c>
      <c r="Q500" s="44" t="n">
        <v>28019</v>
      </c>
      <c r="R500" s="43" t="s">
        <v>687</v>
      </c>
      <c r="S500" s="43" t="s">
        <v>83</v>
      </c>
      <c r="T500" s="43" t="s">
        <v>641</v>
      </c>
      <c r="U500" s="43" t="s">
        <v>660</v>
      </c>
      <c r="V500" s="43" t="n">
        <v>14</v>
      </c>
      <c r="W500" s="43" t="n">
        <v>92</v>
      </c>
      <c r="X500" s="43" t="n">
        <v>106</v>
      </c>
      <c r="Y500" s="43" t="s">
        <v>635</v>
      </c>
      <c r="Z500" s="43" t="s">
        <v>636</v>
      </c>
    </row>
    <row r="501" customFormat="false" ht="15" hidden="false" customHeight="false" outlineLevel="0" collapsed="false">
      <c r="A501" s="43" t="n">
        <v>499</v>
      </c>
      <c r="B501" s="43" t="s">
        <v>964</v>
      </c>
      <c r="C501" s="43" t="s">
        <v>965</v>
      </c>
      <c r="D501" s="43" t="s">
        <v>965</v>
      </c>
      <c r="E501" s="43" t="s">
        <v>153</v>
      </c>
      <c r="F501" s="43" t="s">
        <v>62</v>
      </c>
      <c r="G501" s="43" t="n">
        <v>2024</v>
      </c>
      <c r="H501" s="44" t="n">
        <v>0</v>
      </c>
      <c r="I501" s="43" t="n">
        <v>2024</v>
      </c>
      <c r="J501" s="43" t="n">
        <v>11</v>
      </c>
      <c r="K501" s="44" t="n">
        <v>43703</v>
      </c>
      <c r="L501" s="43" t="n">
        <v>2024</v>
      </c>
      <c r="M501" s="43" t="n">
        <v>11</v>
      </c>
      <c r="N501" s="44" t="n">
        <v>38694</v>
      </c>
      <c r="O501" s="43" t="n">
        <v>2025</v>
      </c>
      <c r="P501" s="43" t="n">
        <v>2</v>
      </c>
      <c r="Q501" s="44" t="n">
        <v>34759</v>
      </c>
      <c r="R501" s="43" t="s">
        <v>687</v>
      </c>
      <c r="S501" s="43" t="s">
        <v>83</v>
      </c>
      <c r="T501" s="43" t="s">
        <v>641</v>
      </c>
      <c r="U501" s="43" t="s">
        <v>660</v>
      </c>
      <c r="V501" s="43" t="n">
        <v>6</v>
      </c>
      <c r="W501" s="43" t="n">
        <v>91</v>
      </c>
      <c r="X501" s="43" t="n">
        <v>97</v>
      </c>
      <c r="Y501" s="43" t="s">
        <v>635</v>
      </c>
      <c r="Z501" s="43" t="s">
        <v>636</v>
      </c>
    </row>
    <row r="502" customFormat="false" ht="15" hidden="false" customHeight="false" outlineLevel="0" collapsed="false">
      <c r="A502" s="43" t="n">
        <v>500</v>
      </c>
      <c r="B502" s="43" t="s">
        <v>966</v>
      </c>
      <c r="C502" s="43" t="s">
        <v>967</v>
      </c>
      <c r="D502" s="43" t="s">
        <v>967</v>
      </c>
      <c r="E502" s="43" t="s">
        <v>153</v>
      </c>
      <c r="F502" s="43" t="s">
        <v>62</v>
      </c>
      <c r="G502" s="43" t="n">
        <v>2026</v>
      </c>
      <c r="H502" s="44" t="n">
        <v>0</v>
      </c>
      <c r="I502" s="43" t="n">
        <v>2026</v>
      </c>
      <c r="J502" s="43" t="n">
        <v>4</v>
      </c>
      <c r="K502" s="44" t="n">
        <v>23282</v>
      </c>
      <c r="L502" s="43" t="n">
        <v>2026</v>
      </c>
      <c r="M502" s="43" t="n">
        <v>4</v>
      </c>
      <c r="N502" s="44" t="n">
        <v>23282</v>
      </c>
      <c r="O502" s="43" t="n">
        <v>2026</v>
      </c>
      <c r="P502" s="43" t="n">
        <v>7</v>
      </c>
      <c r="Q502" s="44" t="n">
        <v>0</v>
      </c>
      <c r="R502" s="43" t="s">
        <v>646</v>
      </c>
      <c r="S502" s="43" t="s">
        <v>83</v>
      </c>
      <c r="T502" s="43" t="s">
        <v>641</v>
      </c>
      <c r="U502" s="43" t="s">
        <v>660</v>
      </c>
      <c r="V502" s="43" t="n">
        <v>10</v>
      </c>
      <c r="W502" s="43" t="n">
        <v>91</v>
      </c>
      <c r="X502" s="43" t="n">
        <v>101</v>
      </c>
      <c r="Y502" s="43" t="s">
        <v>635</v>
      </c>
      <c r="Z502" s="43" t="s">
        <v>636</v>
      </c>
    </row>
    <row r="503" customFormat="false" ht="15" hidden="false" customHeight="false" outlineLevel="0" collapsed="false">
      <c r="A503" s="43" t="n">
        <v>501</v>
      </c>
      <c r="B503" s="43" t="s">
        <v>966</v>
      </c>
      <c r="C503" s="43" t="s">
        <v>967</v>
      </c>
      <c r="D503" s="43" t="s">
        <v>967</v>
      </c>
      <c r="E503" s="43" t="s">
        <v>153</v>
      </c>
      <c r="F503" s="43" t="s">
        <v>62</v>
      </c>
      <c r="G503" s="43" t="n">
        <v>2026</v>
      </c>
      <c r="H503" s="44" t="n">
        <v>0</v>
      </c>
      <c r="I503" s="43" t="n">
        <v>2026</v>
      </c>
      <c r="J503" s="43" t="n">
        <v>5</v>
      </c>
      <c r="K503" s="44" t="n">
        <v>17983</v>
      </c>
      <c r="L503" s="43" t="n">
        <v>2026</v>
      </c>
      <c r="M503" s="43" t="n">
        <v>5</v>
      </c>
      <c r="N503" s="44" t="n">
        <v>16411</v>
      </c>
      <c r="O503" s="43" t="n">
        <v>2026</v>
      </c>
      <c r="P503" s="43" t="n">
        <v>8</v>
      </c>
      <c r="Q503" s="44" t="n">
        <v>0</v>
      </c>
      <c r="R503" s="43" t="s">
        <v>646</v>
      </c>
      <c r="S503" s="43" t="s">
        <v>83</v>
      </c>
      <c r="T503" s="43" t="s">
        <v>641</v>
      </c>
      <c r="U503" s="43" t="s">
        <v>660</v>
      </c>
      <c r="V503" s="43" t="n">
        <v>10</v>
      </c>
      <c r="W503" s="43" t="n">
        <v>92</v>
      </c>
      <c r="X503" s="43" t="n">
        <v>102</v>
      </c>
      <c r="Y503" s="43" t="s">
        <v>635</v>
      </c>
      <c r="Z503" s="43" t="s">
        <v>636</v>
      </c>
    </row>
    <row r="504" customFormat="false" ht="15" hidden="false" customHeight="false" outlineLevel="0" collapsed="false">
      <c r="A504" s="43" t="n">
        <v>502</v>
      </c>
      <c r="B504" s="43" t="s">
        <v>968</v>
      </c>
      <c r="C504" s="43" t="s">
        <v>969</v>
      </c>
      <c r="D504" s="43" t="s">
        <v>970</v>
      </c>
      <c r="E504" s="43" t="s">
        <v>153</v>
      </c>
      <c r="F504" s="43" t="s">
        <v>62</v>
      </c>
      <c r="G504" s="43" t="n">
        <v>2023</v>
      </c>
      <c r="H504" s="44" t="n">
        <v>0</v>
      </c>
      <c r="I504" s="43" t="n">
        <v>2023</v>
      </c>
      <c r="J504" s="43" t="n">
        <v>3</v>
      </c>
      <c r="K504" s="44" t="n">
        <v>35960</v>
      </c>
      <c r="L504" s="43" t="n">
        <v>2023</v>
      </c>
      <c r="M504" s="43" t="n">
        <v>5</v>
      </c>
      <c r="N504" s="44" t="n">
        <v>38046</v>
      </c>
      <c r="O504" s="43" t="n">
        <v>2023</v>
      </c>
      <c r="P504" s="43" t="n">
        <v>7</v>
      </c>
      <c r="Q504" s="44" t="n">
        <v>36434</v>
      </c>
      <c r="R504" s="43" t="s">
        <v>640</v>
      </c>
      <c r="S504" s="43" t="s">
        <v>84</v>
      </c>
      <c r="T504" s="43" t="s">
        <v>641</v>
      </c>
      <c r="U504" s="43" t="s">
        <v>647</v>
      </c>
      <c r="V504" s="43" t="n">
        <v>65</v>
      </c>
      <c r="W504" s="43" t="n">
        <v>60</v>
      </c>
      <c r="X504" s="43" t="n">
        <v>125</v>
      </c>
      <c r="Y504" s="43" t="s">
        <v>635</v>
      </c>
      <c r="Z504" s="43" t="s">
        <v>636</v>
      </c>
    </row>
    <row r="505" customFormat="false" ht="15" hidden="false" customHeight="false" outlineLevel="0" collapsed="false">
      <c r="A505" s="43" t="n">
        <v>503</v>
      </c>
      <c r="B505" s="43" t="s">
        <v>968</v>
      </c>
      <c r="C505" s="43" t="s">
        <v>969</v>
      </c>
      <c r="D505" s="43" t="s">
        <v>970</v>
      </c>
      <c r="E505" s="43" t="s">
        <v>153</v>
      </c>
      <c r="F505" s="43" t="s">
        <v>62</v>
      </c>
      <c r="G505" s="43" t="n">
        <v>2023</v>
      </c>
      <c r="H505" s="44" t="n">
        <v>0</v>
      </c>
      <c r="I505" s="43" t="n">
        <v>2023</v>
      </c>
      <c r="J505" s="43" t="n">
        <v>4</v>
      </c>
      <c r="K505" s="44" t="n">
        <v>11589</v>
      </c>
      <c r="L505" s="43" t="n">
        <v>2023</v>
      </c>
      <c r="M505" s="43" t="n">
        <v>5</v>
      </c>
      <c r="N505" s="44" t="n">
        <v>11247</v>
      </c>
      <c r="O505" s="43" t="n">
        <v>2023</v>
      </c>
      <c r="P505" s="43" t="n">
        <v>7</v>
      </c>
      <c r="Q505" s="44" t="n">
        <v>10770</v>
      </c>
      <c r="R505" s="43" t="s">
        <v>640</v>
      </c>
      <c r="S505" s="43" t="s">
        <v>84</v>
      </c>
      <c r="T505" s="43" t="s">
        <v>641</v>
      </c>
      <c r="U505" s="43" t="s">
        <v>647</v>
      </c>
      <c r="V505" s="43" t="n">
        <v>34</v>
      </c>
      <c r="W505" s="43" t="n">
        <v>60</v>
      </c>
      <c r="X505" s="43" t="n">
        <v>94</v>
      </c>
      <c r="Y505" s="43" t="s">
        <v>635</v>
      </c>
      <c r="Z505" s="43" t="s">
        <v>636</v>
      </c>
    </row>
    <row r="506" customFormat="false" ht="15" hidden="false" customHeight="false" outlineLevel="0" collapsed="false">
      <c r="A506" s="43" t="n">
        <v>504</v>
      </c>
      <c r="B506" s="43" t="s">
        <v>968</v>
      </c>
      <c r="C506" s="43" t="s">
        <v>969</v>
      </c>
      <c r="D506" s="43" t="s">
        <v>970</v>
      </c>
      <c r="E506" s="43" t="s">
        <v>153</v>
      </c>
      <c r="F506" s="43" t="s">
        <v>62</v>
      </c>
      <c r="G506" s="43" t="n">
        <v>2023</v>
      </c>
      <c r="H506" s="44" t="n">
        <v>0</v>
      </c>
      <c r="I506" s="43" t="n">
        <v>2023</v>
      </c>
      <c r="J506" s="43" t="n">
        <v>5</v>
      </c>
      <c r="K506" s="44" t="n">
        <v>26229.48</v>
      </c>
      <c r="L506" s="43" t="n">
        <v>2023</v>
      </c>
      <c r="M506" s="43" t="n">
        <v>5</v>
      </c>
      <c r="N506" s="44" t="n">
        <v>26048</v>
      </c>
      <c r="O506" s="43" t="n">
        <v>2023</v>
      </c>
      <c r="P506" s="43" t="n">
        <v>7</v>
      </c>
      <c r="Q506" s="44" t="n">
        <v>29445</v>
      </c>
      <c r="R506" s="43" t="s">
        <v>640</v>
      </c>
      <c r="S506" s="43" t="s">
        <v>84</v>
      </c>
      <c r="T506" s="43" t="s">
        <v>641</v>
      </c>
      <c r="U506" s="43" t="s">
        <v>647</v>
      </c>
      <c r="V506" s="43" t="n">
        <v>4</v>
      </c>
      <c r="W506" s="43" t="n">
        <v>60</v>
      </c>
      <c r="X506" s="43" t="n">
        <v>64</v>
      </c>
      <c r="Y506" s="43" t="s">
        <v>635</v>
      </c>
      <c r="Z506" s="43" t="s">
        <v>636</v>
      </c>
    </row>
    <row r="507" customFormat="false" ht="15" hidden="false" customHeight="false" outlineLevel="0" collapsed="false">
      <c r="A507" s="43" t="n">
        <v>505</v>
      </c>
      <c r="B507" s="43" t="s">
        <v>968</v>
      </c>
      <c r="C507" s="43" t="s">
        <v>969</v>
      </c>
      <c r="D507" s="43" t="s">
        <v>970</v>
      </c>
      <c r="E507" s="43" t="s">
        <v>153</v>
      </c>
      <c r="F507" s="43" t="s">
        <v>62</v>
      </c>
      <c r="G507" s="43" t="n">
        <v>2023</v>
      </c>
      <c r="H507" s="44" t="n">
        <v>0</v>
      </c>
      <c r="I507" s="43" t="n">
        <v>2023</v>
      </c>
      <c r="J507" s="43" t="n">
        <v>6</v>
      </c>
      <c r="K507" s="44" t="n">
        <v>16026</v>
      </c>
      <c r="L507" s="43" t="n">
        <v>2023</v>
      </c>
      <c r="M507" s="43" t="n">
        <v>6</v>
      </c>
      <c r="N507" s="44" t="n">
        <v>15553</v>
      </c>
      <c r="O507" s="43" t="n">
        <v>2023</v>
      </c>
      <c r="P507" s="43" t="n">
        <v>8</v>
      </c>
      <c r="Q507" s="44" t="n">
        <v>14894</v>
      </c>
      <c r="R507" s="43" t="s">
        <v>640</v>
      </c>
      <c r="S507" s="43" t="s">
        <v>84</v>
      </c>
      <c r="T507" s="43" t="s">
        <v>641</v>
      </c>
      <c r="U507" s="43" t="s">
        <v>647</v>
      </c>
      <c r="V507" s="43" t="n">
        <v>2</v>
      </c>
      <c r="W507" s="43" t="n">
        <v>60</v>
      </c>
      <c r="X507" s="43" t="n">
        <v>62</v>
      </c>
      <c r="Y507" s="43" t="s">
        <v>635</v>
      </c>
      <c r="Z507" s="43" t="s">
        <v>636</v>
      </c>
    </row>
    <row r="508" customFormat="false" ht="15" hidden="false" customHeight="false" outlineLevel="0" collapsed="false">
      <c r="A508" s="43" t="n">
        <v>506</v>
      </c>
      <c r="B508" s="43" t="s">
        <v>968</v>
      </c>
      <c r="C508" s="43" t="s">
        <v>969</v>
      </c>
      <c r="D508" s="43" t="s">
        <v>970</v>
      </c>
      <c r="E508" s="43" t="s">
        <v>153</v>
      </c>
      <c r="F508" s="43" t="s">
        <v>62</v>
      </c>
      <c r="G508" s="43" t="n">
        <v>2023</v>
      </c>
      <c r="H508" s="44" t="n">
        <v>0</v>
      </c>
      <c r="I508" s="43" t="n">
        <v>2023</v>
      </c>
      <c r="J508" s="43" t="n">
        <v>7</v>
      </c>
      <c r="K508" s="44" t="n">
        <v>45952.98</v>
      </c>
      <c r="L508" s="43" t="n">
        <v>2023</v>
      </c>
      <c r="M508" s="43" t="n">
        <v>7</v>
      </c>
      <c r="N508" s="44" t="n">
        <v>43600</v>
      </c>
      <c r="O508" s="43" t="n">
        <v>2023</v>
      </c>
      <c r="P508" s="43" t="n">
        <v>9</v>
      </c>
      <c r="Q508" s="44" t="n">
        <v>36435</v>
      </c>
      <c r="R508" s="43" t="s">
        <v>640</v>
      </c>
      <c r="S508" s="43" t="s">
        <v>84</v>
      </c>
      <c r="T508" s="43" t="s">
        <v>641</v>
      </c>
      <c r="U508" s="43" t="s">
        <v>647</v>
      </c>
      <c r="V508" s="43" t="n">
        <v>11</v>
      </c>
      <c r="W508" s="43" t="n">
        <v>60</v>
      </c>
      <c r="X508" s="43" t="n">
        <v>71</v>
      </c>
      <c r="Y508" s="43" t="s">
        <v>635</v>
      </c>
      <c r="Z508" s="43" t="s">
        <v>636</v>
      </c>
    </row>
    <row r="509" customFormat="false" ht="15" hidden="false" customHeight="false" outlineLevel="0" collapsed="false">
      <c r="A509" s="43" t="n">
        <v>507</v>
      </c>
      <c r="B509" s="43" t="s">
        <v>968</v>
      </c>
      <c r="C509" s="43" t="s">
        <v>969</v>
      </c>
      <c r="D509" s="43" t="s">
        <v>970</v>
      </c>
      <c r="E509" s="43" t="s">
        <v>153</v>
      </c>
      <c r="F509" s="43" t="s">
        <v>62</v>
      </c>
      <c r="G509" s="43" t="n">
        <v>2023</v>
      </c>
      <c r="H509" s="44" t="n">
        <v>0</v>
      </c>
      <c r="I509" s="43" t="n">
        <v>2023</v>
      </c>
      <c r="J509" s="43" t="n">
        <v>8</v>
      </c>
      <c r="K509" s="44" t="n">
        <v>28092</v>
      </c>
      <c r="L509" s="43" t="n">
        <v>2023</v>
      </c>
      <c r="M509" s="43" t="n">
        <v>9</v>
      </c>
      <c r="N509" s="44" t="n">
        <v>39321.186</v>
      </c>
      <c r="O509" s="43" t="n">
        <v>2023</v>
      </c>
      <c r="P509" s="43" t="n">
        <v>10</v>
      </c>
      <c r="Q509" s="44" t="n">
        <v>40124</v>
      </c>
      <c r="R509" s="43" t="s">
        <v>640</v>
      </c>
      <c r="S509" s="43" t="s">
        <v>84</v>
      </c>
      <c r="T509" s="43" t="s">
        <v>641</v>
      </c>
      <c r="U509" s="43" t="s">
        <v>647</v>
      </c>
      <c r="V509" s="43" t="n">
        <v>7</v>
      </c>
      <c r="W509" s="43" t="n">
        <v>60</v>
      </c>
      <c r="X509" s="43" t="n">
        <v>67</v>
      </c>
      <c r="Y509" s="43" t="s">
        <v>635</v>
      </c>
      <c r="Z509" s="43" t="s">
        <v>636</v>
      </c>
    </row>
    <row r="510" customFormat="false" ht="15" hidden="false" customHeight="false" outlineLevel="0" collapsed="false">
      <c r="A510" s="43" t="n">
        <v>508</v>
      </c>
      <c r="B510" s="43" t="s">
        <v>968</v>
      </c>
      <c r="C510" s="43" t="s">
        <v>969</v>
      </c>
      <c r="D510" s="43" t="s">
        <v>970</v>
      </c>
      <c r="E510" s="43" t="s">
        <v>153</v>
      </c>
      <c r="F510" s="43" t="s">
        <v>62</v>
      </c>
      <c r="G510" s="43" t="n">
        <v>2023</v>
      </c>
      <c r="H510" s="44" t="n">
        <v>87653</v>
      </c>
      <c r="I510" s="43" t="n">
        <v>2023</v>
      </c>
      <c r="J510" s="43" t="n">
        <v>9</v>
      </c>
      <c r="K510" s="44" t="n">
        <v>29306</v>
      </c>
      <c r="L510" s="43" t="n">
        <v>2023</v>
      </c>
      <c r="M510" s="43" t="n">
        <v>10</v>
      </c>
      <c r="N510" s="44" t="n">
        <v>29306</v>
      </c>
      <c r="O510" s="43" t="n">
        <v>2023</v>
      </c>
      <c r="P510" s="43" t="n">
        <v>12</v>
      </c>
      <c r="Q510" s="44" t="n">
        <v>27377</v>
      </c>
      <c r="R510" s="43" t="s">
        <v>640</v>
      </c>
      <c r="S510" s="43" t="s">
        <v>84</v>
      </c>
      <c r="T510" s="43" t="s">
        <v>641</v>
      </c>
      <c r="U510" s="43" t="s">
        <v>647</v>
      </c>
      <c r="V510" s="43" t="n">
        <v>7</v>
      </c>
      <c r="W510" s="43" t="n">
        <v>60</v>
      </c>
      <c r="X510" s="43" t="n">
        <v>67</v>
      </c>
      <c r="Y510" s="43" t="s">
        <v>635</v>
      </c>
      <c r="Z510" s="43" t="s">
        <v>636</v>
      </c>
    </row>
    <row r="511" customFormat="false" ht="15" hidden="false" customHeight="false" outlineLevel="0" collapsed="false">
      <c r="A511" s="43" t="n">
        <v>509</v>
      </c>
      <c r="B511" s="43" t="s">
        <v>968</v>
      </c>
      <c r="C511" s="43" t="s">
        <v>969</v>
      </c>
      <c r="D511" s="43" t="s">
        <v>970</v>
      </c>
      <c r="E511" s="43" t="s">
        <v>153</v>
      </c>
      <c r="F511" s="43" t="s">
        <v>62</v>
      </c>
      <c r="G511" s="43" t="n">
        <v>2023</v>
      </c>
      <c r="H511" s="44" t="n">
        <v>103661</v>
      </c>
      <c r="I511" s="43" t="n">
        <v>2023</v>
      </c>
      <c r="J511" s="43" t="n">
        <v>10</v>
      </c>
      <c r="K511" s="44" t="n">
        <v>23474</v>
      </c>
      <c r="L511" s="43" t="n">
        <v>2023</v>
      </c>
      <c r="M511" s="43" t="n">
        <v>11</v>
      </c>
      <c r="N511" s="44" t="n">
        <v>22142</v>
      </c>
      <c r="O511" s="43" t="n">
        <v>2024</v>
      </c>
      <c r="P511" s="43" t="n">
        <v>1</v>
      </c>
      <c r="Q511" s="44" t="n">
        <v>22589</v>
      </c>
      <c r="R511" s="43" t="s">
        <v>640</v>
      </c>
      <c r="S511" s="43" t="s">
        <v>84</v>
      </c>
      <c r="T511" s="43" t="s">
        <v>641</v>
      </c>
      <c r="U511" s="43" t="s">
        <v>647</v>
      </c>
      <c r="V511" s="43" t="n">
        <v>16</v>
      </c>
      <c r="W511" s="43" t="n">
        <v>60</v>
      </c>
      <c r="X511" s="43" t="n">
        <v>76</v>
      </c>
      <c r="Y511" s="43" t="s">
        <v>635</v>
      </c>
      <c r="Z511" s="43" t="s">
        <v>636</v>
      </c>
    </row>
    <row r="512" customFormat="false" ht="15" hidden="false" customHeight="false" outlineLevel="0" collapsed="false">
      <c r="A512" s="43" t="n">
        <v>510</v>
      </c>
      <c r="B512" s="43" t="s">
        <v>968</v>
      </c>
      <c r="C512" s="43" t="s">
        <v>969</v>
      </c>
      <c r="D512" s="43" t="s">
        <v>970</v>
      </c>
      <c r="E512" s="43" t="s">
        <v>153</v>
      </c>
      <c r="F512" s="43" t="s">
        <v>62</v>
      </c>
      <c r="G512" s="43" t="n">
        <v>2023</v>
      </c>
      <c r="H512" s="44" t="n">
        <v>175963.6008</v>
      </c>
      <c r="I512" s="43" t="n">
        <v>2023</v>
      </c>
      <c r="J512" s="43" t="n">
        <v>11</v>
      </c>
      <c r="K512" s="44" t="n">
        <v>103264</v>
      </c>
      <c r="L512" s="43" t="n">
        <v>2023</v>
      </c>
      <c r="M512" s="43" t="n">
        <v>12</v>
      </c>
      <c r="N512" s="44" t="n">
        <v>100293</v>
      </c>
      <c r="O512" s="43" t="n">
        <v>2024</v>
      </c>
      <c r="P512" s="43" t="n">
        <v>1</v>
      </c>
      <c r="Q512" s="44" t="n">
        <v>96993</v>
      </c>
      <c r="R512" s="43" t="s">
        <v>640</v>
      </c>
      <c r="S512" s="43" t="s">
        <v>84</v>
      </c>
      <c r="T512" s="43" t="s">
        <v>641</v>
      </c>
      <c r="U512" s="43" t="s">
        <v>647</v>
      </c>
      <c r="V512" s="43" t="n">
        <v>11</v>
      </c>
      <c r="W512" s="43" t="n">
        <v>61</v>
      </c>
      <c r="X512" s="43" t="n">
        <v>72</v>
      </c>
      <c r="Y512" s="43" t="s">
        <v>635</v>
      </c>
      <c r="Z512" s="43" t="s">
        <v>636</v>
      </c>
    </row>
    <row r="513" customFormat="false" ht="15" hidden="false" customHeight="false" outlineLevel="0" collapsed="false">
      <c r="A513" s="43" t="n">
        <v>511</v>
      </c>
      <c r="B513" s="43" t="s">
        <v>968</v>
      </c>
      <c r="C513" s="43" t="s">
        <v>969</v>
      </c>
      <c r="D513" s="43" t="s">
        <v>970</v>
      </c>
      <c r="E513" s="43" t="s">
        <v>153</v>
      </c>
      <c r="F513" s="43" t="s">
        <v>62</v>
      </c>
      <c r="G513" s="43" t="n">
        <v>2023</v>
      </c>
      <c r="H513" s="44" t="n">
        <v>188102</v>
      </c>
      <c r="I513" s="43" t="n">
        <v>2023</v>
      </c>
      <c r="J513" s="43" t="n">
        <v>12</v>
      </c>
      <c r="K513" s="44" t="n">
        <v>36224</v>
      </c>
      <c r="L513" s="43" t="n">
        <v>2023</v>
      </c>
      <c r="M513" s="43" t="n">
        <v>12</v>
      </c>
      <c r="N513" s="44" t="n">
        <v>33481.7</v>
      </c>
      <c r="O513" s="43" t="n">
        <v>2024</v>
      </c>
      <c r="P513" s="43" t="n">
        <v>2</v>
      </c>
      <c r="Q513" s="44" t="n">
        <v>34165</v>
      </c>
      <c r="R513" s="43" t="s">
        <v>640</v>
      </c>
      <c r="S513" s="43" t="s">
        <v>84</v>
      </c>
      <c r="T513" s="43" t="s">
        <v>641</v>
      </c>
      <c r="U513" s="43" t="s">
        <v>647</v>
      </c>
      <c r="V513" s="43"/>
      <c r="W513" s="43" t="n">
        <v>57</v>
      </c>
      <c r="X513" s="43" t="n">
        <v>48</v>
      </c>
      <c r="Y513" s="43" t="s">
        <v>635</v>
      </c>
      <c r="Z513" s="43" t="s">
        <v>636</v>
      </c>
    </row>
    <row r="514" customFormat="false" ht="15" hidden="false" customHeight="false" outlineLevel="0" collapsed="false">
      <c r="A514" s="43" t="n">
        <v>512</v>
      </c>
      <c r="B514" s="43" t="s">
        <v>968</v>
      </c>
      <c r="C514" s="43" t="s">
        <v>969</v>
      </c>
      <c r="D514" s="43" t="s">
        <v>970</v>
      </c>
      <c r="E514" s="43" t="s">
        <v>153</v>
      </c>
      <c r="F514" s="43" t="s">
        <v>62</v>
      </c>
      <c r="G514" s="43" t="n">
        <v>2023</v>
      </c>
      <c r="H514" s="44" t="n">
        <v>0</v>
      </c>
      <c r="I514" s="43" t="n">
        <v>2023</v>
      </c>
      <c r="J514" s="43" t="n">
        <v>12</v>
      </c>
      <c r="K514" s="44" t="n">
        <v>11989</v>
      </c>
      <c r="L514" s="43" t="n">
        <v>2024</v>
      </c>
      <c r="M514" s="43" t="n">
        <v>1</v>
      </c>
      <c r="N514" s="44" t="n">
        <v>11081.13</v>
      </c>
      <c r="O514" s="43" t="n">
        <v>2024</v>
      </c>
      <c r="P514" s="43" t="n">
        <v>3</v>
      </c>
      <c r="Q514" s="44" t="n">
        <v>11307.28</v>
      </c>
      <c r="R514" s="43" t="s">
        <v>640</v>
      </c>
      <c r="S514" s="43" t="s">
        <v>84</v>
      </c>
      <c r="T514" s="43" t="s">
        <v>641</v>
      </c>
      <c r="U514" s="43" t="s">
        <v>647</v>
      </c>
      <c r="V514" s="43" t="n">
        <v>3</v>
      </c>
      <c r="W514" s="43" t="n">
        <v>62</v>
      </c>
      <c r="X514" s="43" t="n">
        <v>65</v>
      </c>
      <c r="Y514" s="43" t="s">
        <v>635</v>
      </c>
      <c r="Z514" s="43" t="s">
        <v>636</v>
      </c>
    </row>
    <row r="515" customFormat="false" ht="15" hidden="false" customHeight="false" outlineLevel="0" collapsed="false">
      <c r="A515" s="43" t="n">
        <v>513</v>
      </c>
      <c r="B515" s="43" t="s">
        <v>968</v>
      </c>
      <c r="C515" s="43" t="s">
        <v>969</v>
      </c>
      <c r="D515" s="43" t="s">
        <v>970</v>
      </c>
      <c r="E515" s="43" t="s">
        <v>153</v>
      </c>
      <c r="F515" s="43" t="s">
        <v>62</v>
      </c>
      <c r="G515" s="43" t="n">
        <v>2024</v>
      </c>
      <c r="H515" s="44" t="n">
        <v>20000</v>
      </c>
      <c r="I515" s="43" t="n">
        <v>2024</v>
      </c>
      <c r="J515" s="43" t="n">
        <v>1</v>
      </c>
      <c r="K515" s="44" t="n">
        <v>11822</v>
      </c>
      <c r="L515" s="43" t="n">
        <v>2024</v>
      </c>
      <c r="M515" s="43" t="n">
        <v>2</v>
      </c>
      <c r="N515" s="44" t="n">
        <v>11094</v>
      </c>
      <c r="O515" s="43" t="n">
        <v>2024</v>
      </c>
      <c r="P515" s="43" t="n">
        <v>4</v>
      </c>
      <c r="Q515" s="44" t="n">
        <v>11094</v>
      </c>
      <c r="R515" s="43" t="s">
        <v>640</v>
      </c>
      <c r="S515" s="43" t="s">
        <v>84</v>
      </c>
      <c r="T515" s="43" t="s">
        <v>641</v>
      </c>
      <c r="U515" s="43" t="s">
        <v>647</v>
      </c>
      <c r="V515" s="43" t="n">
        <v>13</v>
      </c>
      <c r="W515" s="43" t="n">
        <v>60</v>
      </c>
      <c r="X515" s="43" t="n">
        <v>73</v>
      </c>
      <c r="Y515" s="43" t="s">
        <v>635</v>
      </c>
      <c r="Z515" s="43" t="s">
        <v>636</v>
      </c>
    </row>
    <row r="516" customFormat="false" ht="15" hidden="false" customHeight="false" outlineLevel="0" collapsed="false">
      <c r="A516" s="43" t="n">
        <v>514</v>
      </c>
      <c r="B516" s="43" t="s">
        <v>968</v>
      </c>
      <c r="C516" s="43" t="s">
        <v>969</v>
      </c>
      <c r="D516" s="43" t="s">
        <v>970</v>
      </c>
      <c r="E516" s="43" t="s">
        <v>153</v>
      </c>
      <c r="F516" s="43" t="s">
        <v>62</v>
      </c>
      <c r="G516" s="43" t="n">
        <v>2024</v>
      </c>
      <c r="H516" s="44" t="n">
        <v>40000</v>
      </c>
      <c r="I516" s="43" t="n">
        <v>2024</v>
      </c>
      <c r="J516" s="43" t="n">
        <v>2</v>
      </c>
      <c r="K516" s="44" t="n">
        <v>42124</v>
      </c>
      <c r="L516" s="43" t="n">
        <v>2024</v>
      </c>
      <c r="M516" s="43" t="n">
        <v>3</v>
      </c>
      <c r="N516" s="44" t="n">
        <v>39532.92</v>
      </c>
      <c r="O516" s="43" t="n">
        <v>2024</v>
      </c>
      <c r="P516" s="43" t="n">
        <v>5</v>
      </c>
      <c r="Q516" s="44" t="n">
        <v>39533</v>
      </c>
      <c r="R516" s="43" t="s">
        <v>640</v>
      </c>
      <c r="S516" s="43" t="s">
        <v>84</v>
      </c>
      <c r="T516" s="43" t="s">
        <v>641</v>
      </c>
      <c r="U516" s="43" t="s">
        <v>647</v>
      </c>
      <c r="V516" s="43" t="n">
        <v>33</v>
      </c>
      <c r="W516" s="43" t="n">
        <v>61</v>
      </c>
      <c r="X516" s="43" t="n">
        <v>94</v>
      </c>
      <c r="Y516" s="43" t="s">
        <v>635</v>
      </c>
      <c r="Z516" s="43" t="s">
        <v>636</v>
      </c>
    </row>
    <row r="517" customFormat="false" ht="15" hidden="false" customHeight="false" outlineLevel="0" collapsed="false">
      <c r="A517" s="43" t="n">
        <v>515</v>
      </c>
      <c r="B517" s="43" t="s">
        <v>968</v>
      </c>
      <c r="C517" s="43" t="s">
        <v>969</v>
      </c>
      <c r="D517" s="43" t="s">
        <v>970</v>
      </c>
      <c r="E517" s="43" t="s">
        <v>153</v>
      </c>
      <c r="F517" s="43" t="s">
        <v>62</v>
      </c>
      <c r="G517" s="43" t="n">
        <v>2024</v>
      </c>
      <c r="H517" s="44" t="n">
        <v>127854</v>
      </c>
      <c r="I517" s="43" t="n">
        <v>2024</v>
      </c>
      <c r="J517" s="43" t="n">
        <v>3</v>
      </c>
      <c r="K517" s="44" t="n">
        <v>186908</v>
      </c>
      <c r="L517" s="43" t="n">
        <v>2024</v>
      </c>
      <c r="M517" s="43" t="n">
        <v>3</v>
      </c>
      <c r="N517" s="44" t="n">
        <v>172280.11</v>
      </c>
      <c r="O517" s="43" t="n">
        <v>2024</v>
      </c>
      <c r="P517" s="43" t="n">
        <v>5</v>
      </c>
      <c r="Q517" s="44" t="n">
        <v>172280.11</v>
      </c>
      <c r="R517" s="43" t="s">
        <v>640</v>
      </c>
      <c r="S517" s="43" t="s">
        <v>84</v>
      </c>
      <c r="T517" s="43" t="s">
        <v>641</v>
      </c>
      <c r="U517" s="43" t="s">
        <v>647</v>
      </c>
      <c r="V517" s="43" t="n">
        <v>11</v>
      </c>
      <c r="W517" s="43" t="n">
        <v>61</v>
      </c>
      <c r="X517" s="43" t="n">
        <v>72</v>
      </c>
      <c r="Y517" s="43" t="s">
        <v>635</v>
      </c>
      <c r="Z517" s="43" t="s">
        <v>636</v>
      </c>
    </row>
    <row r="518" customFormat="false" ht="15" hidden="false" customHeight="false" outlineLevel="0" collapsed="false">
      <c r="A518" s="43" t="n">
        <v>516</v>
      </c>
      <c r="B518" s="43" t="s">
        <v>968</v>
      </c>
      <c r="C518" s="43" t="s">
        <v>969</v>
      </c>
      <c r="D518" s="43" t="s">
        <v>970</v>
      </c>
      <c r="E518" s="43" t="s">
        <v>153</v>
      </c>
      <c r="F518" s="43" t="s">
        <v>62</v>
      </c>
      <c r="G518" s="43" t="n">
        <v>2024</v>
      </c>
      <c r="H518" s="44" t="n">
        <v>25112</v>
      </c>
      <c r="I518" s="43" t="n">
        <v>2024</v>
      </c>
      <c r="J518" s="43" t="n">
        <v>4</v>
      </c>
      <c r="K518" s="44" t="n">
        <v>22215</v>
      </c>
      <c r="L518" s="43" t="n">
        <v>2024</v>
      </c>
      <c r="M518" s="43" t="n">
        <v>5</v>
      </c>
      <c r="N518" s="44" t="n">
        <v>20440</v>
      </c>
      <c r="O518" s="43" t="n">
        <v>2024</v>
      </c>
      <c r="P518" s="43" t="n">
        <v>7</v>
      </c>
      <c r="Q518" s="44" t="n">
        <v>20440</v>
      </c>
      <c r="R518" s="43" t="s">
        <v>640</v>
      </c>
      <c r="S518" s="43" t="s">
        <v>84</v>
      </c>
      <c r="T518" s="43" t="s">
        <v>641</v>
      </c>
      <c r="U518" s="43" t="s">
        <v>647</v>
      </c>
      <c r="V518" s="43" t="n">
        <v>32</v>
      </c>
      <c r="W518" s="43" t="n">
        <v>61</v>
      </c>
      <c r="X518" s="43" t="n">
        <v>93</v>
      </c>
      <c r="Y518" s="43" t="s">
        <v>635</v>
      </c>
      <c r="Z518" s="43" t="s">
        <v>636</v>
      </c>
    </row>
    <row r="519" customFormat="false" ht="15" hidden="false" customHeight="false" outlineLevel="0" collapsed="false">
      <c r="A519" s="43" t="n">
        <v>517</v>
      </c>
      <c r="B519" s="43" t="s">
        <v>968</v>
      </c>
      <c r="C519" s="43" t="s">
        <v>969</v>
      </c>
      <c r="D519" s="43" t="s">
        <v>970</v>
      </c>
      <c r="E519" s="43" t="s">
        <v>153</v>
      </c>
      <c r="F519" s="43" t="s">
        <v>62</v>
      </c>
      <c r="G519" s="43" t="n">
        <v>2024</v>
      </c>
      <c r="H519" s="44" t="n">
        <v>0</v>
      </c>
      <c r="I519" s="43" t="n">
        <v>2024</v>
      </c>
      <c r="J519" s="43" t="n">
        <v>7</v>
      </c>
      <c r="K519" s="44" t="n">
        <v>12694</v>
      </c>
      <c r="L519" s="43" t="n">
        <v>2024</v>
      </c>
      <c r="M519" s="43" t="n">
        <v>9</v>
      </c>
      <c r="N519" s="44" t="n">
        <v>11239</v>
      </c>
      <c r="O519" s="43" t="n">
        <v>2024</v>
      </c>
      <c r="P519" s="43" t="n">
        <v>12</v>
      </c>
      <c r="Q519" s="44" t="n">
        <v>9927.71</v>
      </c>
      <c r="R519" s="43" t="s">
        <v>640</v>
      </c>
      <c r="S519" s="43" t="s">
        <v>84</v>
      </c>
      <c r="T519" s="43" t="s">
        <v>641</v>
      </c>
      <c r="U519" s="43" t="s">
        <v>647</v>
      </c>
      <c r="V519" s="43" t="n">
        <v>42</v>
      </c>
      <c r="W519" s="43" t="n">
        <v>90</v>
      </c>
      <c r="X519" s="43" t="n">
        <v>132</v>
      </c>
      <c r="Y519" s="43" t="s">
        <v>635</v>
      </c>
      <c r="Z519" s="43" t="s">
        <v>636</v>
      </c>
    </row>
    <row r="520" customFormat="false" ht="15" hidden="false" customHeight="false" outlineLevel="0" collapsed="false">
      <c r="A520" s="43" t="n">
        <v>518</v>
      </c>
      <c r="B520" s="43" t="s">
        <v>968</v>
      </c>
      <c r="C520" s="43" t="s">
        <v>969</v>
      </c>
      <c r="D520" s="43" t="s">
        <v>971</v>
      </c>
      <c r="E520" s="43" t="s">
        <v>153</v>
      </c>
      <c r="F520" s="43" t="s">
        <v>62</v>
      </c>
      <c r="G520" s="43" t="n">
        <v>2024</v>
      </c>
      <c r="H520" s="44" t="n">
        <v>0</v>
      </c>
      <c r="I520" s="43" t="n">
        <v>2024</v>
      </c>
      <c r="J520" s="43" t="n">
        <v>1</v>
      </c>
      <c r="K520" s="44" t="n">
        <v>19641</v>
      </c>
      <c r="L520" s="43" t="n">
        <v>2024</v>
      </c>
      <c r="M520" s="43" t="n">
        <v>3</v>
      </c>
      <c r="N520" s="44" t="n">
        <v>18697.22</v>
      </c>
      <c r="O520" s="43" t="n">
        <v>2024</v>
      </c>
      <c r="P520" s="43" t="n">
        <v>5</v>
      </c>
      <c r="Q520" s="44" t="n">
        <v>18697</v>
      </c>
      <c r="R520" s="43" t="s">
        <v>640</v>
      </c>
      <c r="S520" s="43" t="s">
        <v>84</v>
      </c>
      <c r="T520" s="43" t="s">
        <v>641</v>
      </c>
      <c r="U520" s="43" t="s">
        <v>647</v>
      </c>
      <c r="V520" s="43" t="n">
        <v>60</v>
      </c>
      <c r="W520" s="43" t="n">
        <v>60</v>
      </c>
      <c r="X520" s="43" t="n">
        <v>120</v>
      </c>
      <c r="Y520" s="43" t="s">
        <v>635</v>
      </c>
      <c r="Z520" s="43" t="s">
        <v>636</v>
      </c>
    </row>
    <row r="521" customFormat="false" ht="15" hidden="false" customHeight="false" outlineLevel="0" collapsed="false">
      <c r="A521" s="43" t="n">
        <v>519</v>
      </c>
      <c r="B521" s="43" t="s">
        <v>968</v>
      </c>
      <c r="C521" s="43" t="s">
        <v>969</v>
      </c>
      <c r="D521" s="43" t="s">
        <v>971</v>
      </c>
      <c r="E521" s="43" t="s">
        <v>153</v>
      </c>
      <c r="F521" s="43" t="s">
        <v>62</v>
      </c>
      <c r="G521" s="43" t="n">
        <v>2024</v>
      </c>
      <c r="H521" s="44" t="n">
        <v>0</v>
      </c>
      <c r="I521" s="43" t="n">
        <v>2024</v>
      </c>
      <c r="J521" s="43" t="n">
        <v>2</v>
      </c>
      <c r="K521" s="44" t="n">
        <v>29998</v>
      </c>
      <c r="L521" s="43" t="n">
        <v>2024</v>
      </c>
      <c r="M521" s="43" t="n">
        <v>3</v>
      </c>
      <c r="N521" s="44" t="n">
        <v>23210.24</v>
      </c>
      <c r="O521" s="43" t="n">
        <v>2024</v>
      </c>
      <c r="P521" s="43" t="n">
        <v>5</v>
      </c>
      <c r="Q521" s="44" t="n">
        <v>23210.24</v>
      </c>
      <c r="R521" s="43" t="s">
        <v>640</v>
      </c>
      <c r="S521" s="43" t="s">
        <v>84</v>
      </c>
      <c r="T521" s="43" t="s">
        <v>641</v>
      </c>
      <c r="U521" s="43" t="s">
        <v>647</v>
      </c>
      <c r="V521" s="43" t="n">
        <v>29</v>
      </c>
      <c r="W521" s="43" t="n">
        <v>60</v>
      </c>
      <c r="X521" s="43" t="n">
        <v>89</v>
      </c>
      <c r="Y521" s="43" t="s">
        <v>635</v>
      </c>
      <c r="Z521" s="43" t="s">
        <v>636</v>
      </c>
    </row>
    <row r="522" customFormat="false" ht="15" hidden="false" customHeight="false" outlineLevel="0" collapsed="false">
      <c r="A522" s="43" t="n">
        <v>520</v>
      </c>
      <c r="B522" s="43" t="s">
        <v>968</v>
      </c>
      <c r="C522" s="43" t="s">
        <v>969</v>
      </c>
      <c r="D522" s="43" t="s">
        <v>971</v>
      </c>
      <c r="E522" s="43" t="s">
        <v>153</v>
      </c>
      <c r="F522" s="43" t="s">
        <v>62</v>
      </c>
      <c r="G522" s="43" t="n">
        <v>2024</v>
      </c>
      <c r="H522" s="44" t="n">
        <v>0</v>
      </c>
      <c r="I522" s="43" t="n">
        <v>2024</v>
      </c>
      <c r="J522" s="43" t="n">
        <v>3</v>
      </c>
      <c r="K522" s="44" t="n">
        <v>11425</v>
      </c>
      <c r="L522" s="43" t="n">
        <v>2024</v>
      </c>
      <c r="M522" s="43" t="n">
        <v>6</v>
      </c>
      <c r="N522" s="44" t="n">
        <v>10960.4</v>
      </c>
      <c r="O522" s="43" t="n">
        <v>2024</v>
      </c>
      <c r="P522" s="43" t="n">
        <v>8</v>
      </c>
      <c r="Q522" s="44" t="n">
        <v>10133.24</v>
      </c>
      <c r="R522" s="43" t="s">
        <v>640</v>
      </c>
      <c r="S522" s="43" t="s">
        <v>84</v>
      </c>
      <c r="T522" s="43" t="s">
        <v>641</v>
      </c>
      <c r="U522" s="43" t="s">
        <v>647</v>
      </c>
      <c r="V522" s="43" t="n">
        <v>75</v>
      </c>
      <c r="W522" s="43" t="n">
        <v>60</v>
      </c>
      <c r="X522" s="43" t="n">
        <v>135</v>
      </c>
      <c r="Y522" s="43" t="s">
        <v>635</v>
      </c>
      <c r="Z522" s="43" t="s">
        <v>636</v>
      </c>
    </row>
    <row r="523" customFormat="false" ht="15" hidden="false" customHeight="false" outlineLevel="0" collapsed="false">
      <c r="A523" s="43" t="n">
        <v>521</v>
      </c>
      <c r="B523" s="43" t="s">
        <v>968</v>
      </c>
      <c r="C523" s="43" t="s">
        <v>969</v>
      </c>
      <c r="D523" s="43" t="s">
        <v>971</v>
      </c>
      <c r="E523" s="43" t="s">
        <v>153</v>
      </c>
      <c r="F523" s="43" t="s">
        <v>62</v>
      </c>
      <c r="G523" s="43" t="n">
        <v>2024</v>
      </c>
      <c r="H523" s="44" t="n">
        <v>0</v>
      </c>
      <c r="I523" s="43" t="n">
        <v>2024</v>
      </c>
      <c r="J523" s="43" t="n">
        <v>4</v>
      </c>
      <c r="K523" s="44" t="n">
        <v>9425</v>
      </c>
      <c r="L523" s="43" t="n">
        <v>2024</v>
      </c>
      <c r="M523" s="43" t="n">
        <v>6</v>
      </c>
      <c r="N523" s="44" t="n">
        <v>9026.25</v>
      </c>
      <c r="O523" s="43" t="n">
        <v>2024</v>
      </c>
      <c r="P523" s="43" t="n">
        <v>8</v>
      </c>
      <c r="Q523" s="44" t="n">
        <v>8345</v>
      </c>
      <c r="R523" s="43" t="s">
        <v>640</v>
      </c>
      <c r="S523" s="43" t="s">
        <v>84</v>
      </c>
      <c r="T523" s="43" t="s">
        <v>641</v>
      </c>
      <c r="U523" s="43" t="s">
        <v>647</v>
      </c>
      <c r="V523" s="43" t="n">
        <v>44</v>
      </c>
      <c r="W523" s="43" t="n">
        <v>60</v>
      </c>
      <c r="X523" s="43" t="n">
        <v>104</v>
      </c>
      <c r="Y523" s="43" t="s">
        <v>635</v>
      </c>
      <c r="Z523" s="43" t="s">
        <v>636</v>
      </c>
    </row>
    <row r="524" customFormat="false" ht="15" hidden="false" customHeight="false" outlineLevel="0" collapsed="false">
      <c r="A524" s="43" t="n">
        <v>522</v>
      </c>
      <c r="B524" s="43" t="s">
        <v>968</v>
      </c>
      <c r="C524" s="43" t="s">
        <v>969</v>
      </c>
      <c r="D524" s="43" t="s">
        <v>971</v>
      </c>
      <c r="E524" s="43" t="s">
        <v>153</v>
      </c>
      <c r="F524" s="43" t="s">
        <v>62</v>
      </c>
      <c r="G524" s="43" t="n">
        <v>2024</v>
      </c>
      <c r="H524" s="44" t="n">
        <v>0</v>
      </c>
      <c r="I524" s="43" t="n">
        <v>2024</v>
      </c>
      <c r="J524" s="43" t="n">
        <v>7</v>
      </c>
      <c r="K524" s="44" t="n">
        <v>2748</v>
      </c>
      <c r="L524" s="43" t="n">
        <v>2024</v>
      </c>
      <c r="M524" s="43" t="n">
        <v>7</v>
      </c>
      <c r="N524" s="44" t="n">
        <v>2384</v>
      </c>
      <c r="O524" s="43" t="n">
        <v>2024</v>
      </c>
      <c r="P524" s="43" t="n">
        <v>10</v>
      </c>
      <c r="Q524" s="44" t="n">
        <v>2213</v>
      </c>
      <c r="R524" s="43" t="s">
        <v>640</v>
      </c>
      <c r="S524" s="43" t="s">
        <v>84</v>
      </c>
      <c r="T524" s="43" t="s">
        <v>641</v>
      </c>
      <c r="U524" s="43" t="s">
        <v>647</v>
      </c>
      <c r="V524" s="43" t="n">
        <v>0</v>
      </c>
      <c r="W524" s="43" t="n">
        <v>90</v>
      </c>
      <c r="X524" s="43" t="n">
        <v>90</v>
      </c>
      <c r="Y524" s="43" t="s">
        <v>635</v>
      </c>
      <c r="Z524" s="43" t="s">
        <v>636</v>
      </c>
    </row>
    <row r="525" customFormat="false" ht="15" hidden="false" customHeight="false" outlineLevel="0" collapsed="false">
      <c r="A525" s="43" t="n">
        <v>523</v>
      </c>
      <c r="B525" s="43" t="s">
        <v>972</v>
      </c>
      <c r="C525" s="43" t="s">
        <v>973</v>
      </c>
      <c r="D525" s="43" t="s">
        <v>973</v>
      </c>
      <c r="E525" s="43" t="s">
        <v>153</v>
      </c>
      <c r="F525" s="43" t="s">
        <v>62</v>
      </c>
      <c r="G525" s="43" t="n">
        <v>2025</v>
      </c>
      <c r="H525" s="44" t="n">
        <v>0</v>
      </c>
      <c r="I525" s="43" t="n">
        <v>2025</v>
      </c>
      <c r="J525" s="43" t="n">
        <v>4</v>
      </c>
      <c r="K525" s="44" t="n">
        <v>32268</v>
      </c>
      <c r="L525" s="43" t="n">
        <v>2025</v>
      </c>
      <c r="M525" s="43" t="n">
        <v>6</v>
      </c>
      <c r="N525" s="44" t="n">
        <v>32454</v>
      </c>
      <c r="O525" s="43" t="n">
        <v>2025</v>
      </c>
      <c r="P525" s="43" t="n">
        <v>9</v>
      </c>
      <c r="Q525" s="44" t="n">
        <v>35729.7247706422</v>
      </c>
      <c r="R525" s="43" t="s">
        <v>640</v>
      </c>
      <c r="S525" s="43" t="s">
        <v>84</v>
      </c>
      <c r="T525" s="43" t="s">
        <v>641</v>
      </c>
      <c r="U525" s="43" t="s">
        <v>647</v>
      </c>
      <c r="V525" s="43" t="n">
        <v>58</v>
      </c>
      <c r="W525" s="43" t="n">
        <v>92</v>
      </c>
      <c r="X525" s="43" t="n">
        <v>150</v>
      </c>
      <c r="Y525" s="43" t="s">
        <v>635</v>
      </c>
      <c r="Z525" s="43" t="s">
        <v>636</v>
      </c>
    </row>
    <row r="526" customFormat="false" ht="15" hidden="false" customHeight="false" outlineLevel="0" collapsed="false">
      <c r="A526" s="43" t="n">
        <v>524</v>
      </c>
      <c r="B526" s="43" t="s">
        <v>972</v>
      </c>
      <c r="C526" s="43" t="s">
        <v>973</v>
      </c>
      <c r="D526" s="43" t="s">
        <v>973</v>
      </c>
      <c r="E526" s="43" t="s">
        <v>153</v>
      </c>
      <c r="F526" s="43" t="s">
        <v>62</v>
      </c>
      <c r="G526" s="43" t="n">
        <v>2025</v>
      </c>
      <c r="H526" s="44" t="n">
        <v>0</v>
      </c>
      <c r="I526" s="43" t="n">
        <v>2025</v>
      </c>
      <c r="J526" s="43" t="n">
        <v>5</v>
      </c>
      <c r="K526" s="44" t="n">
        <v>39074</v>
      </c>
      <c r="L526" s="43" t="n">
        <v>2025</v>
      </c>
      <c r="M526" s="43" t="n">
        <v>6</v>
      </c>
      <c r="N526" s="44" t="n">
        <v>34963</v>
      </c>
      <c r="O526" s="43" t="n">
        <v>2025</v>
      </c>
      <c r="P526" s="43" t="n">
        <v>9</v>
      </c>
      <c r="Q526" s="44" t="n">
        <v>38491.1926605505</v>
      </c>
      <c r="R526" s="43" t="s">
        <v>640</v>
      </c>
      <c r="S526" s="43" t="s">
        <v>84</v>
      </c>
      <c r="T526" s="43" t="s">
        <v>641</v>
      </c>
      <c r="U526" s="43" t="s">
        <v>647</v>
      </c>
      <c r="V526" s="43" t="n">
        <v>28</v>
      </c>
      <c r="W526" s="43" t="n">
        <v>92</v>
      </c>
      <c r="X526" s="43" t="n">
        <v>120</v>
      </c>
      <c r="Y526" s="43" t="s">
        <v>635</v>
      </c>
      <c r="Z526" s="43" t="s">
        <v>636</v>
      </c>
    </row>
    <row r="527" customFormat="false" ht="15" hidden="false" customHeight="false" outlineLevel="0" collapsed="false">
      <c r="A527" s="43" t="n">
        <v>525</v>
      </c>
      <c r="B527" s="43" t="s">
        <v>972</v>
      </c>
      <c r="C527" s="43" t="s">
        <v>973</v>
      </c>
      <c r="D527" s="43" t="s">
        <v>973</v>
      </c>
      <c r="E527" s="43" t="s">
        <v>153</v>
      </c>
      <c r="F527" s="43" t="s">
        <v>62</v>
      </c>
      <c r="G527" s="43" t="n">
        <v>2025</v>
      </c>
      <c r="H527" s="44" t="n">
        <v>0</v>
      </c>
      <c r="I527" s="43" t="n">
        <v>2025</v>
      </c>
      <c r="J527" s="43" t="n">
        <v>6</v>
      </c>
      <c r="K527" s="44" t="n">
        <v>38732</v>
      </c>
      <c r="L527" s="43" t="n">
        <v>2025</v>
      </c>
      <c r="M527" s="43" t="n">
        <v>7</v>
      </c>
      <c r="N527" s="44" t="n">
        <v>38732</v>
      </c>
      <c r="O527" s="43" t="n">
        <v>2025</v>
      </c>
      <c r="P527" s="43" t="n">
        <v>10</v>
      </c>
      <c r="Q527" s="44" t="n">
        <v>37011</v>
      </c>
      <c r="R527" s="43" t="s">
        <v>640</v>
      </c>
      <c r="S527" s="43" t="s">
        <v>84</v>
      </c>
      <c r="T527" s="43" t="s">
        <v>641</v>
      </c>
      <c r="U527" s="43" t="s">
        <v>647</v>
      </c>
      <c r="V527" s="43" t="n">
        <v>18</v>
      </c>
      <c r="W527" s="43" t="n">
        <v>90</v>
      </c>
      <c r="X527" s="43" t="n">
        <v>108</v>
      </c>
      <c r="Y527" s="43" t="s">
        <v>635</v>
      </c>
      <c r="Z527" s="43" t="s">
        <v>636</v>
      </c>
    </row>
    <row r="528" customFormat="false" ht="15" hidden="false" customHeight="false" outlineLevel="0" collapsed="false">
      <c r="A528" s="43" t="n">
        <v>526</v>
      </c>
      <c r="B528" s="43" t="s">
        <v>972</v>
      </c>
      <c r="C528" s="43" t="s">
        <v>973</v>
      </c>
      <c r="D528" s="43" t="s">
        <v>973</v>
      </c>
      <c r="E528" s="43" t="s">
        <v>153</v>
      </c>
      <c r="F528" s="43" t="s">
        <v>62</v>
      </c>
      <c r="G528" s="43" t="n">
        <v>2025</v>
      </c>
      <c r="H528" s="44" t="n">
        <v>0</v>
      </c>
      <c r="I528" s="43" t="n">
        <v>2025</v>
      </c>
      <c r="J528" s="43" t="n">
        <v>7</v>
      </c>
      <c r="K528" s="44" t="n">
        <v>22700</v>
      </c>
      <c r="L528" s="43" t="n">
        <v>2025</v>
      </c>
      <c r="M528" s="43" t="n">
        <v>7</v>
      </c>
      <c r="N528" s="44" t="n">
        <v>22700</v>
      </c>
      <c r="O528" s="43" t="n">
        <v>2025</v>
      </c>
      <c r="P528" s="43" t="n">
        <v>10</v>
      </c>
      <c r="Q528" s="44" t="n">
        <v>22524.8148148148</v>
      </c>
      <c r="R528" s="43" t="s">
        <v>640</v>
      </c>
      <c r="S528" s="43" t="s">
        <v>84</v>
      </c>
      <c r="T528" s="43" t="s">
        <v>641</v>
      </c>
      <c r="U528" s="43" t="s">
        <v>647</v>
      </c>
      <c r="V528" s="43" t="n">
        <v>7</v>
      </c>
      <c r="W528" s="43" t="n">
        <v>90</v>
      </c>
      <c r="X528" s="43" t="n">
        <v>97</v>
      </c>
      <c r="Y528" s="43" t="s">
        <v>635</v>
      </c>
      <c r="Z528" s="43" t="s">
        <v>636</v>
      </c>
    </row>
    <row r="529" customFormat="false" ht="15" hidden="false" customHeight="false" outlineLevel="0" collapsed="false">
      <c r="A529" s="43" t="n">
        <v>527</v>
      </c>
      <c r="B529" s="43" t="s">
        <v>972</v>
      </c>
      <c r="C529" s="43" t="s">
        <v>973</v>
      </c>
      <c r="D529" s="43" t="s">
        <v>973</v>
      </c>
      <c r="E529" s="43" t="s">
        <v>153</v>
      </c>
      <c r="F529" s="43" t="s">
        <v>62</v>
      </c>
      <c r="G529" s="43" t="n">
        <v>2025</v>
      </c>
      <c r="H529" s="44" t="n">
        <v>0</v>
      </c>
      <c r="I529" s="43" t="n">
        <v>2025</v>
      </c>
      <c r="J529" s="43" t="n">
        <v>8</v>
      </c>
      <c r="K529" s="44" t="n">
        <v>15161</v>
      </c>
      <c r="L529" s="43" t="n">
        <v>2025</v>
      </c>
      <c r="M529" s="43" t="n">
        <v>8</v>
      </c>
      <c r="N529" s="44" t="n">
        <v>15265</v>
      </c>
      <c r="O529" s="43" t="n">
        <v>2025</v>
      </c>
      <c r="P529" s="43" t="n">
        <v>11</v>
      </c>
      <c r="Q529" s="44" t="n">
        <v>14517</v>
      </c>
      <c r="R529" s="43" t="s">
        <v>640</v>
      </c>
      <c r="S529" s="43" t="s">
        <v>84</v>
      </c>
      <c r="T529" s="43" t="s">
        <v>641</v>
      </c>
      <c r="U529" s="43" t="s">
        <v>647</v>
      </c>
      <c r="V529" s="43" t="n">
        <v>2</v>
      </c>
      <c r="W529" s="43" t="n">
        <v>91</v>
      </c>
      <c r="X529" s="43" t="n">
        <v>93</v>
      </c>
      <c r="Y529" s="43" t="s">
        <v>635</v>
      </c>
      <c r="Z529" s="43" t="s">
        <v>636</v>
      </c>
    </row>
    <row r="530" customFormat="false" ht="15" hidden="false" customHeight="false" outlineLevel="0" collapsed="false">
      <c r="A530" s="43" t="n">
        <v>528</v>
      </c>
      <c r="B530" s="43" t="s">
        <v>974</v>
      </c>
      <c r="C530" s="43" t="s">
        <v>975</v>
      </c>
      <c r="D530" s="43" t="s">
        <v>975</v>
      </c>
      <c r="E530" s="43" t="s">
        <v>153</v>
      </c>
      <c r="F530" s="43" t="s">
        <v>62</v>
      </c>
      <c r="G530" s="43" t="n">
        <v>2026</v>
      </c>
      <c r="H530" s="44" t="n">
        <v>26863.64</v>
      </c>
      <c r="I530" s="43" t="n">
        <v>2026</v>
      </c>
      <c r="J530" s="43" t="n">
        <v>3</v>
      </c>
      <c r="K530" s="44" t="n">
        <v>14895</v>
      </c>
      <c r="L530" s="43" t="n">
        <v>2026</v>
      </c>
      <c r="M530" s="43" t="n">
        <v>3</v>
      </c>
      <c r="N530" s="44" t="n">
        <v>14895</v>
      </c>
      <c r="O530" s="43" t="n">
        <v>2026</v>
      </c>
      <c r="P530" s="43" t="n">
        <v>6</v>
      </c>
      <c r="Q530" s="44" t="n">
        <v>0</v>
      </c>
      <c r="R530" s="43" t="s">
        <v>646</v>
      </c>
      <c r="S530" s="43" t="s">
        <v>83</v>
      </c>
      <c r="T530" s="43" t="s">
        <v>641</v>
      </c>
      <c r="U530" s="43" t="s">
        <v>642</v>
      </c>
      <c r="V530" s="43" t="n">
        <v>8</v>
      </c>
      <c r="W530" s="43" t="n">
        <v>88</v>
      </c>
      <c r="X530" s="43" t="n">
        <v>96</v>
      </c>
      <c r="Y530" s="43" t="s">
        <v>635</v>
      </c>
      <c r="Z530" s="43" t="s">
        <v>636</v>
      </c>
    </row>
    <row r="531" customFormat="false" ht="15" hidden="false" customHeight="false" outlineLevel="0" collapsed="false">
      <c r="A531" s="43" t="n">
        <v>529</v>
      </c>
      <c r="B531" s="43" t="s">
        <v>974</v>
      </c>
      <c r="C531" s="43" t="s">
        <v>975</v>
      </c>
      <c r="D531" s="43" t="s">
        <v>975</v>
      </c>
      <c r="E531" s="43" t="s">
        <v>153</v>
      </c>
      <c r="F531" s="43" t="s">
        <v>62</v>
      </c>
      <c r="G531" s="43" t="n">
        <v>2026</v>
      </c>
      <c r="H531" s="44" t="n">
        <v>0</v>
      </c>
      <c r="I531" s="43" t="n">
        <v>2026</v>
      </c>
      <c r="J531" s="43" t="n">
        <v>4</v>
      </c>
      <c r="K531" s="44" t="n">
        <v>24000</v>
      </c>
      <c r="L531" s="43" t="n">
        <v>2026</v>
      </c>
      <c r="M531" s="43" t="n">
        <v>4</v>
      </c>
      <c r="N531" s="44" t="n">
        <v>24000</v>
      </c>
      <c r="O531" s="43" t="n">
        <v>2026</v>
      </c>
      <c r="P531" s="43" t="n">
        <v>7</v>
      </c>
      <c r="Q531" s="44" t="n">
        <v>0</v>
      </c>
      <c r="R531" s="43" t="s">
        <v>646</v>
      </c>
      <c r="S531" s="43" t="s">
        <v>83</v>
      </c>
      <c r="T531" s="43" t="s">
        <v>641</v>
      </c>
      <c r="U531" s="43" t="s">
        <v>642</v>
      </c>
      <c r="V531" s="43" t="n">
        <v>10</v>
      </c>
      <c r="W531" s="43" t="n">
        <v>91</v>
      </c>
      <c r="X531" s="43" t="n">
        <v>101</v>
      </c>
      <c r="Y531" s="43" t="s">
        <v>635</v>
      </c>
      <c r="Z531" s="43" t="s">
        <v>636</v>
      </c>
    </row>
    <row r="532" customFormat="false" ht="15" hidden="false" customHeight="false" outlineLevel="0" collapsed="false">
      <c r="A532" s="43" t="n">
        <v>530</v>
      </c>
      <c r="B532" s="43" t="s">
        <v>974</v>
      </c>
      <c r="C532" s="43" t="s">
        <v>975</v>
      </c>
      <c r="D532" s="43" t="s">
        <v>975</v>
      </c>
      <c r="E532" s="43" t="s">
        <v>153</v>
      </c>
      <c r="F532" s="43" t="s">
        <v>62</v>
      </c>
      <c r="G532" s="43" t="n">
        <v>2026</v>
      </c>
      <c r="H532" s="44" t="n">
        <v>0</v>
      </c>
      <c r="I532" s="43" t="n">
        <v>2026</v>
      </c>
      <c r="J532" s="43" t="n">
        <v>5</v>
      </c>
      <c r="K532" s="44" t="n">
        <v>21050</v>
      </c>
      <c r="L532" s="43" t="n">
        <v>2026</v>
      </c>
      <c r="M532" s="43" t="n">
        <v>5</v>
      </c>
      <c r="N532" s="44" t="n">
        <v>21477</v>
      </c>
      <c r="O532" s="43" t="n">
        <v>2026</v>
      </c>
      <c r="P532" s="43" t="n">
        <v>8</v>
      </c>
      <c r="Q532" s="44" t="n">
        <v>0</v>
      </c>
      <c r="R532" s="43" t="s">
        <v>646</v>
      </c>
      <c r="S532" s="43" t="s">
        <v>83</v>
      </c>
      <c r="T532" s="43" t="s">
        <v>641</v>
      </c>
      <c r="U532" s="43" t="s">
        <v>642</v>
      </c>
      <c r="V532" s="43" t="n">
        <v>10</v>
      </c>
      <c r="W532" s="43" t="n">
        <v>92</v>
      </c>
      <c r="X532" s="43" t="n">
        <v>102</v>
      </c>
      <c r="Y532" s="43" t="s">
        <v>635</v>
      </c>
      <c r="Z532" s="43" t="s">
        <v>636</v>
      </c>
    </row>
    <row r="533" customFormat="false" ht="15" hidden="false" customHeight="false" outlineLevel="0" collapsed="false">
      <c r="A533" s="43" t="n">
        <v>531</v>
      </c>
      <c r="B533" s="43" t="s">
        <v>976</v>
      </c>
      <c r="C533" s="43" t="s">
        <v>977</v>
      </c>
      <c r="D533" s="43" t="s">
        <v>977</v>
      </c>
      <c r="E533" s="43" t="s">
        <v>153</v>
      </c>
      <c r="F533" s="43" t="s">
        <v>62</v>
      </c>
      <c r="G533" s="43" t="n">
        <v>2024</v>
      </c>
      <c r="H533" s="44" t="n">
        <v>0</v>
      </c>
      <c r="I533" s="43" t="n">
        <v>2024</v>
      </c>
      <c r="J533" s="43" t="n">
        <v>11</v>
      </c>
      <c r="K533" s="44" t="n">
        <v>8053</v>
      </c>
      <c r="L533" s="43" t="n">
        <v>2024</v>
      </c>
      <c r="M533" s="43" t="n">
        <v>12</v>
      </c>
      <c r="N533" s="44" t="n">
        <v>7558</v>
      </c>
      <c r="O533" s="43" t="n">
        <v>2025</v>
      </c>
      <c r="P533" s="43" t="n">
        <v>3</v>
      </c>
      <c r="Q533" s="44" t="n">
        <v>7054</v>
      </c>
      <c r="R533" s="43" t="s">
        <v>651</v>
      </c>
      <c r="S533" s="43" t="s">
        <v>85</v>
      </c>
      <c r="T533" s="43" t="s">
        <v>633</v>
      </c>
      <c r="U533" s="43" t="s">
        <v>647</v>
      </c>
      <c r="V533" s="43" t="n">
        <v>26</v>
      </c>
      <c r="W533" s="43" t="n">
        <v>90</v>
      </c>
      <c r="X533" s="43" t="n">
        <v>116</v>
      </c>
      <c r="Y533" s="43" t="s">
        <v>635</v>
      </c>
      <c r="Z533" s="43" t="s">
        <v>636</v>
      </c>
    </row>
    <row r="534" customFormat="false" ht="15" hidden="false" customHeight="false" outlineLevel="0" collapsed="false">
      <c r="A534" s="43" t="n">
        <v>532</v>
      </c>
      <c r="B534" s="43" t="s">
        <v>976</v>
      </c>
      <c r="C534" s="43" t="s">
        <v>977</v>
      </c>
      <c r="D534" s="43" t="s">
        <v>977</v>
      </c>
      <c r="E534" s="43" t="s">
        <v>153</v>
      </c>
      <c r="F534" s="43" t="s">
        <v>62</v>
      </c>
      <c r="G534" s="43" t="n">
        <v>2024</v>
      </c>
      <c r="H534" s="44" t="n">
        <v>0</v>
      </c>
      <c r="I534" s="43" t="n">
        <v>2024</v>
      </c>
      <c r="J534" s="43" t="n">
        <v>12</v>
      </c>
      <c r="K534" s="44" t="n">
        <v>17461</v>
      </c>
      <c r="L534" s="43" t="n">
        <v>2024</v>
      </c>
      <c r="M534" s="43" t="n">
        <v>12</v>
      </c>
      <c r="N534" s="44" t="n">
        <v>17578</v>
      </c>
      <c r="O534" s="43" t="n">
        <v>2025</v>
      </c>
      <c r="P534" s="43" t="n">
        <v>3</v>
      </c>
      <c r="Q534" s="44" t="n">
        <v>16407</v>
      </c>
      <c r="R534" s="43" t="s">
        <v>651</v>
      </c>
      <c r="S534" s="43" t="s">
        <v>85</v>
      </c>
      <c r="T534" s="43" t="s">
        <v>633</v>
      </c>
      <c r="U534" s="43" t="s">
        <v>647</v>
      </c>
      <c r="V534" s="43"/>
      <c r="W534" s="43" t="n">
        <v>90</v>
      </c>
      <c r="X534" s="43" t="n">
        <v>89</v>
      </c>
      <c r="Y534" s="43" t="s">
        <v>635</v>
      </c>
      <c r="Z534" s="43" t="s">
        <v>636</v>
      </c>
    </row>
    <row r="535" customFormat="false" ht="15" hidden="false" customHeight="false" outlineLevel="0" collapsed="false">
      <c r="A535" s="43" t="n">
        <v>533</v>
      </c>
      <c r="B535" s="43" t="s">
        <v>976</v>
      </c>
      <c r="C535" s="43" t="s">
        <v>977</v>
      </c>
      <c r="D535" s="43" t="s">
        <v>977</v>
      </c>
      <c r="E535" s="43" t="s">
        <v>153</v>
      </c>
      <c r="F535" s="43" t="s">
        <v>62</v>
      </c>
      <c r="G535" s="43" t="n">
        <v>2025</v>
      </c>
      <c r="H535" s="44" t="n">
        <v>0</v>
      </c>
      <c r="I535" s="43" t="n">
        <v>2025</v>
      </c>
      <c r="J535" s="43" t="n">
        <v>1</v>
      </c>
      <c r="K535" s="44" t="n">
        <v>21816</v>
      </c>
      <c r="L535" s="43" t="n">
        <v>2025</v>
      </c>
      <c r="M535" s="43" t="n">
        <v>1</v>
      </c>
      <c r="N535" s="44" t="n">
        <v>21327</v>
      </c>
      <c r="O535" s="43" t="n">
        <v>2025</v>
      </c>
      <c r="P535" s="43" t="n">
        <v>4</v>
      </c>
      <c r="Q535" s="44" t="n">
        <v>21327.41</v>
      </c>
      <c r="R535" s="43" t="s">
        <v>651</v>
      </c>
      <c r="S535" s="43" t="s">
        <v>85</v>
      </c>
      <c r="T535" s="43" t="s">
        <v>633</v>
      </c>
      <c r="U535" s="43" t="s">
        <v>647</v>
      </c>
      <c r="V535" s="43" t="n">
        <v>0</v>
      </c>
      <c r="W535" s="43" t="n">
        <v>89</v>
      </c>
      <c r="X535" s="43" t="n">
        <v>89</v>
      </c>
      <c r="Y535" s="43" t="s">
        <v>635</v>
      </c>
      <c r="Z535" s="43" t="s">
        <v>636</v>
      </c>
    </row>
    <row r="536" customFormat="false" ht="15" hidden="false" customHeight="false" outlineLevel="0" collapsed="false">
      <c r="A536" s="43" t="n">
        <v>534</v>
      </c>
      <c r="B536" s="43" t="s">
        <v>976</v>
      </c>
      <c r="C536" s="43" t="s">
        <v>977</v>
      </c>
      <c r="D536" s="43" t="s">
        <v>977</v>
      </c>
      <c r="E536" s="43" t="s">
        <v>153</v>
      </c>
      <c r="F536" s="43" t="s">
        <v>62</v>
      </c>
      <c r="G536" s="43" t="n">
        <v>2025</v>
      </c>
      <c r="H536" s="44" t="n">
        <v>0</v>
      </c>
      <c r="I536" s="43" t="n">
        <v>2025</v>
      </c>
      <c r="J536" s="43" t="n">
        <v>2</v>
      </c>
      <c r="K536" s="44" t="n">
        <v>12770</v>
      </c>
      <c r="L536" s="43" t="n">
        <v>2025</v>
      </c>
      <c r="M536" s="43" t="n">
        <v>3</v>
      </c>
      <c r="N536" s="44" t="n">
        <v>11785</v>
      </c>
      <c r="O536" s="43" t="n">
        <v>2025</v>
      </c>
      <c r="P536" s="43" t="n">
        <v>6</v>
      </c>
      <c r="Q536" s="44" t="n">
        <v>11785</v>
      </c>
      <c r="R536" s="43" t="s">
        <v>651</v>
      </c>
      <c r="S536" s="43" t="s">
        <v>85</v>
      </c>
      <c r="T536" s="43" t="s">
        <v>633</v>
      </c>
      <c r="U536" s="43" t="s">
        <v>647</v>
      </c>
      <c r="V536" s="43" t="n">
        <v>25</v>
      </c>
      <c r="W536" s="43" t="n">
        <v>91</v>
      </c>
      <c r="X536" s="43" t="n">
        <v>116</v>
      </c>
      <c r="Y536" s="43" t="s">
        <v>635</v>
      </c>
      <c r="Z536" s="43" t="s">
        <v>636</v>
      </c>
    </row>
    <row r="537" customFormat="false" ht="15" hidden="false" customHeight="false" outlineLevel="0" collapsed="false">
      <c r="A537" s="43" t="n">
        <v>535</v>
      </c>
      <c r="B537" s="43" t="s">
        <v>978</v>
      </c>
      <c r="C537" s="43" t="s">
        <v>979</v>
      </c>
      <c r="D537" s="43" t="s">
        <v>979</v>
      </c>
      <c r="E537" s="43" t="s">
        <v>153</v>
      </c>
      <c r="F537" s="43" t="s">
        <v>62</v>
      </c>
      <c r="G537" s="43" t="n">
        <v>2023</v>
      </c>
      <c r="H537" s="44" t="n">
        <v>24662</v>
      </c>
      <c r="I537" s="43" t="n">
        <v>2023</v>
      </c>
      <c r="J537" s="43" t="n">
        <v>9</v>
      </c>
      <c r="K537" s="44" t="n">
        <v>34067</v>
      </c>
      <c r="L537" s="43" t="n">
        <v>2023</v>
      </c>
      <c r="M537" s="43" t="n">
        <v>11</v>
      </c>
      <c r="N537" s="44" t="n">
        <v>31187.856</v>
      </c>
      <c r="O537" s="43" t="n">
        <v>2024</v>
      </c>
      <c r="P537" s="43" t="n">
        <v>1</v>
      </c>
      <c r="Q537" s="44" t="n">
        <v>31824</v>
      </c>
      <c r="R537" s="43" t="s">
        <v>703</v>
      </c>
      <c r="S537" s="43" t="s">
        <v>83</v>
      </c>
      <c r="T537" s="43" t="s">
        <v>641</v>
      </c>
      <c r="U537" s="43" t="s">
        <v>647</v>
      </c>
      <c r="V537" s="43" t="n">
        <v>44</v>
      </c>
      <c r="W537" s="43" t="n">
        <v>60</v>
      </c>
      <c r="X537" s="43" t="n">
        <v>104</v>
      </c>
      <c r="Y537" s="43" t="s">
        <v>635</v>
      </c>
      <c r="Z537" s="43" t="s">
        <v>636</v>
      </c>
    </row>
    <row r="538" customFormat="false" ht="15" hidden="false" customHeight="false" outlineLevel="0" collapsed="false">
      <c r="A538" s="43" t="n">
        <v>536</v>
      </c>
      <c r="B538" s="43" t="s">
        <v>978</v>
      </c>
      <c r="C538" s="43" t="s">
        <v>979</v>
      </c>
      <c r="D538" s="43" t="s">
        <v>979</v>
      </c>
      <c r="E538" s="43" t="s">
        <v>153</v>
      </c>
      <c r="F538" s="43" t="s">
        <v>62</v>
      </c>
      <c r="G538" s="43" t="n">
        <v>2023</v>
      </c>
      <c r="H538" s="44" t="n">
        <v>98625</v>
      </c>
      <c r="I538" s="43" t="n">
        <v>2023</v>
      </c>
      <c r="J538" s="43" t="n">
        <v>10</v>
      </c>
      <c r="K538" s="44" t="n">
        <v>39226</v>
      </c>
      <c r="L538" s="43" t="n">
        <v>2023</v>
      </c>
      <c r="M538" s="43" t="n">
        <v>11</v>
      </c>
      <c r="N538" s="44" t="n">
        <v>36997.358</v>
      </c>
      <c r="O538" s="43" t="n">
        <v>2024</v>
      </c>
      <c r="P538" s="43" t="n">
        <v>1</v>
      </c>
      <c r="Q538" s="44" t="n">
        <v>37752</v>
      </c>
      <c r="R538" s="43" t="s">
        <v>703</v>
      </c>
      <c r="S538" s="43" t="s">
        <v>83</v>
      </c>
      <c r="T538" s="43" t="s">
        <v>641</v>
      </c>
      <c r="U538" s="43" t="s">
        <v>647</v>
      </c>
      <c r="V538" s="43" t="n">
        <v>16</v>
      </c>
      <c r="W538" s="43" t="n">
        <v>60</v>
      </c>
      <c r="X538" s="43" t="n">
        <v>76</v>
      </c>
      <c r="Y538" s="43" t="s">
        <v>635</v>
      </c>
      <c r="Z538" s="43" t="s">
        <v>636</v>
      </c>
    </row>
    <row r="539" customFormat="false" ht="15" hidden="false" customHeight="false" outlineLevel="0" collapsed="false">
      <c r="A539" s="43" t="n">
        <v>537</v>
      </c>
      <c r="B539" s="43" t="s">
        <v>978</v>
      </c>
      <c r="C539" s="43" t="s">
        <v>979</v>
      </c>
      <c r="D539" s="43" t="s">
        <v>979</v>
      </c>
      <c r="E539" s="43" t="s">
        <v>153</v>
      </c>
      <c r="F539" s="43" t="s">
        <v>62</v>
      </c>
      <c r="G539" s="43" t="n">
        <v>2023</v>
      </c>
      <c r="H539" s="44" t="n">
        <v>129266.28</v>
      </c>
      <c r="I539" s="43" t="n">
        <v>2023</v>
      </c>
      <c r="J539" s="43" t="n">
        <v>11</v>
      </c>
      <c r="K539" s="44" t="n">
        <v>92851</v>
      </c>
      <c r="L539" s="43" t="n">
        <v>2023</v>
      </c>
      <c r="M539" s="43" t="n">
        <v>12</v>
      </c>
      <c r="N539" s="44" t="n">
        <v>84777.3328</v>
      </c>
      <c r="O539" s="43" t="n">
        <v>2024</v>
      </c>
      <c r="P539" s="43" t="n">
        <v>2</v>
      </c>
      <c r="Q539" s="44" t="n">
        <v>86507</v>
      </c>
      <c r="R539" s="43" t="s">
        <v>703</v>
      </c>
      <c r="S539" s="43" t="s">
        <v>83</v>
      </c>
      <c r="T539" s="43" t="s">
        <v>641</v>
      </c>
      <c r="U539" s="43" t="s">
        <v>647</v>
      </c>
      <c r="V539" s="43" t="n">
        <v>23</v>
      </c>
      <c r="W539" s="43" t="n">
        <v>60</v>
      </c>
      <c r="X539" s="43" t="n">
        <v>83</v>
      </c>
      <c r="Y539" s="43" t="s">
        <v>635</v>
      </c>
      <c r="Z539" s="43" t="s">
        <v>636</v>
      </c>
    </row>
    <row r="540" customFormat="false" ht="15" hidden="false" customHeight="false" outlineLevel="0" collapsed="false">
      <c r="A540" s="43" t="n">
        <v>538</v>
      </c>
      <c r="B540" s="43" t="s">
        <v>978</v>
      </c>
      <c r="C540" s="43" t="s">
        <v>979</v>
      </c>
      <c r="D540" s="43" t="s">
        <v>979</v>
      </c>
      <c r="E540" s="43" t="s">
        <v>153</v>
      </c>
      <c r="F540" s="43" t="s">
        <v>62</v>
      </c>
      <c r="G540" s="43" t="n">
        <v>2023</v>
      </c>
      <c r="H540" s="44" t="n">
        <v>93670.8948</v>
      </c>
      <c r="I540" s="43" t="n">
        <v>2023</v>
      </c>
      <c r="J540" s="43" t="n">
        <v>12</v>
      </c>
      <c r="K540" s="44" t="n">
        <v>66118</v>
      </c>
      <c r="L540" s="43" t="n">
        <v>2023</v>
      </c>
      <c r="M540" s="43" t="n">
        <v>12</v>
      </c>
      <c r="N540" s="44" t="n">
        <v>60435.83</v>
      </c>
      <c r="O540" s="43" t="n">
        <v>2024</v>
      </c>
      <c r="P540" s="43" t="n">
        <v>2</v>
      </c>
      <c r="Q540" s="44" t="n">
        <v>61669</v>
      </c>
      <c r="R540" s="43" t="s">
        <v>703</v>
      </c>
      <c r="S540" s="43" t="s">
        <v>83</v>
      </c>
      <c r="T540" s="43" t="s">
        <v>641</v>
      </c>
      <c r="U540" s="43" t="s">
        <v>647</v>
      </c>
      <c r="V540" s="43"/>
      <c r="W540" s="43" t="n">
        <v>60</v>
      </c>
      <c r="X540" s="43" t="n">
        <v>52</v>
      </c>
      <c r="Y540" s="43" t="s">
        <v>635</v>
      </c>
      <c r="Z540" s="43" t="s">
        <v>636</v>
      </c>
    </row>
    <row r="541" customFormat="false" ht="15" hidden="false" customHeight="false" outlineLevel="0" collapsed="false">
      <c r="A541" s="43" t="n">
        <v>539</v>
      </c>
      <c r="B541" s="43" t="s">
        <v>978</v>
      </c>
      <c r="C541" s="43" t="s">
        <v>979</v>
      </c>
      <c r="D541" s="43" t="s">
        <v>979</v>
      </c>
      <c r="E541" s="43" t="s">
        <v>153</v>
      </c>
      <c r="F541" s="43" t="s">
        <v>62</v>
      </c>
      <c r="G541" s="43" t="n">
        <v>2024</v>
      </c>
      <c r="H541" s="44" t="n">
        <v>52371</v>
      </c>
      <c r="I541" s="43" t="n">
        <v>2024</v>
      </c>
      <c r="J541" s="43" t="n">
        <v>1</v>
      </c>
      <c r="K541" s="44" t="n">
        <v>41400</v>
      </c>
      <c r="L541" s="43" t="n">
        <v>2024</v>
      </c>
      <c r="M541" s="43" t="n">
        <v>2</v>
      </c>
      <c r="N541" s="44" t="n">
        <v>39081</v>
      </c>
      <c r="O541" s="43" t="n">
        <v>2024</v>
      </c>
      <c r="P541" s="43" t="n">
        <v>4</v>
      </c>
      <c r="Q541" s="44" t="n">
        <v>39081</v>
      </c>
      <c r="R541" s="43" t="s">
        <v>703</v>
      </c>
      <c r="S541" s="43" t="s">
        <v>83</v>
      </c>
      <c r="T541" s="43" t="s">
        <v>641</v>
      </c>
      <c r="U541" s="43" t="s">
        <v>647</v>
      </c>
      <c r="V541" s="43" t="n">
        <v>34</v>
      </c>
      <c r="W541" s="43" t="n">
        <v>60</v>
      </c>
      <c r="X541" s="43" t="n">
        <v>94</v>
      </c>
      <c r="Y541" s="43" t="s">
        <v>635</v>
      </c>
      <c r="Z541" s="43" t="s">
        <v>636</v>
      </c>
    </row>
    <row r="542" customFormat="false" ht="15" hidden="false" customHeight="false" outlineLevel="0" collapsed="false">
      <c r="A542" s="43" t="n">
        <v>540</v>
      </c>
      <c r="B542" s="43" t="s">
        <v>978</v>
      </c>
      <c r="C542" s="43" t="s">
        <v>979</v>
      </c>
      <c r="D542" s="43" t="s">
        <v>979</v>
      </c>
      <c r="E542" s="43" t="s">
        <v>153</v>
      </c>
      <c r="F542" s="43" t="s">
        <v>62</v>
      </c>
      <c r="G542" s="43" t="n">
        <v>2024</v>
      </c>
      <c r="H542" s="44" t="n">
        <v>10971</v>
      </c>
      <c r="I542" s="43" t="n">
        <v>2024</v>
      </c>
      <c r="J542" s="43" t="n">
        <v>2</v>
      </c>
      <c r="K542" s="44" t="n">
        <v>6768</v>
      </c>
      <c r="L542" s="43" t="n">
        <v>2024</v>
      </c>
      <c r="M542" s="43" t="n">
        <v>2</v>
      </c>
      <c r="N542" s="44" t="n">
        <v>6510</v>
      </c>
      <c r="O542" s="43" t="n">
        <v>2024</v>
      </c>
      <c r="P542" s="43" t="n">
        <v>5</v>
      </c>
      <c r="Q542" s="44" t="n">
        <v>6510</v>
      </c>
      <c r="R542" s="43" t="s">
        <v>703</v>
      </c>
      <c r="S542" s="43" t="s">
        <v>83</v>
      </c>
      <c r="T542" s="43" t="s">
        <v>641</v>
      </c>
      <c r="U542" s="43" t="s">
        <v>647</v>
      </c>
      <c r="V542" s="43"/>
      <c r="W542" s="43" t="n">
        <v>77</v>
      </c>
      <c r="X542" s="43" t="n">
        <v>76</v>
      </c>
      <c r="Y542" s="43" t="s">
        <v>635</v>
      </c>
      <c r="Z542" s="43" t="s">
        <v>636</v>
      </c>
    </row>
    <row r="543" customFormat="false" ht="15" hidden="false" customHeight="false" outlineLevel="0" collapsed="false">
      <c r="A543" s="43" t="n">
        <v>541</v>
      </c>
      <c r="B543" s="43" t="s">
        <v>978</v>
      </c>
      <c r="C543" s="43" t="s">
        <v>979</v>
      </c>
      <c r="D543" s="43" t="s">
        <v>979</v>
      </c>
      <c r="E543" s="43" t="s">
        <v>153</v>
      </c>
      <c r="F543" s="43" t="s">
        <v>62</v>
      </c>
      <c r="G543" s="43" t="n">
        <v>2024</v>
      </c>
      <c r="H543" s="44" t="n">
        <v>4173</v>
      </c>
      <c r="I543" s="43" t="n">
        <v>2024</v>
      </c>
      <c r="J543" s="43" t="n">
        <v>4</v>
      </c>
      <c r="K543" s="44" t="n">
        <v>4173</v>
      </c>
      <c r="L543" s="43" t="n">
        <v>2024</v>
      </c>
      <c r="M543" s="43" t="n">
        <v>6</v>
      </c>
      <c r="N543" s="44" t="n">
        <v>6509.9</v>
      </c>
      <c r="O543" s="43" t="n">
        <v>2024</v>
      </c>
      <c r="P543" s="43" t="n">
        <v>8</v>
      </c>
      <c r="Q543" s="44" t="n">
        <v>6018</v>
      </c>
      <c r="R543" s="43" t="s">
        <v>703</v>
      </c>
      <c r="S543" s="43" t="s">
        <v>83</v>
      </c>
      <c r="T543" s="43" t="s">
        <v>641</v>
      </c>
      <c r="U543" s="43" t="s">
        <v>647</v>
      </c>
      <c r="V543" s="43" t="n">
        <v>55</v>
      </c>
      <c r="W543" s="43" t="n">
        <v>60</v>
      </c>
      <c r="X543" s="43" t="n">
        <v>115</v>
      </c>
      <c r="Y543" s="43" t="s">
        <v>635</v>
      </c>
      <c r="Z543" s="43" t="s">
        <v>636</v>
      </c>
    </row>
    <row r="544" customFormat="false" ht="15" hidden="false" customHeight="false" outlineLevel="0" collapsed="false">
      <c r="A544" s="43" t="n">
        <v>542</v>
      </c>
      <c r="B544" s="43" t="s">
        <v>978</v>
      </c>
      <c r="C544" s="43" t="s">
        <v>979</v>
      </c>
      <c r="D544" s="43" t="s">
        <v>980</v>
      </c>
      <c r="E544" s="43" t="s">
        <v>153</v>
      </c>
      <c r="F544" s="43" t="s">
        <v>62</v>
      </c>
      <c r="G544" s="43" t="n">
        <v>2024</v>
      </c>
      <c r="H544" s="44" t="n">
        <v>0</v>
      </c>
      <c r="I544" s="43" t="n">
        <v>2024</v>
      </c>
      <c r="J544" s="43" t="n">
        <v>2</v>
      </c>
      <c r="K544" s="44" t="n">
        <v>6765</v>
      </c>
      <c r="L544" s="43" t="n">
        <v>2024</v>
      </c>
      <c r="M544" s="43" t="n">
        <v>8</v>
      </c>
      <c r="N544" s="44" t="n">
        <v>6765</v>
      </c>
      <c r="O544" s="43" t="n">
        <v>2024</v>
      </c>
      <c r="P544" s="43" t="n">
        <v>8</v>
      </c>
      <c r="Q544" s="44" t="n">
        <v>6765</v>
      </c>
      <c r="R544" s="43" t="s">
        <v>703</v>
      </c>
      <c r="S544" s="43" t="s">
        <v>83</v>
      </c>
      <c r="T544" s="43" t="s">
        <v>641</v>
      </c>
      <c r="U544" s="43" t="s">
        <v>647</v>
      </c>
      <c r="V544" s="43" t="n">
        <v>178</v>
      </c>
      <c r="W544" s="43" t="n">
        <v>0</v>
      </c>
      <c r="X544" s="43" t="n">
        <v>178</v>
      </c>
      <c r="Y544" s="43" t="s">
        <v>635</v>
      </c>
      <c r="Z544" s="43" t="s">
        <v>636</v>
      </c>
    </row>
    <row r="545" customFormat="false" ht="15" hidden="false" customHeight="false" outlineLevel="0" collapsed="false">
      <c r="A545" s="43" t="n">
        <v>543</v>
      </c>
      <c r="B545" s="43" t="s">
        <v>981</v>
      </c>
      <c r="C545" s="43" t="s">
        <v>982</v>
      </c>
      <c r="D545" s="43" t="s">
        <v>982</v>
      </c>
      <c r="E545" s="43" t="s">
        <v>153</v>
      </c>
      <c r="F545" s="43" t="s">
        <v>62</v>
      </c>
      <c r="G545" s="43" t="n">
        <v>2024</v>
      </c>
      <c r="H545" s="44" t="n">
        <v>0</v>
      </c>
      <c r="I545" s="43" t="n">
        <v>2024</v>
      </c>
      <c r="J545" s="43" t="n">
        <v>11</v>
      </c>
      <c r="K545" s="44" t="n">
        <v>31337</v>
      </c>
      <c r="L545" s="43" t="n">
        <v>2024</v>
      </c>
      <c r="M545" s="43" t="n">
        <v>11</v>
      </c>
      <c r="N545" s="44" t="n">
        <v>27745</v>
      </c>
      <c r="O545" s="43" t="n">
        <v>2025</v>
      </c>
      <c r="P545" s="43" t="n">
        <v>2</v>
      </c>
      <c r="Q545" s="44" t="n">
        <v>24924</v>
      </c>
      <c r="R545" s="43" t="s">
        <v>651</v>
      </c>
      <c r="S545" s="43" t="s">
        <v>85</v>
      </c>
      <c r="T545" s="43" t="s">
        <v>633</v>
      </c>
      <c r="U545" s="43" t="s">
        <v>647</v>
      </c>
      <c r="V545" s="43" t="n">
        <v>10</v>
      </c>
      <c r="W545" s="43" t="n">
        <v>91</v>
      </c>
      <c r="X545" s="43" t="n">
        <v>101</v>
      </c>
      <c r="Y545" s="43" t="s">
        <v>635</v>
      </c>
      <c r="Z545" s="43" t="s">
        <v>636</v>
      </c>
    </row>
    <row r="546" customFormat="false" ht="15" hidden="false" customHeight="false" outlineLevel="0" collapsed="false">
      <c r="A546" s="43" t="n">
        <v>544</v>
      </c>
      <c r="B546" s="43" t="s">
        <v>981</v>
      </c>
      <c r="C546" s="43" t="s">
        <v>982</v>
      </c>
      <c r="D546" s="43" t="s">
        <v>982</v>
      </c>
      <c r="E546" s="43" t="s">
        <v>153</v>
      </c>
      <c r="F546" s="43" t="s">
        <v>62</v>
      </c>
      <c r="G546" s="43" t="n">
        <v>2024</v>
      </c>
      <c r="H546" s="44" t="n">
        <v>0</v>
      </c>
      <c r="I546" s="43" t="n">
        <v>2024</v>
      </c>
      <c r="J546" s="43" t="n">
        <v>12</v>
      </c>
      <c r="K546" s="44" t="n">
        <v>5952</v>
      </c>
      <c r="L546" s="43" t="n">
        <v>2024</v>
      </c>
      <c r="M546" s="43" t="n">
        <v>12</v>
      </c>
      <c r="N546" s="44" t="n">
        <v>5952</v>
      </c>
      <c r="O546" s="43" t="n">
        <v>2025</v>
      </c>
      <c r="P546" s="43" t="n">
        <v>3</v>
      </c>
      <c r="Q546" s="44" t="n">
        <v>5952</v>
      </c>
      <c r="R546" s="43" t="s">
        <v>651</v>
      </c>
      <c r="S546" s="43" t="s">
        <v>85</v>
      </c>
      <c r="T546" s="43" t="s">
        <v>633</v>
      </c>
      <c r="U546" s="43" t="s">
        <v>647</v>
      </c>
      <c r="V546" s="43"/>
      <c r="W546" s="43" t="n">
        <v>90</v>
      </c>
      <c r="X546" s="43" t="n">
        <v>86</v>
      </c>
      <c r="Y546" s="43" t="s">
        <v>635</v>
      </c>
      <c r="Z546" s="43" t="s">
        <v>636</v>
      </c>
    </row>
    <row r="547" customFormat="false" ht="15" hidden="false" customHeight="false" outlineLevel="0" collapsed="false">
      <c r="A547" s="43" t="n">
        <v>545</v>
      </c>
      <c r="B547" s="43" t="s">
        <v>981</v>
      </c>
      <c r="C547" s="43" t="s">
        <v>982</v>
      </c>
      <c r="D547" s="43" t="s">
        <v>982</v>
      </c>
      <c r="E547" s="43" t="s">
        <v>153</v>
      </c>
      <c r="F547" s="43" t="s">
        <v>62</v>
      </c>
      <c r="G547" s="43" t="n">
        <v>2024</v>
      </c>
      <c r="H547" s="44" t="n">
        <v>0</v>
      </c>
      <c r="I547" s="43" t="n">
        <v>2024</v>
      </c>
      <c r="J547" s="43" t="n">
        <v>12</v>
      </c>
      <c r="K547" s="44" t="n">
        <v>14000</v>
      </c>
      <c r="L547" s="43" t="n">
        <v>2024</v>
      </c>
      <c r="M547" s="43" t="n">
        <v>12</v>
      </c>
      <c r="N547" s="44" t="n">
        <v>10364</v>
      </c>
      <c r="O547" s="43" t="n">
        <v>2025</v>
      </c>
      <c r="P547" s="43" t="n">
        <v>3</v>
      </c>
      <c r="Q547" s="44" t="n">
        <v>9743</v>
      </c>
      <c r="R547" s="43" t="s">
        <v>651</v>
      </c>
      <c r="S547" s="43" t="s">
        <v>85</v>
      </c>
      <c r="T547" s="43" t="s">
        <v>633</v>
      </c>
      <c r="U547" s="43" t="s">
        <v>647</v>
      </c>
      <c r="V547" s="43"/>
      <c r="W547" s="43" t="n">
        <v>90</v>
      </c>
      <c r="X547" s="43" t="n">
        <v>89</v>
      </c>
      <c r="Y547" s="43" t="s">
        <v>635</v>
      </c>
      <c r="Z547" s="43" t="s">
        <v>636</v>
      </c>
    </row>
    <row r="548" customFormat="false" ht="15" hidden="false" customHeight="false" outlineLevel="0" collapsed="false">
      <c r="A548" s="43" t="n">
        <v>546</v>
      </c>
      <c r="B548" s="43" t="s">
        <v>981</v>
      </c>
      <c r="C548" s="43" t="s">
        <v>982</v>
      </c>
      <c r="D548" s="43" t="s">
        <v>982</v>
      </c>
      <c r="E548" s="43" t="s">
        <v>153</v>
      </c>
      <c r="F548" s="43" t="s">
        <v>62</v>
      </c>
      <c r="G548" s="43" t="n">
        <v>2025</v>
      </c>
      <c r="H548" s="44" t="n">
        <v>0</v>
      </c>
      <c r="I548" s="43" t="n">
        <v>2025</v>
      </c>
      <c r="J548" s="43" t="n">
        <v>1</v>
      </c>
      <c r="K548" s="44" t="n">
        <v>22948</v>
      </c>
      <c r="L548" s="43" t="n">
        <v>2025</v>
      </c>
      <c r="M548" s="43" t="n">
        <v>1</v>
      </c>
      <c r="N548" s="44" t="n">
        <v>18747</v>
      </c>
      <c r="O548" s="43" t="n">
        <v>2025</v>
      </c>
      <c r="P548" s="43" t="n">
        <v>4</v>
      </c>
      <c r="Q548" s="44" t="n">
        <v>18747.16</v>
      </c>
      <c r="R548" s="43" t="s">
        <v>651</v>
      </c>
      <c r="S548" s="43" t="s">
        <v>85</v>
      </c>
      <c r="T548" s="43" t="s">
        <v>633</v>
      </c>
      <c r="U548" s="43" t="s">
        <v>647</v>
      </c>
      <c r="V548" s="43" t="n">
        <v>0</v>
      </c>
      <c r="W548" s="43" t="n">
        <v>90</v>
      </c>
      <c r="X548" s="43" t="n">
        <v>90</v>
      </c>
      <c r="Y548" s="43" t="s">
        <v>635</v>
      </c>
      <c r="Z548" s="43" t="s">
        <v>636</v>
      </c>
    </row>
    <row r="549" customFormat="false" ht="15" hidden="false" customHeight="false" outlineLevel="0" collapsed="false">
      <c r="A549" s="43" t="n">
        <v>547</v>
      </c>
      <c r="B549" s="43" t="s">
        <v>981</v>
      </c>
      <c r="C549" s="43" t="s">
        <v>982</v>
      </c>
      <c r="D549" s="43" t="s">
        <v>982</v>
      </c>
      <c r="E549" s="43" t="s">
        <v>153</v>
      </c>
      <c r="F549" s="43" t="s">
        <v>62</v>
      </c>
      <c r="G549" s="43" t="n">
        <v>2025</v>
      </c>
      <c r="H549" s="44" t="n">
        <v>0</v>
      </c>
      <c r="I549" s="43" t="n">
        <v>2025</v>
      </c>
      <c r="J549" s="43" t="n">
        <v>2</v>
      </c>
      <c r="K549" s="44" t="n">
        <v>10293</v>
      </c>
      <c r="L549" s="43" t="n">
        <v>2025</v>
      </c>
      <c r="M549" s="43" t="n">
        <v>3</v>
      </c>
      <c r="N549" s="44" t="n">
        <v>9499</v>
      </c>
      <c r="O549" s="43" t="n">
        <v>2025</v>
      </c>
      <c r="P549" s="43" t="n">
        <v>6</v>
      </c>
      <c r="Q549" s="44" t="n">
        <v>9499</v>
      </c>
      <c r="R549" s="43" t="s">
        <v>651</v>
      </c>
      <c r="S549" s="43" t="s">
        <v>85</v>
      </c>
      <c r="T549" s="43" t="s">
        <v>633</v>
      </c>
      <c r="U549" s="43" t="s">
        <v>647</v>
      </c>
      <c r="V549" s="43" t="n">
        <v>25</v>
      </c>
      <c r="W549" s="43" t="n">
        <v>91</v>
      </c>
      <c r="X549" s="43" t="n">
        <v>116</v>
      </c>
      <c r="Y549" s="43" t="s">
        <v>635</v>
      </c>
      <c r="Z549" s="43" t="s">
        <v>636</v>
      </c>
    </row>
    <row r="550" customFormat="false" ht="15" hidden="false" customHeight="false" outlineLevel="0" collapsed="false">
      <c r="A550" s="43" t="n">
        <v>548</v>
      </c>
      <c r="B550" s="43" t="s">
        <v>981</v>
      </c>
      <c r="C550" s="43" t="s">
        <v>982</v>
      </c>
      <c r="D550" s="43" t="s">
        <v>982</v>
      </c>
      <c r="E550" s="43" t="s">
        <v>153</v>
      </c>
      <c r="F550" s="43" t="s">
        <v>62</v>
      </c>
      <c r="G550" s="43" t="n">
        <v>2025</v>
      </c>
      <c r="H550" s="44" t="n">
        <v>0</v>
      </c>
      <c r="I550" s="43" t="n">
        <v>2025</v>
      </c>
      <c r="J550" s="43" t="n">
        <v>3</v>
      </c>
      <c r="K550" s="44" t="n">
        <v>5393</v>
      </c>
      <c r="L550" s="43" t="n">
        <v>2025</v>
      </c>
      <c r="M550" s="43" t="n">
        <v>4</v>
      </c>
      <c r="N550" s="44" t="n">
        <v>4858.46</v>
      </c>
      <c r="O550" s="43" t="n">
        <v>2025</v>
      </c>
      <c r="P550" s="43" t="n">
        <v>7</v>
      </c>
      <c r="Q550" s="44" t="n">
        <v>5421</v>
      </c>
      <c r="R550" s="43" t="s">
        <v>651</v>
      </c>
      <c r="S550" s="43" t="s">
        <v>85</v>
      </c>
      <c r="T550" s="43" t="s">
        <v>633</v>
      </c>
      <c r="U550" s="43" t="s">
        <v>647</v>
      </c>
      <c r="V550" s="43" t="n">
        <v>16</v>
      </c>
      <c r="W550" s="43" t="n">
        <v>91</v>
      </c>
      <c r="X550" s="43" t="n">
        <v>107</v>
      </c>
      <c r="Y550" s="43" t="s">
        <v>635</v>
      </c>
      <c r="Z550" s="43" t="s">
        <v>636</v>
      </c>
    </row>
    <row r="551" customFormat="false" ht="15" hidden="false" customHeight="false" outlineLevel="0" collapsed="false">
      <c r="A551" s="43" t="n">
        <v>549</v>
      </c>
      <c r="B551" s="43" t="s">
        <v>981</v>
      </c>
      <c r="C551" s="43" t="s">
        <v>982</v>
      </c>
      <c r="D551" s="43" t="s">
        <v>982</v>
      </c>
      <c r="E551" s="43" t="s">
        <v>153</v>
      </c>
      <c r="F551" s="43" t="s">
        <v>62</v>
      </c>
      <c r="G551" s="43" t="n">
        <v>2025</v>
      </c>
      <c r="H551" s="44" t="n">
        <v>0</v>
      </c>
      <c r="I551" s="43" t="n">
        <v>2025</v>
      </c>
      <c r="J551" s="43" t="n">
        <v>4</v>
      </c>
      <c r="K551" s="44" t="n">
        <v>11237</v>
      </c>
      <c r="L551" s="43" t="n">
        <v>2025</v>
      </c>
      <c r="M551" s="43" t="n">
        <v>5</v>
      </c>
      <c r="N551" s="44" t="n">
        <v>10592</v>
      </c>
      <c r="O551" s="43" t="n">
        <v>2025</v>
      </c>
      <c r="P551" s="43" t="n">
        <v>8</v>
      </c>
      <c r="Q551" s="44" t="n">
        <v>11024.51</v>
      </c>
      <c r="R551" s="43" t="s">
        <v>651</v>
      </c>
      <c r="S551" s="43" t="s">
        <v>85</v>
      </c>
      <c r="T551" s="43" t="s">
        <v>633</v>
      </c>
      <c r="U551" s="43" t="s">
        <v>647</v>
      </c>
      <c r="V551" s="43" t="n">
        <v>20</v>
      </c>
      <c r="W551" s="43" t="n">
        <v>90</v>
      </c>
      <c r="X551" s="43" t="n">
        <v>110</v>
      </c>
      <c r="Y551" s="43" t="s">
        <v>635</v>
      </c>
      <c r="Z551" s="43" t="s">
        <v>636</v>
      </c>
    </row>
    <row r="552" customFormat="false" ht="15" hidden="false" customHeight="false" outlineLevel="0" collapsed="false">
      <c r="A552" s="43" t="n">
        <v>550</v>
      </c>
      <c r="B552" s="43" t="s">
        <v>981</v>
      </c>
      <c r="C552" s="43" t="s">
        <v>982</v>
      </c>
      <c r="D552" s="43" t="s">
        <v>982</v>
      </c>
      <c r="E552" s="43" t="s">
        <v>153</v>
      </c>
      <c r="F552" s="43" t="s">
        <v>62</v>
      </c>
      <c r="G552" s="43" t="n">
        <v>2025</v>
      </c>
      <c r="H552" s="44" t="n">
        <v>0</v>
      </c>
      <c r="I552" s="43" t="n">
        <v>2025</v>
      </c>
      <c r="J552" s="43" t="n">
        <v>5</v>
      </c>
      <c r="K552" s="44" t="n">
        <v>32693</v>
      </c>
      <c r="L552" s="43" t="n">
        <v>2025</v>
      </c>
      <c r="M552" s="43" t="n">
        <v>6</v>
      </c>
      <c r="N552" s="44" t="n">
        <v>30683</v>
      </c>
      <c r="O552" s="43" t="n">
        <v>2025</v>
      </c>
      <c r="P552" s="43" t="n">
        <v>9</v>
      </c>
      <c r="Q552" s="44" t="n">
        <v>33778.8990825688</v>
      </c>
      <c r="R552" s="43" t="s">
        <v>651</v>
      </c>
      <c r="S552" s="43" t="s">
        <v>85</v>
      </c>
      <c r="T552" s="43" t="s">
        <v>633</v>
      </c>
      <c r="U552" s="43" t="s">
        <v>647</v>
      </c>
      <c r="V552" s="43" t="n">
        <v>19</v>
      </c>
      <c r="W552" s="43" t="n">
        <v>92</v>
      </c>
      <c r="X552" s="43" t="n">
        <v>111</v>
      </c>
      <c r="Y552" s="43" t="s">
        <v>635</v>
      </c>
      <c r="Z552" s="43" t="s">
        <v>636</v>
      </c>
    </row>
    <row r="553" customFormat="false" ht="15" hidden="false" customHeight="false" outlineLevel="0" collapsed="false">
      <c r="A553" s="43" t="n">
        <v>551</v>
      </c>
      <c r="B553" s="43" t="s">
        <v>981</v>
      </c>
      <c r="C553" s="43" t="s">
        <v>982</v>
      </c>
      <c r="D553" s="43" t="s">
        <v>982</v>
      </c>
      <c r="E553" s="43" t="s">
        <v>153</v>
      </c>
      <c r="F553" s="43" t="s">
        <v>62</v>
      </c>
      <c r="G553" s="43" t="n">
        <v>2025</v>
      </c>
      <c r="H553" s="44" t="n">
        <v>0</v>
      </c>
      <c r="I553" s="43" t="n">
        <v>2025</v>
      </c>
      <c r="J553" s="43" t="n">
        <v>6</v>
      </c>
      <c r="K553" s="44" t="n">
        <v>34273</v>
      </c>
      <c r="L553" s="43" t="n">
        <v>2025</v>
      </c>
      <c r="M553" s="43" t="n">
        <v>7</v>
      </c>
      <c r="N553" s="44" t="n">
        <v>29305.88</v>
      </c>
      <c r="O553" s="43" t="n">
        <v>2025</v>
      </c>
      <c r="P553" s="43" t="n">
        <v>10</v>
      </c>
      <c r="Q553" s="44" t="n">
        <v>32622</v>
      </c>
      <c r="R553" s="43" t="s">
        <v>651</v>
      </c>
      <c r="S553" s="43" t="s">
        <v>85</v>
      </c>
      <c r="T553" s="43" t="s">
        <v>633</v>
      </c>
      <c r="U553" s="43" t="s">
        <v>647</v>
      </c>
      <c r="V553" s="43" t="n">
        <v>13</v>
      </c>
      <c r="W553" s="43" t="n">
        <v>90</v>
      </c>
      <c r="X553" s="43" t="n">
        <v>103</v>
      </c>
      <c r="Y553" s="43" t="s">
        <v>635</v>
      </c>
      <c r="Z553" s="43" t="s">
        <v>636</v>
      </c>
    </row>
    <row r="554" customFormat="false" ht="15" hidden="false" customHeight="false" outlineLevel="0" collapsed="false">
      <c r="A554" s="43" t="n">
        <v>552</v>
      </c>
      <c r="B554" s="43" t="s">
        <v>981</v>
      </c>
      <c r="C554" s="43" t="s">
        <v>982</v>
      </c>
      <c r="D554" s="43" t="s">
        <v>982</v>
      </c>
      <c r="E554" s="43" t="s">
        <v>153</v>
      </c>
      <c r="F554" s="43" t="s">
        <v>62</v>
      </c>
      <c r="G554" s="43" t="n">
        <v>2025</v>
      </c>
      <c r="H554" s="44" t="n">
        <v>0</v>
      </c>
      <c r="I554" s="43" t="n">
        <v>2025</v>
      </c>
      <c r="J554" s="43" t="n">
        <v>7</v>
      </c>
      <c r="K554" s="44" t="n">
        <v>21033</v>
      </c>
      <c r="L554" s="43" t="n">
        <v>2025</v>
      </c>
      <c r="M554" s="43" t="n">
        <v>8</v>
      </c>
      <c r="N554" s="44" t="n">
        <v>21927</v>
      </c>
      <c r="O554" s="43" t="n">
        <v>2025</v>
      </c>
      <c r="P554" s="43" t="n">
        <v>10</v>
      </c>
      <c r="Q554" s="44" t="n">
        <v>20835.9259259259</v>
      </c>
      <c r="R554" s="43" t="s">
        <v>651</v>
      </c>
      <c r="S554" s="43" t="s">
        <v>85</v>
      </c>
      <c r="T554" s="43" t="s">
        <v>633</v>
      </c>
      <c r="U554" s="43" t="s">
        <v>647</v>
      </c>
      <c r="V554" s="43" t="n">
        <v>30</v>
      </c>
      <c r="W554" s="43" t="n">
        <v>61</v>
      </c>
      <c r="X554" s="43" t="n">
        <v>91</v>
      </c>
      <c r="Y554" s="43" t="s">
        <v>635</v>
      </c>
      <c r="Z554" s="43" t="s">
        <v>636</v>
      </c>
    </row>
    <row r="555" customFormat="false" ht="15" hidden="false" customHeight="false" outlineLevel="0" collapsed="false">
      <c r="A555" s="43" t="n">
        <v>553</v>
      </c>
      <c r="B555" s="43" t="s">
        <v>981</v>
      </c>
      <c r="C555" s="43" t="s">
        <v>982</v>
      </c>
      <c r="D555" s="43" t="s">
        <v>982</v>
      </c>
      <c r="E555" s="43" t="s">
        <v>153</v>
      </c>
      <c r="F555" s="43" t="s">
        <v>62</v>
      </c>
      <c r="G555" s="43" t="n">
        <v>2025</v>
      </c>
      <c r="H555" s="44" t="n">
        <v>0</v>
      </c>
      <c r="I555" s="43" t="n">
        <v>2025</v>
      </c>
      <c r="J555" s="43" t="n">
        <v>8</v>
      </c>
      <c r="K555" s="44" t="n">
        <v>25050</v>
      </c>
      <c r="L555" s="43" t="n">
        <v>2025</v>
      </c>
      <c r="M555" s="43" t="n">
        <v>8</v>
      </c>
      <c r="N555" s="44" t="n">
        <v>25358</v>
      </c>
      <c r="O555" s="43" t="n">
        <v>2025</v>
      </c>
      <c r="P555" s="43" t="n">
        <v>11</v>
      </c>
      <c r="Q555" s="44" t="n">
        <v>24115</v>
      </c>
      <c r="R555" s="43" t="s">
        <v>651</v>
      </c>
      <c r="S555" s="43" t="s">
        <v>85</v>
      </c>
      <c r="T555" s="43" t="s">
        <v>633</v>
      </c>
      <c r="U555" s="43" t="s">
        <v>647</v>
      </c>
      <c r="V555" s="43" t="n">
        <v>2</v>
      </c>
      <c r="W555" s="43" t="n">
        <v>91</v>
      </c>
      <c r="X555" s="43" t="n">
        <v>93</v>
      </c>
      <c r="Y555" s="43" t="s">
        <v>635</v>
      </c>
      <c r="Z555" s="43" t="s">
        <v>636</v>
      </c>
    </row>
    <row r="556" customFormat="false" ht="15" hidden="false" customHeight="false" outlineLevel="0" collapsed="false">
      <c r="A556" s="43" t="n">
        <v>554</v>
      </c>
      <c r="B556" s="43" t="s">
        <v>981</v>
      </c>
      <c r="C556" s="43" t="s">
        <v>982</v>
      </c>
      <c r="D556" s="43" t="s">
        <v>982</v>
      </c>
      <c r="E556" s="43" t="s">
        <v>153</v>
      </c>
      <c r="F556" s="43" t="s">
        <v>62</v>
      </c>
      <c r="G556" s="43" t="n">
        <v>2025</v>
      </c>
      <c r="H556" s="44" t="n">
        <v>0</v>
      </c>
      <c r="I556" s="43" t="n">
        <v>2025</v>
      </c>
      <c r="J556" s="43" t="n">
        <v>9</v>
      </c>
      <c r="K556" s="44" t="n">
        <v>33890</v>
      </c>
      <c r="L556" s="43" t="n">
        <v>2025</v>
      </c>
      <c r="M556" s="43" t="n">
        <v>9</v>
      </c>
      <c r="N556" s="44" t="n">
        <v>33182.0183486239</v>
      </c>
      <c r="O556" s="43" t="n">
        <v>2025</v>
      </c>
      <c r="P556" s="43" t="n">
        <v>12</v>
      </c>
      <c r="Q556" s="44" t="n">
        <v>28287</v>
      </c>
      <c r="R556" s="43" t="s">
        <v>651</v>
      </c>
      <c r="S556" s="43" t="s">
        <v>85</v>
      </c>
      <c r="T556" s="43" t="s">
        <v>633</v>
      </c>
      <c r="U556" s="43" t="s">
        <v>647</v>
      </c>
      <c r="V556" s="43"/>
      <c r="W556" s="43" t="n">
        <v>94</v>
      </c>
      <c r="X556" s="43" t="n">
        <v>91</v>
      </c>
      <c r="Y556" s="43" t="s">
        <v>635</v>
      </c>
      <c r="Z556" s="43" t="s">
        <v>636</v>
      </c>
    </row>
    <row r="557" customFormat="false" ht="15" hidden="false" customHeight="false" outlineLevel="0" collapsed="false">
      <c r="A557" s="43" t="n">
        <v>555</v>
      </c>
      <c r="B557" s="43" t="s">
        <v>981</v>
      </c>
      <c r="C557" s="43" t="s">
        <v>982</v>
      </c>
      <c r="D557" s="43" t="s">
        <v>982</v>
      </c>
      <c r="E557" s="43" t="s">
        <v>153</v>
      </c>
      <c r="F557" s="43" t="s">
        <v>62</v>
      </c>
      <c r="G557" s="43" t="n">
        <v>2025</v>
      </c>
      <c r="H557" s="44" t="n">
        <v>0</v>
      </c>
      <c r="I557" s="43" t="n">
        <v>2025</v>
      </c>
      <c r="J557" s="43" t="n">
        <v>10</v>
      </c>
      <c r="K557" s="44" t="n">
        <v>24873</v>
      </c>
      <c r="L557" s="43" t="n">
        <v>2025</v>
      </c>
      <c r="M557" s="43" t="n">
        <v>10</v>
      </c>
      <c r="N557" s="44" t="n">
        <v>25194</v>
      </c>
      <c r="O557" s="43" t="n">
        <v>2026</v>
      </c>
      <c r="P557" s="43" t="n">
        <v>1</v>
      </c>
      <c r="Q557" s="44" t="n">
        <v>24387</v>
      </c>
      <c r="R557" s="43" t="s">
        <v>651</v>
      </c>
      <c r="S557" s="43" t="s">
        <v>85</v>
      </c>
      <c r="T557" s="43" t="s">
        <v>633</v>
      </c>
      <c r="U557" s="43" t="s">
        <v>647</v>
      </c>
      <c r="V557" s="43" t="n">
        <v>6</v>
      </c>
      <c r="W557" s="43" t="n">
        <v>90</v>
      </c>
      <c r="X557" s="43" t="n">
        <v>96</v>
      </c>
      <c r="Y557" s="43" t="s">
        <v>635</v>
      </c>
      <c r="Z557" s="43" t="s">
        <v>636</v>
      </c>
    </row>
    <row r="558" customFormat="false" ht="15" hidden="false" customHeight="false" outlineLevel="0" collapsed="false">
      <c r="A558" s="43" t="n">
        <v>556</v>
      </c>
      <c r="B558" s="43" t="s">
        <v>983</v>
      </c>
      <c r="C558" s="43" t="s">
        <v>984</v>
      </c>
      <c r="D558" s="43" t="s">
        <v>984</v>
      </c>
      <c r="E558" s="43" t="s">
        <v>153</v>
      </c>
      <c r="F558" s="43" t="s">
        <v>62</v>
      </c>
      <c r="G558" s="43" t="n">
        <v>2024</v>
      </c>
      <c r="H558" s="44" t="n">
        <v>0</v>
      </c>
      <c r="I558" s="43" t="n">
        <v>2024</v>
      </c>
      <c r="J558" s="43" t="n">
        <v>9</v>
      </c>
      <c r="K558" s="44" t="n">
        <v>52744</v>
      </c>
      <c r="L558" s="43" t="n">
        <v>2024</v>
      </c>
      <c r="M558" s="43" t="n">
        <v>10</v>
      </c>
      <c r="N558" s="44" t="n">
        <v>48730</v>
      </c>
      <c r="O558" s="43" t="n">
        <v>2025</v>
      </c>
      <c r="P558" s="43" t="n">
        <v>1</v>
      </c>
      <c r="Q558" s="44" t="n">
        <v>43045</v>
      </c>
      <c r="R558" s="43" t="s">
        <v>687</v>
      </c>
      <c r="S558" s="43" t="s">
        <v>83</v>
      </c>
      <c r="T558" s="43" t="s">
        <v>641</v>
      </c>
      <c r="U558" s="43" t="s">
        <v>647</v>
      </c>
      <c r="V558" s="43" t="n">
        <v>29</v>
      </c>
      <c r="W558" s="43" t="n">
        <v>92</v>
      </c>
      <c r="X558" s="43" t="n">
        <v>121</v>
      </c>
      <c r="Y558" s="43" t="s">
        <v>635</v>
      </c>
      <c r="Z558" s="43" t="s">
        <v>636</v>
      </c>
    </row>
    <row r="559" customFormat="false" ht="15" hidden="false" customHeight="false" outlineLevel="0" collapsed="false">
      <c r="A559" s="43" t="n">
        <v>557</v>
      </c>
      <c r="B559" s="43" t="s">
        <v>985</v>
      </c>
      <c r="C559" s="43" t="s">
        <v>264</v>
      </c>
      <c r="D559" s="43" t="s">
        <v>264</v>
      </c>
      <c r="E559" s="43" t="s">
        <v>158</v>
      </c>
      <c r="F559" s="43" t="s">
        <v>61</v>
      </c>
      <c r="G559" s="43" t="n">
        <v>2025</v>
      </c>
      <c r="H559" s="44" t="n">
        <v>0</v>
      </c>
      <c r="I559" s="43" t="n">
        <v>2025</v>
      </c>
      <c r="J559" s="43" t="n">
        <v>10</v>
      </c>
      <c r="K559" s="44" t="n">
        <v>20759</v>
      </c>
      <c r="L559" s="43" t="n">
        <v>2025</v>
      </c>
      <c r="M559" s="43" t="n">
        <v>12</v>
      </c>
      <c r="N559" s="44" t="n">
        <v>20759</v>
      </c>
      <c r="O559" s="43" t="n">
        <v>2026</v>
      </c>
      <c r="P559" s="43" t="n">
        <v>3</v>
      </c>
      <c r="Q559" s="44" t="n">
        <v>20759</v>
      </c>
      <c r="R559" s="43" t="s">
        <v>646</v>
      </c>
      <c r="S559" s="43" t="s">
        <v>83</v>
      </c>
      <c r="T559" s="43" t="s">
        <v>641</v>
      </c>
      <c r="U559" s="43" t="s">
        <v>660</v>
      </c>
      <c r="V559" s="43" t="n">
        <v>66</v>
      </c>
      <c r="W559" s="43" t="n">
        <v>70</v>
      </c>
      <c r="X559" s="43" t="n">
        <v>136</v>
      </c>
      <c r="Y559" s="43" t="s">
        <v>635</v>
      </c>
      <c r="Z559" s="43" t="s">
        <v>636</v>
      </c>
    </row>
    <row r="560" customFormat="false" ht="15" hidden="false" customHeight="false" outlineLevel="0" collapsed="false">
      <c r="A560" s="43" t="n">
        <v>558</v>
      </c>
      <c r="B560" s="43" t="s">
        <v>985</v>
      </c>
      <c r="C560" s="43" t="s">
        <v>264</v>
      </c>
      <c r="D560" s="43" t="s">
        <v>264</v>
      </c>
      <c r="E560" s="43" t="s">
        <v>158</v>
      </c>
      <c r="F560" s="43" t="s">
        <v>61</v>
      </c>
      <c r="G560" s="43" t="n">
        <v>2025</v>
      </c>
      <c r="H560" s="44" t="n">
        <v>0</v>
      </c>
      <c r="I560" s="43" t="n">
        <v>2025</v>
      </c>
      <c r="J560" s="43" t="n">
        <v>11</v>
      </c>
      <c r="K560" s="44" t="n">
        <v>42800</v>
      </c>
      <c r="L560" s="43" t="n">
        <v>2025</v>
      </c>
      <c r="M560" s="43" t="n">
        <v>12</v>
      </c>
      <c r="N560" s="44" t="n">
        <v>42800</v>
      </c>
      <c r="O560" s="43" t="n">
        <v>2026</v>
      </c>
      <c r="P560" s="43" t="n">
        <v>3</v>
      </c>
      <c r="Q560" s="44" t="n">
        <v>42800</v>
      </c>
      <c r="R560" s="43" t="s">
        <v>646</v>
      </c>
      <c r="S560" s="43" t="s">
        <v>83</v>
      </c>
      <c r="T560" s="43" t="s">
        <v>641</v>
      </c>
      <c r="U560" s="43" t="s">
        <v>660</v>
      </c>
      <c r="V560" s="43" t="n">
        <v>34</v>
      </c>
      <c r="W560" s="43" t="n">
        <v>70</v>
      </c>
      <c r="X560" s="43" t="n">
        <v>104</v>
      </c>
      <c r="Y560" s="43" t="s">
        <v>635</v>
      </c>
      <c r="Z560" s="43" t="s">
        <v>636</v>
      </c>
    </row>
    <row r="561" customFormat="false" ht="15" hidden="false" customHeight="false" outlineLevel="0" collapsed="false">
      <c r="A561" s="43" t="n">
        <v>559</v>
      </c>
      <c r="B561" s="43" t="s">
        <v>985</v>
      </c>
      <c r="C561" s="43" t="s">
        <v>264</v>
      </c>
      <c r="D561" s="43" t="s">
        <v>264</v>
      </c>
      <c r="E561" s="43" t="s">
        <v>158</v>
      </c>
      <c r="F561" s="43" t="s">
        <v>61</v>
      </c>
      <c r="G561" s="43" t="n">
        <v>2025</v>
      </c>
      <c r="H561" s="44" t="n">
        <v>0</v>
      </c>
      <c r="I561" s="43" t="n">
        <v>2025</v>
      </c>
      <c r="J561" s="43" t="n">
        <v>12</v>
      </c>
      <c r="K561" s="44" t="n">
        <v>16723</v>
      </c>
      <c r="L561" s="43" t="n">
        <v>2026</v>
      </c>
      <c r="M561" s="43" t="n">
        <v>3</v>
      </c>
      <c r="N561" s="44" t="n">
        <v>16723</v>
      </c>
      <c r="O561" s="43" t="n">
        <v>2026</v>
      </c>
      <c r="P561" s="43" t="n">
        <v>4</v>
      </c>
      <c r="Q561" s="44" t="n">
        <v>16723</v>
      </c>
      <c r="R561" s="43" t="s">
        <v>646</v>
      </c>
      <c r="S561" s="43" t="s">
        <v>83</v>
      </c>
      <c r="T561" s="43" t="s">
        <v>641</v>
      </c>
      <c r="U561" s="43" t="s">
        <v>660</v>
      </c>
      <c r="V561" s="43" t="n">
        <v>89</v>
      </c>
      <c r="W561" s="43" t="n">
        <v>2</v>
      </c>
      <c r="X561" s="43" t="n">
        <v>91</v>
      </c>
      <c r="Y561" s="43" t="s">
        <v>635</v>
      </c>
      <c r="Z561" s="43" t="s">
        <v>636</v>
      </c>
    </row>
    <row r="562" customFormat="false" ht="15" hidden="false" customHeight="false" outlineLevel="0" collapsed="false">
      <c r="A562" s="43" t="n">
        <v>560</v>
      </c>
      <c r="B562" s="43" t="s">
        <v>986</v>
      </c>
      <c r="C562" s="43" t="s">
        <v>987</v>
      </c>
      <c r="D562" s="43" t="s">
        <v>987</v>
      </c>
      <c r="E562" s="43" t="s">
        <v>158</v>
      </c>
      <c r="F562" s="43" t="s">
        <v>62</v>
      </c>
      <c r="G562" s="43" t="n">
        <v>2023</v>
      </c>
      <c r="H562" s="44" t="n">
        <v>52279</v>
      </c>
      <c r="I562" s="43" t="n">
        <v>2023</v>
      </c>
      <c r="J562" s="43" t="n">
        <v>9</v>
      </c>
      <c r="K562" s="44" t="n">
        <v>11756</v>
      </c>
      <c r="L562" s="43" t="n">
        <v>2023</v>
      </c>
      <c r="M562" s="43" t="n">
        <v>10</v>
      </c>
      <c r="N562" s="44" t="n">
        <v>11644</v>
      </c>
      <c r="O562" s="43" t="n">
        <v>2023</v>
      </c>
      <c r="P562" s="43" t="n">
        <v>12</v>
      </c>
      <c r="Q562" s="44" t="n">
        <v>11644</v>
      </c>
      <c r="R562" s="43" t="s">
        <v>687</v>
      </c>
      <c r="S562" s="43" t="s">
        <v>83</v>
      </c>
      <c r="T562" s="43" t="s">
        <v>641</v>
      </c>
      <c r="U562" s="43" t="s">
        <v>642</v>
      </c>
      <c r="V562" s="43" t="n">
        <v>9</v>
      </c>
      <c r="W562" s="43" t="n">
        <v>64</v>
      </c>
      <c r="X562" s="43" t="n">
        <v>73</v>
      </c>
      <c r="Y562" s="43" t="s">
        <v>635</v>
      </c>
      <c r="Z562" s="43" t="s">
        <v>636</v>
      </c>
    </row>
    <row r="563" customFormat="false" ht="15" hidden="false" customHeight="false" outlineLevel="0" collapsed="false">
      <c r="A563" s="43" t="n">
        <v>561</v>
      </c>
      <c r="B563" s="43" t="s">
        <v>986</v>
      </c>
      <c r="C563" s="43" t="s">
        <v>987</v>
      </c>
      <c r="D563" s="43" t="s">
        <v>987</v>
      </c>
      <c r="E563" s="43" t="s">
        <v>158</v>
      </c>
      <c r="F563" s="43" t="s">
        <v>62</v>
      </c>
      <c r="G563" s="43" t="n">
        <v>2023</v>
      </c>
      <c r="H563" s="44" t="n">
        <v>106671</v>
      </c>
      <c r="I563" s="43" t="n">
        <v>2023</v>
      </c>
      <c r="J563" s="43" t="n">
        <v>10</v>
      </c>
      <c r="K563" s="44" t="n">
        <v>16248.2280135872</v>
      </c>
      <c r="L563" s="43" t="n">
        <v>2023</v>
      </c>
      <c r="M563" s="43" t="n">
        <v>11</v>
      </c>
      <c r="N563" s="44" t="n">
        <v>15096.472621</v>
      </c>
      <c r="O563" s="43" t="n">
        <v>2024</v>
      </c>
      <c r="P563" s="43" t="n">
        <v>2</v>
      </c>
      <c r="Q563" s="44" t="n">
        <v>15405</v>
      </c>
      <c r="R563" s="43" t="s">
        <v>687</v>
      </c>
      <c r="S563" s="43" t="s">
        <v>83</v>
      </c>
      <c r="T563" s="43" t="s">
        <v>641</v>
      </c>
      <c r="U563" s="43" t="s">
        <v>642</v>
      </c>
      <c r="V563" s="43" t="n">
        <v>32</v>
      </c>
      <c r="W563" s="43" t="n">
        <v>75</v>
      </c>
      <c r="X563" s="43" t="n">
        <v>107</v>
      </c>
      <c r="Y563" s="43" t="s">
        <v>635</v>
      </c>
      <c r="Z563" s="43" t="s">
        <v>636</v>
      </c>
    </row>
    <row r="564" customFormat="false" ht="15" hidden="false" customHeight="false" outlineLevel="0" collapsed="false">
      <c r="A564" s="43" t="n">
        <v>562</v>
      </c>
      <c r="B564" s="43" t="s">
        <v>986</v>
      </c>
      <c r="C564" s="43" t="s">
        <v>987</v>
      </c>
      <c r="D564" s="43" t="s">
        <v>987</v>
      </c>
      <c r="E564" s="43" t="s">
        <v>158</v>
      </c>
      <c r="F564" s="43" t="s">
        <v>62</v>
      </c>
      <c r="G564" s="43" t="n">
        <v>2023</v>
      </c>
      <c r="H564" s="44" t="n">
        <v>71041.96</v>
      </c>
      <c r="I564" s="43" t="n">
        <v>2023</v>
      </c>
      <c r="J564" s="43" t="n">
        <v>11</v>
      </c>
      <c r="K564" s="44" t="n">
        <v>29518.3622508269</v>
      </c>
      <c r="L564" s="43" t="n">
        <v>2023</v>
      </c>
      <c r="M564" s="43" t="n">
        <v>12</v>
      </c>
      <c r="N564" s="44" t="n">
        <v>27425.952553</v>
      </c>
      <c r="O564" s="43" t="n">
        <v>2024</v>
      </c>
      <c r="P564" s="43" t="n">
        <v>2</v>
      </c>
      <c r="Q564" s="44" t="n">
        <v>27986</v>
      </c>
      <c r="R564" s="43" t="s">
        <v>687</v>
      </c>
      <c r="S564" s="43" t="s">
        <v>83</v>
      </c>
      <c r="T564" s="43" t="s">
        <v>641</v>
      </c>
      <c r="U564" s="43" t="s">
        <v>642</v>
      </c>
      <c r="V564" s="43" t="n">
        <v>11</v>
      </c>
      <c r="W564" s="43" t="n">
        <v>68</v>
      </c>
      <c r="X564" s="43" t="n">
        <v>79</v>
      </c>
      <c r="Y564" s="43" t="s">
        <v>635</v>
      </c>
      <c r="Z564" s="43" t="s">
        <v>636</v>
      </c>
    </row>
    <row r="565" customFormat="false" ht="15" hidden="false" customHeight="false" outlineLevel="0" collapsed="false">
      <c r="A565" s="43" t="n">
        <v>563</v>
      </c>
      <c r="B565" s="43" t="s">
        <v>986</v>
      </c>
      <c r="C565" s="43" t="s">
        <v>987</v>
      </c>
      <c r="D565" s="43" t="s">
        <v>987</v>
      </c>
      <c r="E565" s="43" t="s">
        <v>158</v>
      </c>
      <c r="F565" s="43" t="s">
        <v>62</v>
      </c>
      <c r="G565" s="43" t="n">
        <v>2023</v>
      </c>
      <c r="H565" s="44" t="n">
        <v>112739</v>
      </c>
      <c r="I565" s="43" t="n">
        <v>2023</v>
      </c>
      <c r="J565" s="43" t="n">
        <v>12</v>
      </c>
      <c r="K565" s="44" t="n">
        <v>71027</v>
      </c>
      <c r="L565" s="43" t="n">
        <v>2024</v>
      </c>
      <c r="M565" s="43" t="n">
        <v>1</v>
      </c>
      <c r="N565" s="44" t="n">
        <v>67339</v>
      </c>
      <c r="O565" s="43" t="n">
        <v>2024</v>
      </c>
      <c r="P565" s="43" t="n">
        <v>3</v>
      </c>
      <c r="Q565" s="44" t="n">
        <v>67339</v>
      </c>
      <c r="R565" s="43" t="s">
        <v>687</v>
      </c>
      <c r="S565" s="43" t="s">
        <v>83</v>
      </c>
      <c r="T565" s="43" t="s">
        <v>641</v>
      </c>
      <c r="U565" s="43" t="s">
        <v>642</v>
      </c>
      <c r="V565" s="43" t="n">
        <v>12</v>
      </c>
      <c r="W565" s="43" t="n">
        <v>60</v>
      </c>
      <c r="X565" s="43" t="n">
        <v>72</v>
      </c>
      <c r="Y565" s="43" t="s">
        <v>635</v>
      </c>
      <c r="Z565" s="43" t="s">
        <v>636</v>
      </c>
    </row>
    <row r="566" customFormat="false" ht="15" hidden="false" customHeight="false" outlineLevel="0" collapsed="false">
      <c r="A566" s="43" t="n">
        <v>564</v>
      </c>
      <c r="B566" s="43" t="s">
        <v>986</v>
      </c>
      <c r="C566" s="43" t="s">
        <v>987</v>
      </c>
      <c r="D566" s="43" t="s">
        <v>987</v>
      </c>
      <c r="E566" s="43" t="s">
        <v>158</v>
      </c>
      <c r="F566" s="43" t="s">
        <v>62</v>
      </c>
      <c r="G566" s="43" t="n">
        <v>2024</v>
      </c>
      <c r="H566" s="44" t="n">
        <v>71918</v>
      </c>
      <c r="I566" s="43" t="n">
        <v>2024</v>
      </c>
      <c r="J566" s="43" t="n">
        <v>1</v>
      </c>
      <c r="K566" s="44" t="n">
        <v>31925</v>
      </c>
      <c r="L566" s="43" t="n">
        <v>2024</v>
      </c>
      <c r="M566" s="43" t="n">
        <v>2</v>
      </c>
      <c r="N566" s="44" t="n">
        <v>24421</v>
      </c>
      <c r="O566" s="43" t="n">
        <v>2024</v>
      </c>
      <c r="P566" s="43" t="n">
        <v>4</v>
      </c>
      <c r="Q566" s="44" t="n">
        <v>24421</v>
      </c>
      <c r="R566" s="43" t="s">
        <v>687</v>
      </c>
      <c r="S566" s="43" t="s">
        <v>83</v>
      </c>
      <c r="T566" s="43" t="s">
        <v>641</v>
      </c>
      <c r="U566" s="43" t="s">
        <v>642</v>
      </c>
      <c r="V566" s="43" t="n">
        <v>19</v>
      </c>
      <c r="W566" s="43" t="n">
        <v>74</v>
      </c>
      <c r="X566" s="43" t="n">
        <v>93</v>
      </c>
      <c r="Y566" s="43" t="s">
        <v>635</v>
      </c>
      <c r="Z566" s="43" t="s">
        <v>636</v>
      </c>
    </row>
    <row r="567" customFormat="false" ht="15" hidden="false" customHeight="false" outlineLevel="0" collapsed="false">
      <c r="A567" s="43" t="n">
        <v>565</v>
      </c>
      <c r="B567" s="43" t="s">
        <v>986</v>
      </c>
      <c r="C567" s="43" t="s">
        <v>987</v>
      </c>
      <c r="D567" s="43" t="s">
        <v>987</v>
      </c>
      <c r="E567" s="43" t="s">
        <v>158</v>
      </c>
      <c r="F567" s="43" t="s">
        <v>62</v>
      </c>
      <c r="G567" s="43" t="n">
        <v>2024</v>
      </c>
      <c r="H567" s="44" t="n">
        <v>47364.0816326531</v>
      </c>
      <c r="I567" s="43" t="n">
        <v>2024</v>
      </c>
      <c r="J567" s="43" t="n">
        <v>7</v>
      </c>
      <c r="K567" s="44" t="n">
        <v>43869</v>
      </c>
      <c r="L567" s="43" t="n">
        <v>2024</v>
      </c>
      <c r="M567" s="43" t="n">
        <v>7</v>
      </c>
      <c r="N567" s="44" t="n">
        <v>41088</v>
      </c>
      <c r="O567" s="43" t="n">
        <v>2024</v>
      </c>
      <c r="P567" s="43" t="n">
        <v>10</v>
      </c>
      <c r="Q567" s="44" t="n">
        <v>38146</v>
      </c>
      <c r="R567" s="43" t="s">
        <v>687</v>
      </c>
      <c r="S567" s="43" t="s">
        <v>83</v>
      </c>
      <c r="T567" s="43" t="s">
        <v>641</v>
      </c>
      <c r="U567" s="43" t="s">
        <v>642</v>
      </c>
      <c r="V567" s="43" t="n">
        <v>0</v>
      </c>
      <c r="W567" s="43" t="n">
        <v>74</v>
      </c>
      <c r="X567" s="43" t="n">
        <v>74</v>
      </c>
      <c r="Y567" s="43" t="s">
        <v>635</v>
      </c>
      <c r="Z567" s="43" t="s">
        <v>636</v>
      </c>
    </row>
    <row r="568" customFormat="false" ht="15" hidden="false" customHeight="false" outlineLevel="0" collapsed="false">
      <c r="A568" s="43" t="n">
        <v>566</v>
      </c>
      <c r="B568" s="43" t="s">
        <v>988</v>
      </c>
      <c r="C568" s="43" t="s">
        <v>989</v>
      </c>
      <c r="D568" s="43" t="s">
        <v>989</v>
      </c>
      <c r="E568" s="43" t="s">
        <v>158</v>
      </c>
      <c r="F568" s="43" t="s">
        <v>61</v>
      </c>
      <c r="G568" s="43" t="n">
        <v>2025</v>
      </c>
      <c r="H568" s="44" t="n">
        <v>0</v>
      </c>
      <c r="I568" s="43" t="n">
        <v>2025</v>
      </c>
      <c r="J568" s="43" t="n">
        <v>10</v>
      </c>
      <c r="K568" s="44" t="n">
        <v>29716</v>
      </c>
      <c r="L568" s="43" t="n">
        <v>2025</v>
      </c>
      <c r="M568" s="43" t="n">
        <v>10</v>
      </c>
      <c r="N568" s="44" t="n">
        <v>29716</v>
      </c>
      <c r="O568" s="43" t="n">
        <v>2026</v>
      </c>
      <c r="P568" s="43" t="n">
        <v>1</v>
      </c>
      <c r="Q568" s="44" t="n">
        <v>29716</v>
      </c>
      <c r="R568" s="43" t="s">
        <v>651</v>
      </c>
      <c r="S568" s="43" t="s">
        <v>85</v>
      </c>
      <c r="T568" s="43" t="s">
        <v>633</v>
      </c>
      <c r="U568" s="43" t="s">
        <v>682</v>
      </c>
      <c r="V568" s="43" t="n">
        <v>6</v>
      </c>
      <c r="W568" s="43" t="n">
        <v>69</v>
      </c>
      <c r="X568" s="43" t="n">
        <v>75</v>
      </c>
      <c r="Y568" s="43" t="s">
        <v>635</v>
      </c>
      <c r="Z568" s="43" t="s">
        <v>636</v>
      </c>
    </row>
    <row r="569" customFormat="false" ht="15" hidden="false" customHeight="false" outlineLevel="0" collapsed="false">
      <c r="A569" s="43" t="n">
        <v>567</v>
      </c>
      <c r="B569" s="43" t="s">
        <v>990</v>
      </c>
      <c r="C569" s="43" t="s">
        <v>991</v>
      </c>
      <c r="D569" s="43" t="s">
        <v>992</v>
      </c>
      <c r="E569" s="43" t="s">
        <v>175</v>
      </c>
      <c r="F569" s="43" t="s">
        <v>76</v>
      </c>
      <c r="G569" s="43" t="n">
        <v>2023</v>
      </c>
      <c r="H569" s="44" t="n">
        <v>0</v>
      </c>
      <c r="I569" s="43" t="n">
        <v>2023</v>
      </c>
      <c r="J569" s="43" t="n">
        <v>6</v>
      </c>
      <c r="K569" s="44" t="n">
        <v>43371</v>
      </c>
      <c r="L569" s="43" t="n">
        <v>2023</v>
      </c>
      <c r="M569" s="43" t="n">
        <v>6</v>
      </c>
      <c r="N569" s="44" t="n">
        <v>43371</v>
      </c>
      <c r="O569" s="43" t="n">
        <v>2023</v>
      </c>
      <c r="P569" s="43" t="n">
        <v>10</v>
      </c>
      <c r="Q569" s="44" t="n">
        <v>43371</v>
      </c>
      <c r="R569" s="43" t="s">
        <v>687</v>
      </c>
      <c r="S569" s="43" t="s">
        <v>83</v>
      </c>
      <c r="T569" s="43" t="s">
        <v>641</v>
      </c>
      <c r="U569" s="43" t="s">
        <v>647</v>
      </c>
      <c r="V569" s="43" t="n">
        <v>0</v>
      </c>
      <c r="W569" s="43" t="n">
        <v>125</v>
      </c>
      <c r="X569" s="43" t="n">
        <v>125</v>
      </c>
      <c r="Y569" s="43" t="s">
        <v>635</v>
      </c>
      <c r="Z569" s="43" t="s">
        <v>636</v>
      </c>
    </row>
    <row r="570" customFormat="false" ht="15" hidden="false" customHeight="false" outlineLevel="0" collapsed="false">
      <c r="A570" s="43" t="n">
        <v>568</v>
      </c>
      <c r="B570" s="43" t="s">
        <v>993</v>
      </c>
      <c r="C570" s="43" t="s">
        <v>994</v>
      </c>
      <c r="D570" s="43" t="s">
        <v>995</v>
      </c>
      <c r="E570" s="43" t="s">
        <v>175</v>
      </c>
      <c r="F570" s="43" t="s">
        <v>76</v>
      </c>
      <c r="G570" s="43" t="n">
        <v>2023</v>
      </c>
      <c r="H570" s="44" t="n">
        <v>0</v>
      </c>
      <c r="I570" s="43" t="n">
        <v>2023</v>
      </c>
      <c r="J570" s="43" t="n">
        <v>3</v>
      </c>
      <c r="K570" s="44" t="n">
        <v>46805</v>
      </c>
      <c r="L570" s="43" t="n">
        <v>2023</v>
      </c>
      <c r="M570" s="43" t="n">
        <v>6</v>
      </c>
      <c r="N570" s="44" t="n">
        <v>46805</v>
      </c>
      <c r="O570" s="43" t="n">
        <v>2023</v>
      </c>
      <c r="P570" s="43" t="n">
        <v>6</v>
      </c>
      <c r="Q570" s="44" t="n">
        <v>46805</v>
      </c>
      <c r="R570" s="43" t="s">
        <v>703</v>
      </c>
      <c r="S570" s="43" t="s">
        <v>83</v>
      </c>
      <c r="T570" s="43" t="s">
        <v>641</v>
      </c>
      <c r="U570" s="43" t="s">
        <v>647</v>
      </c>
      <c r="V570" s="43" t="n">
        <v>83</v>
      </c>
      <c r="W570" s="43" t="n">
        <v>0</v>
      </c>
      <c r="X570" s="43" t="n">
        <v>83</v>
      </c>
      <c r="Y570" s="43" t="s">
        <v>635</v>
      </c>
      <c r="Z570" s="43" t="s">
        <v>636</v>
      </c>
    </row>
    <row r="571" customFormat="false" ht="15" hidden="false" customHeight="false" outlineLevel="0" collapsed="false">
      <c r="A571" s="43" t="n">
        <v>569</v>
      </c>
      <c r="B571" s="43" t="s">
        <v>993</v>
      </c>
      <c r="C571" s="43" t="s">
        <v>994</v>
      </c>
      <c r="D571" s="43" t="s">
        <v>995</v>
      </c>
      <c r="E571" s="43" t="s">
        <v>175</v>
      </c>
      <c r="F571" s="43" t="s">
        <v>76</v>
      </c>
      <c r="G571" s="43" t="n">
        <v>2023</v>
      </c>
      <c r="H571" s="44" t="n">
        <v>0</v>
      </c>
      <c r="I571" s="43" t="n">
        <v>2023</v>
      </c>
      <c r="J571" s="43" t="n">
        <v>3</v>
      </c>
      <c r="K571" s="44" t="n">
        <v>46805</v>
      </c>
      <c r="L571" s="43" t="n">
        <v>2023</v>
      </c>
      <c r="M571" s="43" t="n">
        <v>9</v>
      </c>
      <c r="N571" s="44" t="n">
        <v>46805</v>
      </c>
      <c r="O571" s="43" t="n">
        <v>2023</v>
      </c>
      <c r="P571" s="43" t="n">
        <v>9</v>
      </c>
      <c r="Q571" s="44" t="n">
        <v>46805</v>
      </c>
      <c r="R571" s="43" t="s">
        <v>703</v>
      </c>
      <c r="S571" s="43" t="s">
        <v>83</v>
      </c>
      <c r="T571" s="43" t="s">
        <v>641</v>
      </c>
      <c r="U571" s="43" t="s">
        <v>647</v>
      </c>
      <c r="V571" s="43" t="n">
        <v>178</v>
      </c>
      <c r="W571" s="43" t="n">
        <v>0</v>
      </c>
      <c r="X571" s="43" t="n">
        <v>178</v>
      </c>
      <c r="Y571" s="43" t="s">
        <v>635</v>
      </c>
      <c r="Z571" s="43" t="s">
        <v>636</v>
      </c>
    </row>
    <row r="572" customFormat="false" ht="15" hidden="false" customHeight="false" outlineLevel="0" collapsed="false">
      <c r="A572" s="43" t="n">
        <v>570</v>
      </c>
      <c r="B572" s="43" t="s">
        <v>993</v>
      </c>
      <c r="C572" s="43" t="s">
        <v>994</v>
      </c>
      <c r="D572" s="43" t="s">
        <v>995</v>
      </c>
      <c r="E572" s="43" t="s">
        <v>175</v>
      </c>
      <c r="F572" s="43" t="s">
        <v>76</v>
      </c>
      <c r="G572" s="43" t="n">
        <v>2023</v>
      </c>
      <c r="H572" s="44" t="n">
        <v>0</v>
      </c>
      <c r="I572" s="43" t="n">
        <v>2023</v>
      </c>
      <c r="J572" s="43" t="n">
        <v>7</v>
      </c>
      <c r="K572" s="44" t="n">
        <v>29854</v>
      </c>
      <c r="L572" s="43" t="n">
        <v>2023</v>
      </c>
      <c r="M572" s="43" t="n">
        <v>7</v>
      </c>
      <c r="N572" s="44" t="n">
        <v>29854</v>
      </c>
      <c r="O572" s="43" t="n">
        <v>2023</v>
      </c>
      <c r="P572" s="43" t="n">
        <v>8</v>
      </c>
      <c r="Q572" s="44" t="n">
        <v>29854</v>
      </c>
      <c r="R572" s="43" t="s">
        <v>703</v>
      </c>
      <c r="S572" s="43" t="s">
        <v>83</v>
      </c>
      <c r="T572" s="43" t="s">
        <v>641</v>
      </c>
      <c r="U572" s="43" t="s">
        <v>647</v>
      </c>
      <c r="V572" s="43" t="n">
        <v>0</v>
      </c>
      <c r="W572" s="43" t="n">
        <v>41</v>
      </c>
      <c r="X572" s="43" t="n">
        <v>41</v>
      </c>
      <c r="Y572" s="43" t="s">
        <v>635</v>
      </c>
      <c r="Z572" s="43" t="s">
        <v>636</v>
      </c>
    </row>
    <row r="573" customFormat="false" ht="15" hidden="false" customHeight="false" outlineLevel="0" collapsed="false">
      <c r="A573" s="43" t="n">
        <v>571</v>
      </c>
      <c r="B573" s="43" t="s">
        <v>993</v>
      </c>
      <c r="C573" s="43" t="s">
        <v>994</v>
      </c>
      <c r="D573" s="43" t="s">
        <v>995</v>
      </c>
      <c r="E573" s="43" t="s">
        <v>175</v>
      </c>
      <c r="F573" s="43" t="s">
        <v>76</v>
      </c>
      <c r="G573" s="43" t="n">
        <v>2023</v>
      </c>
      <c r="H573" s="44" t="n">
        <v>0</v>
      </c>
      <c r="I573" s="43" t="n">
        <v>2023</v>
      </c>
      <c r="J573" s="43" t="n">
        <v>8</v>
      </c>
      <c r="K573" s="44" t="n">
        <v>29854</v>
      </c>
      <c r="L573" s="43" t="n">
        <v>2023</v>
      </c>
      <c r="M573" s="43" t="n">
        <v>12</v>
      </c>
      <c r="N573" s="44" t="n">
        <v>29854</v>
      </c>
      <c r="O573" s="43" t="n">
        <v>2023</v>
      </c>
      <c r="P573" s="43" t="n">
        <v>12</v>
      </c>
      <c r="Q573" s="44" t="n">
        <v>29854</v>
      </c>
      <c r="R573" s="43" t="s">
        <v>703</v>
      </c>
      <c r="S573" s="43" t="s">
        <v>83</v>
      </c>
      <c r="T573" s="43" t="s">
        <v>641</v>
      </c>
      <c r="U573" s="43" t="s">
        <v>647</v>
      </c>
      <c r="V573" s="43" t="n">
        <v>130</v>
      </c>
      <c r="W573" s="43" t="n">
        <v>0</v>
      </c>
      <c r="X573" s="43" t="n">
        <v>130</v>
      </c>
      <c r="Y573" s="43" t="s">
        <v>635</v>
      </c>
      <c r="Z573" s="43" t="s">
        <v>636</v>
      </c>
    </row>
    <row r="574" customFormat="false" ht="15" hidden="false" customHeight="false" outlineLevel="0" collapsed="false">
      <c r="A574" s="43" t="n">
        <v>572</v>
      </c>
      <c r="B574" s="43" t="s">
        <v>996</v>
      </c>
      <c r="C574" s="43" t="s">
        <v>997</v>
      </c>
      <c r="D574" s="43" t="s">
        <v>997</v>
      </c>
      <c r="E574" s="43" t="s">
        <v>998</v>
      </c>
      <c r="F574" s="43" t="s">
        <v>61</v>
      </c>
      <c r="G574" s="43" t="n">
        <v>2025</v>
      </c>
      <c r="H574" s="44" t="n">
        <v>0</v>
      </c>
      <c r="I574" s="43" t="n">
        <v>2025</v>
      </c>
      <c r="J574" s="43" t="n">
        <v>3</v>
      </c>
      <c r="K574" s="44" t="n">
        <v>59500</v>
      </c>
      <c r="L574" s="43" t="n">
        <v>2025</v>
      </c>
      <c r="M574" s="43" t="n">
        <v>4</v>
      </c>
      <c r="N574" s="44" t="n">
        <v>110077</v>
      </c>
      <c r="O574" s="43" t="n">
        <v>2025</v>
      </c>
      <c r="P574" s="43" t="n">
        <v>4</v>
      </c>
      <c r="Q574" s="44" t="n">
        <v>110077</v>
      </c>
      <c r="R574" s="43" t="s">
        <v>651</v>
      </c>
      <c r="S574" s="43" t="s">
        <v>85</v>
      </c>
      <c r="T574" s="43" t="s">
        <v>633</v>
      </c>
      <c r="U574" s="43" t="s">
        <v>634</v>
      </c>
      <c r="V574" s="43" t="n">
        <v>4</v>
      </c>
      <c r="W574" s="43" t="n">
        <v>4</v>
      </c>
      <c r="X574" s="43" t="n">
        <v>8</v>
      </c>
      <c r="Y574" s="43" t="s">
        <v>635</v>
      </c>
      <c r="Z574" s="43" t="s">
        <v>636</v>
      </c>
    </row>
    <row r="575" customFormat="false" ht="15" hidden="false" customHeight="false" outlineLevel="0" collapsed="false">
      <c r="A575" s="43" t="n">
        <v>573</v>
      </c>
      <c r="B575" s="43" t="s">
        <v>996</v>
      </c>
      <c r="C575" s="43" t="s">
        <v>997</v>
      </c>
      <c r="D575" s="43" t="s">
        <v>997</v>
      </c>
      <c r="E575" s="43" t="s">
        <v>998</v>
      </c>
      <c r="F575" s="43" t="s">
        <v>61</v>
      </c>
      <c r="G575" s="43" t="n">
        <v>2025</v>
      </c>
      <c r="H575" s="44" t="n">
        <v>0</v>
      </c>
      <c r="I575" s="43" t="n">
        <v>2025</v>
      </c>
      <c r="J575" s="43" t="n">
        <v>4</v>
      </c>
      <c r="K575" s="44" t="n">
        <v>60000</v>
      </c>
      <c r="L575" s="43" t="n">
        <v>2025</v>
      </c>
      <c r="M575" s="43" t="n">
        <v>5</v>
      </c>
      <c r="N575" s="44" t="n">
        <v>110077</v>
      </c>
      <c r="O575" s="43" t="n">
        <v>2025</v>
      </c>
      <c r="P575" s="43" t="n">
        <v>6</v>
      </c>
      <c r="Q575" s="44" t="n">
        <v>110077</v>
      </c>
      <c r="R575" s="43" t="s">
        <v>651</v>
      </c>
      <c r="S575" s="43" t="s">
        <v>85</v>
      </c>
      <c r="T575" s="43" t="s">
        <v>633</v>
      </c>
      <c r="U575" s="43" t="s">
        <v>634</v>
      </c>
      <c r="V575" s="43" t="n">
        <v>15</v>
      </c>
      <c r="W575" s="43" t="n">
        <v>35</v>
      </c>
      <c r="X575" s="43" t="n">
        <v>50</v>
      </c>
      <c r="Y575" s="43" t="s">
        <v>635</v>
      </c>
      <c r="Z575" s="43" t="s">
        <v>636</v>
      </c>
    </row>
    <row r="576" customFormat="false" ht="15" hidden="false" customHeight="false" outlineLevel="0" collapsed="false">
      <c r="A576" s="43" t="n">
        <v>574</v>
      </c>
      <c r="B576" s="43" t="s">
        <v>996</v>
      </c>
      <c r="C576" s="43" t="s">
        <v>997</v>
      </c>
      <c r="D576" s="43" t="s">
        <v>997</v>
      </c>
      <c r="E576" s="43" t="s">
        <v>998</v>
      </c>
      <c r="F576" s="43" t="s">
        <v>61</v>
      </c>
      <c r="G576" s="43" t="n">
        <v>2025</v>
      </c>
      <c r="H576" s="44" t="n">
        <v>0</v>
      </c>
      <c r="I576" s="43"/>
      <c r="J576" s="43"/>
      <c r="K576" s="44" t="n">
        <v>0</v>
      </c>
      <c r="L576" s="43" t="n">
        <v>2025</v>
      </c>
      <c r="M576" s="43" t="n">
        <v>6</v>
      </c>
      <c r="N576" s="44" t="n">
        <v>52800</v>
      </c>
      <c r="O576" s="43" t="n">
        <v>2025</v>
      </c>
      <c r="P576" s="43" t="n">
        <v>7</v>
      </c>
      <c r="Q576" s="44" t="n">
        <v>52800</v>
      </c>
      <c r="R576" s="43" t="s">
        <v>651</v>
      </c>
      <c r="S576" s="43" t="s">
        <v>85</v>
      </c>
      <c r="T576" s="43" t="s">
        <v>633</v>
      </c>
      <c r="U576" s="43" t="s">
        <v>634</v>
      </c>
      <c r="V576" s="43"/>
      <c r="W576" s="43" t="n">
        <v>2</v>
      </c>
      <c r="X576" s="43"/>
      <c r="Y576" s="43" t="s">
        <v>635</v>
      </c>
      <c r="Z576" s="43" t="s">
        <v>636</v>
      </c>
    </row>
    <row r="577" customFormat="false" ht="15" hidden="false" customHeight="false" outlineLevel="0" collapsed="false">
      <c r="A577" s="43" t="n">
        <v>575</v>
      </c>
      <c r="B577" s="43" t="s">
        <v>996</v>
      </c>
      <c r="C577" s="43" t="s">
        <v>997</v>
      </c>
      <c r="D577" s="43" t="s">
        <v>997</v>
      </c>
      <c r="E577" s="43" t="s">
        <v>998</v>
      </c>
      <c r="F577" s="43" t="s">
        <v>61</v>
      </c>
      <c r="G577" s="43" t="n">
        <v>2025</v>
      </c>
      <c r="H577" s="44" t="n">
        <v>0</v>
      </c>
      <c r="I577" s="43"/>
      <c r="J577" s="43"/>
      <c r="K577" s="44" t="n">
        <v>0</v>
      </c>
      <c r="L577" s="43" t="n">
        <v>2025</v>
      </c>
      <c r="M577" s="43" t="n">
        <v>6</v>
      </c>
      <c r="N577" s="44" t="n">
        <v>26382</v>
      </c>
      <c r="O577" s="43" t="n">
        <v>2025</v>
      </c>
      <c r="P577" s="43" t="n">
        <v>8</v>
      </c>
      <c r="Q577" s="44" t="n">
        <v>26382</v>
      </c>
      <c r="R577" s="43" t="s">
        <v>651</v>
      </c>
      <c r="S577" s="43" t="s">
        <v>85</v>
      </c>
      <c r="T577" s="43" t="s">
        <v>633</v>
      </c>
      <c r="U577" s="43" t="s">
        <v>634</v>
      </c>
      <c r="V577" s="43"/>
      <c r="W577" s="43" t="n">
        <v>38</v>
      </c>
      <c r="X577" s="43"/>
      <c r="Y577" s="43" t="s">
        <v>635</v>
      </c>
      <c r="Z577" s="43" t="s">
        <v>636</v>
      </c>
    </row>
    <row r="578" customFormat="false" ht="15" hidden="false" customHeight="false" outlineLevel="0" collapsed="false">
      <c r="A578" s="43" t="n">
        <v>576</v>
      </c>
      <c r="B578" s="43" t="s">
        <v>996</v>
      </c>
      <c r="C578" s="43" t="s">
        <v>997</v>
      </c>
      <c r="D578" s="43" t="s">
        <v>997</v>
      </c>
      <c r="E578" s="43" t="s">
        <v>998</v>
      </c>
      <c r="F578" s="43" t="s">
        <v>61</v>
      </c>
      <c r="G578" s="43" t="n">
        <v>2025</v>
      </c>
      <c r="H578" s="44" t="n">
        <v>0</v>
      </c>
      <c r="I578" s="43"/>
      <c r="J578" s="43"/>
      <c r="K578" s="44" t="n">
        <v>0</v>
      </c>
      <c r="L578" s="43" t="n">
        <v>2025</v>
      </c>
      <c r="M578" s="43" t="n">
        <v>8</v>
      </c>
      <c r="N578" s="44" t="n">
        <v>41183</v>
      </c>
      <c r="O578" s="43" t="n">
        <v>2025</v>
      </c>
      <c r="P578" s="43" t="n">
        <v>8</v>
      </c>
      <c r="Q578" s="44" t="n">
        <v>41183</v>
      </c>
      <c r="R578" s="43" t="s">
        <v>651</v>
      </c>
      <c r="S578" s="43" t="s">
        <v>85</v>
      </c>
      <c r="T578" s="43" t="s">
        <v>633</v>
      </c>
      <c r="U578" s="43" t="s">
        <v>634</v>
      </c>
      <c r="V578" s="43"/>
      <c r="W578" s="43" t="n">
        <v>11</v>
      </c>
      <c r="X578" s="43"/>
      <c r="Y578" s="43" t="s">
        <v>635</v>
      </c>
      <c r="Z578" s="43" t="s">
        <v>636</v>
      </c>
    </row>
    <row r="579" customFormat="false" ht="15" hidden="false" customHeight="false" outlineLevel="0" collapsed="false">
      <c r="A579" s="43" t="n">
        <v>577</v>
      </c>
      <c r="B579" s="43" t="s">
        <v>999</v>
      </c>
      <c r="C579" s="43" t="s">
        <v>1000</v>
      </c>
      <c r="D579" s="43" t="s">
        <v>1001</v>
      </c>
      <c r="E579" s="43" t="s">
        <v>175</v>
      </c>
      <c r="F579" s="43" t="s">
        <v>76</v>
      </c>
      <c r="G579" s="43" t="n">
        <v>2023</v>
      </c>
      <c r="H579" s="44" t="n">
        <v>0</v>
      </c>
      <c r="I579" s="43" t="n">
        <v>2023</v>
      </c>
      <c r="J579" s="43" t="n">
        <v>3</v>
      </c>
      <c r="K579" s="44" t="n">
        <v>42832</v>
      </c>
      <c r="L579" s="43" t="n">
        <v>2023</v>
      </c>
      <c r="M579" s="43" t="n">
        <v>3</v>
      </c>
      <c r="N579" s="44" t="n">
        <v>42832</v>
      </c>
      <c r="O579" s="43" t="n">
        <v>2023</v>
      </c>
      <c r="P579" s="43" t="n">
        <v>7</v>
      </c>
      <c r="Q579" s="44" t="n">
        <v>42832</v>
      </c>
      <c r="R579" s="43" t="s">
        <v>703</v>
      </c>
      <c r="S579" s="43" t="s">
        <v>83</v>
      </c>
      <c r="T579" s="43" t="s">
        <v>641</v>
      </c>
      <c r="U579" s="43" t="s">
        <v>647</v>
      </c>
      <c r="V579" s="43" t="n">
        <v>0</v>
      </c>
      <c r="W579" s="43" t="n">
        <v>125</v>
      </c>
      <c r="X579" s="43" t="n">
        <v>125</v>
      </c>
      <c r="Y579" s="43" t="s">
        <v>635</v>
      </c>
      <c r="Z579" s="43" t="s">
        <v>636</v>
      </c>
    </row>
    <row r="580" customFormat="false" ht="15" hidden="false" customHeight="false" outlineLevel="0" collapsed="false">
      <c r="A580" s="43" t="n">
        <v>578</v>
      </c>
      <c r="B580" s="43" t="s">
        <v>999</v>
      </c>
      <c r="C580" s="43" t="s">
        <v>1000</v>
      </c>
      <c r="D580" s="43" t="s">
        <v>1001</v>
      </c>
      <c r="E580" s="43" t="s">
        <v>175</v>
      </c>
      <c r="F580" s="43" t="s">
        <v>76</v>
      </c>
      <c r="G580" s="43" t="n">
        <v>2023</v>
      </c>
      <c r="H580" s="44" t="n">
        <v>0</v>
      </c>
      <c r="I580" s="43" t="n">
        <v>2023</v>
      </c>
      <c r="J580" s="43" t="n">
        <v>5</v>
      </c>
      <c r="K580" s="44" t="n">
        <v>24055</v>
      </c>
      <c r="L580" s="43" t="n">
        <v>2023</v>
      </c>
      <c r="M580" s="43" t="n">
        <v>5</v>
      </c>
      <c r="N580" s="44" t="n">
        <v>24055</v>
      </c>
      <c r="O580" s="43" t="n">
        <v>2023</v>
      </c>
      <c r="P580" s="43" t="n">
        <v>7</v>
      </c>
      <c r="Q580" s="44" t="n">
        <v>24055</v>
      </c>
      <c r="R580" s="43" t="s">
        <v>703</v>
      </c>
      <c r="S580" s="43" t="s">
        <v>83</v>
      </c>
      <c r="T580" s="43" t="s">
        <v>641</v>
      </c>
      <c r="U580" s="43" t="s">
        <v>647</v>
      </c>
      <c r="V580" s="43" t="n">
        <v>0</v>
      </c>
      <c r="W580" s="43" t="n">
        <v>67</v>
      </c>
      <c r="X580" s="43" t="n">
        <v>67</v>
      </c>
      <c r="Y580" s="43" t="s">
        <v>635</v>
      </c>
      <c r="Z580" s="43" t="s">
        <v>636</v>
      </c>
    </row>
    <row r="581" customFormat="false" ht="15" hidden="false" customHeight="false" outlineLevel="0" collapsed="false">
      <c r="A581" s="43" t="n">
        <v>579</v>
      </c>
      <c r="B581" s="43" t="s">
        <v>999</v>
      </c>
      <c r="C581" s="43" t="s">
        <v>1000</v>
      </c>
      <c r="D581" s="43" t="s">
        <v>1001</v>
      </c>
      <c r="E581" s="43" t="s">
        <v>175</v>
      </c>
      <c r="F581" s="43" t="s">
        <v>76</v>
      </c>
      <c r="G581" s="43" t="n">
        <v>2023</v>
      </c>
      <c r="H581" s="44" t="n">
        <v>0</v>
      </c>
      <c r="I581" s="43" t="n">
        <v>2023</v>
      </c>
      <c r="J581" s="43" t="n">
        <v>6</v>
      </c>
      <c r="K581" s="44" t="n">
        <v>57086</v>
      </c>
      <c r="L581" s="43" t="n">
        <v>2023</v>
      </c>
      <c r="M581" s="43" t="n">
        <v>6</v>
      </c>
      <c r="N581" s="44" t="n">
        <v>57086</v>
      </c>
      <c r="O581" s="43" t="n">
        <v>2023</v>
      </c>
      <c r="P581" s="43" t="n">
        <v>8</v>
      </c>
      <c r="Q581" s="44" t="n">
        <v>57086</v>
      </c>
      <c r="R581" s="43" t="s">
        <v>703</v>
      </c>
      <c r="S581" s="43" t="s">
        <v>83</v>
      </c>
      <c r="T581" s="43" t="s">
        <v>641</v>
      </c>
      <c r="U581" s="43" t="s">
        <v>647</v>
      </c>
      <c r="V581" s="43" t="n">
        <v>0</v>
      </c>
      <c r="W581" s="43" t="n">
        <v>70</v>
      </c>
      <c r="X581" s="43" t="n">
        <v>70</v>
      </c>
      <c r="Y581" s="43" t="s">
        <v>635</v>
      </c>
      <c r="Z581" s="43" t="s">
        <v>636</v>
      </c>
    </row>
    <row r="582" customFormat="false" ht="15" hidden="false" customHeight="false" outlineLevel="0" collapsed="false">
      <c r="A582" s="43" t="n">
        <v>580</v>
      </c>
      <c r="B582" s="43" t="s">
        <v>1002</v>
      </c>
      <c r="C582" s="43" t="s">
        <v>1003</v>
      </c>
      <c r="D582" s="43" t="s">
        <v>1004</v>
      </c>
      <c r="E582" s="43" t="s">
        <v>132</v>
      </c>
      <c r="F582" s="43" t="s">
        <v>48</v>
      </c>
      <c r="G582" s="43" t="n">
        <v>2023</v>
      </c>
      <c r="H582" s="44" t="n">
        <v>0</v>
      </c>
      <c r="I582" s="43" t="n">
        <v>2022</v>
      </c>
      <c r="J582" s="43" t="n">
        <v>12</v>
      </c>
      <c r="K582" s="44" t="n">
        <v>101539.27375</v>
      </c>
      <c r="L582" s="43" t="n">
        <v>2023</v>
      </c>
      <c r="M582" s="43" t="n">
        <v>1</v>
      </c>
      <c r="N582" s="44" t="n">
        <v>101539.27375</v>
      </c>
      <c r="O582" s="43" t="n">
        <v>2023</v>
      </c>
      <c r="P582" s="43" t="n">
        <v>1</v>
      </c>
      <c r="Q582" s="44" t="n">
        <v>101539.27</v>
      </c>
      <c r="R582" s="43" t="s">
        <v>703</v>
      </c>
      <c r="S582" s="43" t="s">
        <v>83</v>
      </c>
      <c r="T582" s="43" t="s">
        <v>641</v>
      </c>
      <c r="U582" s="43" t="s">
        <v>647</v>
      </c>
      <c r="V582" s="43" t="n">
        <v>28</v>
      </c>
      <c r="W582" s="43" t="n">
        <v>9</v>
      </c>
      <c r="X582" s="43" t="n">
        <v>37</v>
      </c>
      <c r="Y582" s="43" t="s">
        <v>635</v>
      </c>
      <c r="Z582" s="43" t="s">
        <v>636</v>
      </c>
    </row>
    <row r="583" customFormat="false" ht="15" hidden="false" customHeight="false" outlineLevel="0" collapsed="false">
      <c r="A583" s="43" t="n">
        <v>581</v>
      </c>
      <c r="B583" s="43" t="s">
        <v>1002</v>
      </c>
      <c r="C583" s="43" t="s">
        <v>1003</v>
      </c>
      <c r="D583" s="43" t="s">
        <v>1004</v>
      </c>
      <c r="E583" s="43" t="s">
        <v>132</v>
      </c>
      <c r="F583" s="43" t="s">
        <v>48</v>
      </c>
      <c r="G583" s="43" t="n">
        <v>2023</v>
      </c>
      <c r="H583" s="44" t="n">
        <v>0</v>
      </c>
      <c r="I583" s="43" t="n">
        <v>2023</v>
      </c>
      <c r="J583" s="43" t="n">
        <v>2</v>
      </c>
      <c r="K583" s="44" t="n">
        <v>44245.945</v>
      </c>
      <c r="L583" s="43" t="n">
        <v>2023</v>
      </c>
      <c r="M583" s="43" t="n">
        <v>3</v>
      </c>
      <c r="N583" s="44" t="n">
        <v>44245.945</v>
      </c>
      <c r="O583" s="43" t="n">
        <v>2023</v>
      </c>
      <c r="P583" s="43" t="n">
        <v>3</v>
      </c>
      <c r="Q583" s="44" t="n">
        <v>44245.945</v>
      </c>
      <c r="R583" s="43" t="s">
        <v>703</v>
      </c>
      <c r="S583" s="43" t="s">
        <v>83</v>
      </c>
      <c r="T583" s="43" t="s">
        <v>641</v>
      </c>
      <c r="U583" s="43" t="s">
        <v>647</v>
      </c>
      <c r="V583" s="43" t="n">
        <v>13</v>
      </c>
      <c r="W583" s="43" t="n">
        <v>4</v>
      </c>
      <c r="X583" s="43" t="n">
        <v>17</v>
      </c>
      <c r="Y583" s="43" t="s">
        <v>635</v>
      </c>
      <c r="Z583" s="43" t="s">
        <v>636</v>
      </c>
    </row>
    <row r="584" customFormat="false" ht="15" hidden="false" customHeight="false" outlineLevel="0" collapsed="false">
      <c r="A584" s="43" t="n">
        <v>582</v>
      </c>
      <c r="B584" s="43" t="s">
        <v>1002</v>
      </c>
      <c r="C584" s="43" t="s">
        <v>1003</v>
      </c>
      <c r="D584" s="43" t="s">
        <v>1004</v>
      </c>
      <c r="E584" s="43" t="s">
        <v>132</v>
      </c>
      <c r="F584" s="43" t="s">
        <v>48</v>
      </c>
      <c r="G584" s="43" t="n">
        <v>2023</v>
      </c>
      <c r="H584" s="44" t="n">
        <v>0</v>
      </c>
      <c r="I584" s="43" t="n">
        <v>2023</v>
      </c>
      <c r="J584" s="43" t="n">
        <v>2</v>
      </c>
      <c r="K584" s="44" t="n">
        <v>51627.7075</v>
      </c>
      <c r="L584" s="43" t="n">
        <v>2023</v>
      </c>
      <c r="M584" s="43" t="n">
        <v>3</v>
      </c>
      <c r="N584" s="44" t="n">
        <v>51627.7075</v>
      </c>
      <c r="O584" s="43" t="n">
        <v>2023</v>
      </c>
      <c r="P584" s="43" t="n">
        <v>4</v>
      </c>
      <c r="Q584" s="44" t="n">
        <v>51627.7075</v>
      </c>
      <c r="R584" s="43" t="s">
        <v>703</v>
      </c>
      <c r="S584" s="43" t="s">
        <v>83</v>
      </c>
      <c r="T584" s="43" t="s">
        <v>641</v>
      </c>
      <c r="U584" s="43" t="s">
        <v>647</v>
      </c>
      <c r="V584" s="43" t="n">
        <v>35</v>
      </c>
      <c r="W584" s="43" t="n">
        <v>9</v>
      </c>
      <c r="X584" s="43" t="n">
        <v>44</v>
      </c>
      <c r="Y584" s="43" t="s">
        <v>635</v>
      </c>
      <c r="Z584" s="43" t="s">
        <v>636</v>
      </c>
    </row>
    <row r="585" customFormat="false" ht="15" hidden="false" customHeight="false" outlineLevel="0" collapsed="false">
      <c r="A585" s="43" t="n">
        <v>583</v>
      </c>
      <c r="B585" s="43" t="s">
        <v>1002</v>
      </c>
      <c r="C585" s="43" t="s">
        <v>1003</v>
      </c>
      <c r="D585" s="43" t="s">
        <v>1004</v>
      </c>
      <c r="E585" s="43" t="s">
        <v>132</v>
      </c>
      <c r="F585" s="43" t="s">
        <v>48</v>
      </c>
      <c r="G585" s="43" t="n">
        <v>2023</v>
      </c>
      <c r="H585" s="44" t="n">
        <v>0</v>
      </c>
      <c r="I585" s="43" t="n">
        <v>2023</v>
      </c>
      <c r="J585" s="43" t="n">
        <v>3</v>
      </c>
      <c r="K585" s="44" t="n">
        <v>30102.715</v>
      </c>
      <c r="L585" s="43" t="n">
        <v>2023</v>
      </c>
      <c r="M585" s="43" t="n">
        <v>4</v>
      </c>
      <c r="N585" s="44" t="n">
        <v>30102.715</v>
      </c>
      <c r="O585" s="43" t="n">
        <v>2023</v>
      </c>
      <c r="P585" s="43" t="n">
        <v>4</v>
      </c>
      <c r="Q585" s="44" t="n">
        <v>30102.715</v>
      </c>
      <c r="R585" s="43" t="s">
        <v>703</v>
      </c>
      <c r="S585" s="43" t="s">
        <v>83</v>
      </c>
      <c r="T585" s="43" t="s">
        <v>641</v>
      </c>
      <c r="U585" s="43" t="s">
        <v>647</v>
      </c>
      <c r="V585" s="43" t="n">
        <v>24</v>
      </c>
      <c r="W585" s="43" t="n">
        <v>7</v>
      </c>
      <c r="X585" s="43" t="n">
        <v>31</v>
      </c>
      <c r="Y585" s="43" t="s">
        <v>635</v>
      </c>
      <c r="Z585" s="43" t="s">
        <v>636</v>
      </c>
    </row>
    <row r="586" customFormat="false" ht="15" hidden="false" customHeight="false" outlineLevel="0" collapsed="false">
      <c r="A586" s="43" t="n">
        <v>584</v>
      </c>
      <c r="B586" s="43" t="s">
        <v>1002</v>
      </c>
      <c r="C586" s="43" t="s">
        <v>1003</v>
      </c>
      <c r="D586" s="43" t="s">
        <v>1004</v>
      </c>
      <c r="E586" s="43" t="s">
        <v>132</v>
      </c>
      <c r="F586" s="43" t="s">
        <v>48</v>
      </c>
      <c r="G586" s="43" t="n">
        <v>2023</v>
      </c>
      <c r="H586" s="44" t="n">
        <v>0</v>
      </c>
      <c r="I586" s="43" t="n">
        <v>2023</v>
      </c>
      <c r="J586" s="43" t="n">
        <v>4</v>
      </c>
      <c r="K586" s="44" t="n">
        <v>47249</v>
      </c>
      <c r="L586" s="43" t="n">
        <v>2023</v>
      </c>
      <c r="M586" s="43" t="n">
        <v>6</v>
      </c>
      <c r="N586" s="44" t="n">
        <v>47227</v>
      </c>
      <c r="O586" s="43" t="n">
        <v>2023</v>
      </c>
      <c r="P586" s="43" t="n">
        <v>6</v>
      </c>
      <c r="Q586" s="44" t="n">
        <v>46950.23</v>
      </c>
      <c r="R586" s="43" t="s">
        <v>703</v>
      </c>
      <c r="S586" s="43" t="s">
        <v>83</v>
      </c>
      <c r="T586" s="43" t="s">
        <v>641</v>
      </c>
      <c r="U586" s="43" t="s">
        <v>647</v>
      </c>
      <c r="V586" s="43" t="n">
        <v>53</v>
      </c>
      <c r="W586" s="43" t="n">
        <v>3</v>
      </c>
      <c r="X586" s="43" t="n">
        <v>56</v>
      </c>
      <c r="Y586" s="43" t="s">
        <v>635</v>
      </c>
      <c r="Z586" s="43" t="s">
        <v>636</v>
      </c>
    </row>
    <row r="587" customFormat="false" ht="15" hidden="false" customHeight="false" outlineLevel="0" collapsed="false">
      <c r="A587" s="43" t="n">
        <v>585</v>
      </c>
      <c r="B587" s="43" t="s">
        <v>1002</v>
      </c>
      <c r="C587" s="43" t="s">
        <v>1003</v>
      </c>
      <c r="D587" s="43" t="s">
        <v>1004</v>
      </c>
      <c r="E587" s="43" t="s">
        <v>132</v>
      </c>
      <c r="F587" s="43" t="s">
        <v>48</v>
      </c>
      <c r="G587" s="43" t="n">
        <v>2023</v>
      </c>
      <c r="H587" s="44" t="n">
        <v>0</v>
      </c>
      <c r="I587" s="43" t="n">
        <v>2023</v>
      </c>
      <c r="J587" s="43" t="n">
        <v>6</v>
      </c>
      <c r="K587" s="44" t="n">
        <v>8632.29</v>
      </c>
      <c r="L587" s="43" t="n">
        <v>2023</v>
      </c>
      <c r="M587" s="43" t="n">
        <v>6</v>
      </c>
      <c r="N587" s="44" t="n">
        <v>8548.05</v>
      </c>
      <c r="O587" s="43" t="n">
        <v>2023</v>
      </c>
      <c r="P587" s="43" t="n">
        <v>6</v>
      </c>
      <c r="Q587" s="44" t="n">
        <v>8548.05</v>
      </c>
      <c r="R587" s="43" t="s">
        <v>703</v>
      </c>
      <c r="S587" s="43" t="s">
        <v>83</v>
      </c>
      <c r="T587" s="43" t="s">
        <v>641</v>
      </c>
      <c r="U587" s="43" t="s">
        <v>647</v>
      </c>
      <c r="V587" s="43"/>
      <c r="W587" s="43" t="n">
        <v>4</v>
      </c>
      <c r="X587" s="43" t="n">
        <v>2</v>
      </c>
      <c r="Y587" s="43" t="s">
        <v>635</v>
      </c>
      <c r="Z587" s="43" t="s">
        <v>636</v>
      </c>
    </row>
    <row r="588" customFormat="false" ht="15" hidden="false" customHeight="false" outlineLevel="0" collapsed="false">
      <c r="A588" s="43" t="n">
        <v>586</v>
      </c>
      <c r="B588" s="43" t="s">
        <v>1002</v>
      </c>
      <c r="C588" s="43" t="s">
        <v>1003</v>
      </c>
      <c r="D588" s="43" t="s">
        <v>1004</v>
      </c>
      <c r="E588" s="43" t="s">
        <v>132</v>
      </c>
      <c r="F588" s="43" t="s">
        <v>48</v>
      </c>
      <c r="G588" s="43" t="n">
        <v>2023</v>
      </c>
      <c r="H588" s="44" t="n">
        <v>0</v>
      </c>
      <c r="I588" s="43" t="n">
        <v>2023</v>
      </c>
      <c r="J588" s="43" t="n">
        <v>6</v>
      </c>
      <c r="K588" s="44" t="n">
        <v>44744.56</v>
      </c>
      <c r="L588" s="43" t="n">
        <v>2023</v>
      </c>
      <c r="M588" s="43" t="n">
        <v>7</v>
      </c>
      <c r="N588" s="44" t="n">
        <v>44745</v>
      </c>
      <c r="O588" s="43" t="n">
        <v>2023</v>
      </c>
      <c r="P588" s="43" t="n">
        <v>7</v>
      </c>
      <c r="Q588" s="44" t="n">
        <v>44745</v>
      </c>
      <c r="R588" s="43" t="s">
        <v>703</v>
      </c>
      <c r="S588" s="43" t="s">
        <v>83</v>
      </c>
      <c r="T588" s="43" t="s">
        <v>641</v>
      </c>
      <c r="U588" s="43" t="s">
        <v>647</v>
      </c>
      <c r="V588" s="43" t="n">
        <v>19</v>
      </c>
      <c r="W588" s="43" t="n">
        <v>4</v>
      </c>
      <c r="X588" s="43" t="n">
        <v>23</v>
      </c>
      <c r="Y588" s="43" t="s">
        <v>635</v>
      </c>
      <c r="Z588" s="43" t="s">
        <v>636</v>
      </c>
    </row>
    <row r="589" customFormat="false" ht="15" hidden="false" customHeight="false" outlineLevel="0" collapsed="false">
      <c r="A589" s="43" t="n">
        <v>587</v>
      </c>
      <c r="B589" s="43" t="s">
        <v>1002</v>
      </c>
      <c r="C589" s="43" t="s">
        <v>1003</v>
      </c>
      <c r="D589" s="43" t="s">
        <v>1004</v>
      </c>
      <c r="E589" s="43" t="s">
        <v>132</v>
      </c>
      <c r="F589" s="43" t="s">
        <v>48</v>
      </c>
      <c r="G589" s="43" t="n">
        <v>2023</v>
      </c>
      <c r="H589" s="44" t="n">
        <v>0</v>
      </c>
      <c r="I589" s="43" t="n">
        <v>2023</v>
      </c>
      <c r="J589" s="43" t="n">
        <v>7</v>
      </c>
      <c r="K589" s="44" t="n">
        <v>10549.27</v>
      </c>
      <c r="L589" s="43" t="n">
        <v>2023</v>
      </c>
      <c r="M589" s="43" t="n">
        <v>8</v>
      </c>
      <c r="N589" s="44" t="n">
        <v>10549</v>
      </c>
      <c r="O589" s="43" t="n">
        <v>2023</v>
      </c>
      <c r="P589" s="43" t="n">
        <v>8</v>
      </c>
      <c r="Q589" s="44" t="n">
        <v>10549</v>
      </c>
      <c r="R589" s="43" t="s">
        <v>703</v>
      </c>
      <c r="S589" s="43" t="s">
        <v>83</v>
      </c>
      <c r="T589" s="43" t="s">
        <v>641</v>
      </c>
      <c r="U589" s="43" t="s">
        <v>647</v>
      </c>
      <c r="V589" s="43" t="n">
        <v>13</v>
      </c>
      <c r="W589" s="43" t="n">
        <v>8</v>
      </c>
      <c r="X589" s="43" t="n">
        <v>21</v>
      </c>
      <c r="Y589" s="43" t="s">
        <v>635</v>
      </c>
      <c r="Z589" s="43" t="s">
        <v>636</v>
      </c>
    </row>
    <row r="590" customFormat="false" ht="15" hidden="false" customHeight="false" outlineLevel="0" collapsed="false">
      <c r="A590" s="43" t="n">
        <v>588</v>
      </c>
      <c r="B590" s="43" t="s">
        <v>1005</v>
      </c>
      <c r="C590" s="43" t="s">
        <v>1006</v>
      </c>
      <c r="D590" s="43" t="s">
        <v>1006</v>
      </c>
      <c r="E590" s="43" t="s">
        <v>144</v>
      </c>
      <c r="F590" s="43" t="s">
        <v>61</v>
      </c>
      <c r="G590" s="43" t="n">
        <v>2023</v>
      </c>
      <c r="H590" s="44" t="n">
        <v>91270</v>
      </c>
      <c r="I590" s="43" t="n">
        <v>2023</v>
      </c>
      <c r="J590" s="43" t="n">
        <v>11</v>
      </c>
      <c r="K590" s="44" t="n">
        <v>91731.2783977917</v>
      </c>
      <c r="L590" s="43" t="n">
        <v>2023</v>
      </c>
      <c r="M590" s="43" t="n">
        <v>11</v>
      </c>
      <c r="N590" s="44" t="n">
        <v>91731.2783977917</v>
      </c>
      <c r="O590" s="43" t="n">
        <v>2023</v>
      </c>
      <c r="P590" s="43" t="n">
        <v>12</v>
      </c>
      <c r="Q590" s="44" t="n">
        <v>91731.2783977917</v>
      </c>
      <c r="R590" s="43" t="s">
        <v>687</v>
      </c>
      <c r="S590" s="43" t="s">
        <v>83</v>
      </c>
      <c r="T590" s="43" t="s">
        <v>641</v>
      </c>
      <c r="U590" s="43" t="s">
        <v>642</v>
      </c>
      <c r="V590" s="43" t="n">
        <v>6</v>
      </c>
      <c r="W590" s="43" t="n">
        <v>30</v>
      </c>
      <c r="X590" s="43" t="n">
        <v>36</v>
      </c>
      <c r="Y590" s="43" t="s">
        <v>635</v>
      </c>
      <c r="Z590" s="43" t="s">
        <v>636</v>
      </c>
    </row>
    <row r="591" customFormat="false" ht="15" hidden="false" customHeight="false" outlineLevel="0" collapsed="false">
      <c r="A591" s="43" t="n">
        <v>589</v>
      </c>
      <c r="B591" s="43" t="s">
        <v>1005</v>
      </c>
      <c r="C591" s="43" t="s">
        <v>1006</v>
      </c>
      <c r="D591" s="43" t="s">
        <v>1006</v>
      </c>
      <c r="E591" s="43" t="s">
        <v>144</v>
      </c>
      <c r="F591" s="43" t="s">
        <v>61</v>
      </c>
      <c r="G591" s="43" t="n">
        <v>2023</v>
      </c>
      <c r="H591" s="44" t="n">
        <v>82558.17</v>
      </c>
      <c r="I591" s="43" t="n">
        <v>2023</v>
      </c>
      <c r="J591" s="43" t="n">
        <v>11</v>
      </c>
      <c r="K591" s="44" t="n">
        <v>100441</v>
      </c>
      <c r="L591" s="43" t="n">
        <v>2023</v>
      </c>
      <c r="M591" s="43" t="n">
        <v>12</v>
      </c>
      <c r="N591" s="44" t="n">
        <v>100441</v>
      </c>
      <c r="O591" s="43" t="n">
        <v>2024</v>
      </c>
      <c r="P591" s="43" t="n">
        <v>1</v>
      </c>
      <c r="Q591" s="44" t="n">
        <v>100441</v>
      </c>
      <c r="R591" s="43" t="s">
        <v>687</v>
      </c>
      <c r="S591" s="43" t="s">
        <v>83</v>
      </c>
      <c r="T591" s="43" t="s">
        <v>641</v>
      </c>
      <c r="U591" s="43" t="s">
        <v>642</v>
      </c>
      <c r="V591" s="43" t="n">
        <v>25</v>
      </c>
      <c r="W591" s="43" t="n">
        <v>14</v>
      </c>
      <c r="X591" s="43" t="n">
        <v>39</v>
      </c>
      <c r="Y591" s="43" t="s">
        <v>635</v>
      </c>
      <c r="Z591" s="43" t="s">
        <v>636</v>
      </c>
    </row>
    <row r="592" customFormat="false" ht="15" hidden="false" customHeight="false" outlineLevel="0" collapsed="false">
      <c r="A592" s="43" t="n">
        <v>590</v>
      </c>
      <c r="B592" s="43" t="s">
        <v>1005</v>
      </c>
      <c r="C592" s="43" t="s">
        <v>1006</v>
      </c>
      <c r="D592" s="43" t="s">
        <v>1006</v>
      </c>
      <c r="E592" s="43" t="s">
        <v>144</v>
      </c>
      <c r="F592" s="43" t="s">
        <v>61</v>
      </c>
      <c r="G592" s="43" t="n">
        <v>2023</v>
      </c>
      <c r="H592" s="44" t="n">
        <v>137777</v>
      </c>
      <c r="I592" s="43" t="n">
        <v>2023</v>
      </c>
      <c r="J592" s="43" t="n">
        <v>12</v>
      </c>
      <c r="K592" s="44" t="n">
        <v>29776</v>
      </c>
      <c r="L592" s="43" t="n">
        <v>2024</v>
      </c>
      <c r="M592" s="43" t="n">
        <v>1</v>
      </c>
      <c r="N592" s="44" t="n">
        <v>29776</v>
      </c>
      <c r="O592" s="43" t="n">
        <v>2024</v>
      </c>
      <c r="P592" s="43" t="n">
        <v>2</v>
      </c>
      <c r="Q592" s="44" t="n">
        <v>29776</v>
      </c>
      <c r="R592" s="43" t="s">
        <v>687</v>
      </c>
      <c r="S592" s="43" t="s">
        <v>83</v>
      </c>
      <c r="T592" s="43" t="s">
        <v>641</v>
      </c>
      <c r="U592" s="43" t="s">
        <v>642</v>
      </c>
      <c r="V592" s="43" t="n">
        <v>12</v>
      </c>
      <c r="W592" s="43" t="n">
        <v>49</v>
      </c>
      <c r="X592" s="43" t="n">
        <v>61</v>
      </c>
      <c r="Y592" s="43" t="s">
        <v>635</v>
      </c>
      <c r="Z592" s="43" t="s">
        <v>636</v>
      </c>
    </row>
    <row r="593" customFormat="false" ht="15" hidden="false" customHeight="false" outlineLevel="0" collapsed="false">
      <c r="A593" s="43" t="n">
        <v>591</v>
      </c>
      <c r="B593" s="43" t="s">
        <v>1005</v>
      </c>
      <c r="C593" s="43" t="s">
        <v>1006</v>
      </c>
      <c r="D593" s="43" t="s">
        <v>1006</v>
      </c>
      <c r="E593" s="43" t="s">
        <v>144</v>
      </c>
      <c r="F593" s="43" t="s">
        <v>61</v>
      </c>
      <c r="G593" s="43" t="n">
        <v>2024</v>
      </c>
      <c r="H593" s="44" t="n">
        <v>60000</v>
      </c>
      <c r="I593" s="43" t="n">
        <v>2024</v>
      </c>
      <c r="J593" s="43" t="n">
        <v>1</v>
      </c>
      <c r="K593" s="44" t="n">
        <v>70005</v>
      </c>
      <c r="L593" s="43" t="n">
        <v>2024</v>
      </c>
      <c r="M593" s="43" t="n">
        <v>2</v>
      </c>
      <c r="N593" s="44" t="n">
        <v>70005</v>
      </c>
      <c r="O593" s="43" t="n">
        <v>2024</v>
      </c>
      <c r="P593" s="43" t="n">
        <v>3</v>
      </c>
      <c r="Q593" s="44" t="n">
        <v>70005</v>
      </c>
      <c r="R593" s="43" t="s">
        <v>687</v>
      </c>
      <c r="S593" s="43" t="s">
        <v>83</v>
      </c>
      <c r="T593" s="43" t="s">
        <v>641</v>
      </c>
      <c r="U593" s="43" t="s">
        <v>642</v>
      </c>
      <c r="V593" s="43" t="n">
        <v>18</v>
      </c>
      <c r="W593" s="43" t="n">
        <v>38</v>
      </c>
      <c r="X593" s="43" t="n">
        <v>56</v>
      </c>
      <c r="Y593" s="43" t="s">
        <v>635</v>
      </c>
      <c r="Z593" s="43" t="s">
        <v>636</v>
      </c>
    </row>
    <row r="594" customFormat="false" ht="15" hidden="false" customHeight="false" outlineLevel="0" collapsed="false">
      <c r="A594" s="43" t="n">
        <v>592</v>
      </c>
      <c r="B594" s="43" t="s">
        <v>1005</v>
      </c>
      <c r="C594" s="43" t="s">
        <v>1006</v>
      </c>
      <c r="D594" s="43" t="s">
        <v>1006</v>
      </c>
      <c r="E594" s="43" t="s">
        <v>144</v>
      </c>
      <c r="F594" s="43" t="s">
        <v>61</v>
      </c>
      <c r="G594" s="43" t="n">
        <v>2024</v>
      </c>
      <c r="H594" s="44" t="n">
        <v>58000</v>
      </c>
      <c r="I594" s="43" t="n">
        <v>2024</v>
      </c>
      <c r="J594" s="43" t="n">
        <v>2</v>
      </c>
      <c r="K594" s="44" t="n">
        <v>29387</v>
      </c>
      <c r="L594" s="43" t="n">
        <v>2024</v>
      </c>
      <c r="M594" s="43" t="n">
        <v>3</v>
      </c>
      <c r="N594" s="44" t="n">
        <v>29387</v>
      </c>
      <c r="O594" s="43" t="n">
        <v>2024</v>
      </c>
      <c r="P594" s="43" t="n">
        <v>4</v>
      </c>
      <c r="Q594" s="44" t="n">
        <v>29387</v>
      </c>
      <c r="R594" s="43" t="s">
        <v>687</v>
      </c>
      <c r="S594" s="43" t="s">
        <v>83</v>
      </c>
      <c r="T594" s="43" t="s">
        <v>641</v>
      </c>
      <c r="U594" s="43" t="s">
        <v>642</v>
      </c>
      <c r="V594" s="43" t="n">
        <v>29</v>
      </c>
      <c r="W594" s="43" t="n">
        <v>31</v>
      </c>
      <c r="X594" s="43" t="n">
        <v>60</v>
      </c>
      <c r="Y594" s="43" t="s">
        <v>635</v>
      </c>
      <c r="Z594" s="43" t="s">
        <v>636</v>
      </c>
    </row>
    <row r="595" customFormat="false" ht="15" hidden="false" customHeight="false" outlineLevel="0" collapsed="false">
      <c r="A595" s="43" t="n">
        <v>593</v>
      </c>
      <c r="B595" s="43" t="s">
        <v>1005</v>
      </c>
      <c r="C595" s="43" t="s">
        <v>1006</v>
      </c>
      <c r="D595" s="43" t="s">
        <v>1006</v>
      </c>
      <c r="E595" s="43" t="s">
        <v>144</v>
      </c>
      <c r="F595" s="43" t="s">
        <v>61</v>
      </c>
      <c r="G595" s="43" t="n">
        <v>2024</v>
      </c>
      <c r="H595" s="44" t="n">
        <v>125015</v>
      </c>
      <c r="I595" s="43" t="n">
        <v>2024</v>
      </c>
      <c r="J595" s="43" t="n">
        <v>4</v>
      </c>
      <c r="K595" s="44" t="n">
        <v>50531</v>
      </c>
      <c r="L595" s="43" t="n">
        <v>2024</v>
      </c>
      <c r="M595" s="43" t="n">
        <v>5</v>
      </c>
      <c r="N595" s="44" t="n">
        <v>50531</v>
      </c>
      <c r="O595" s="43" t="n">
        <v>2024</v>
      </c>
      <c r="P595" s="43" t="n">
        <v>5</v>
      </c>
      <c r="Q595" s="44" t="n">
        <v>50531</v>
      </c>
      <c r="R595" s="43" t="s">
        <v>687</v>
      </c>
      <c r="S595" s="43" t="s">
        <v>83</v>
      </c>
      <c r="T595" s="43" t="s">
        <v>641</v>
      </c>
      <c r="U595" s="43" t="s">
        <v>642</v>
      </c>
      <c r="V595" s="43" t="n">
        <v>9</v>
      </c>
      <c r="W595" s="43" t="n">
        <v>20</v>
      </c>
      <c r="X595" s="43" t="n">
        <v>29</v>
      </c>
      <c r="Y595" s="43" t="s">
        <v>635</v>
      </c>
      <c r="Z595" s="43" t="s">
        <v>636</v>
      </c>
    </row>
    <row r="596" customFormat="false" ht="15" hidden="false" customHeight="false" outlineLevel="0" collapsed="false">
      <c r="A596" s="43" t="n">
        <v>594</v>
      </c>
      <c r="B596" s="43" t="s">
        <v>1005</v>
      </c>
      <c r="C596" s="43" t="s">
        <v>1006</v>
      </c>
      <c r="D596" s="43" t="s">
        <v>1006</v>
      </c>
      <c r="E596" s="43" t="s">
        <v>144</v>
      </c>
      <c r="F596" s="43" t="s">
        <v>61</v>
      </c>
      <c r="G596" s="43" t="n">
        <v>2024</v>
      </c>
      <c r="H596" s="44" t="n">
        <v>61467</v>
      </c>
      <c r="I596" s="43" t="n">
        <v>2024</v>
      </c>
      <c r="J596" s="43" t="n">
        <v>5</v>
      </c>
      <c r="K596" s="44" t="n">
        <v>177527</v>
      </c>
      <c r="L596" s="43" t="n">
        <v>2024</v>
      </c>
      <c r="M596" s="43" t="n">
        <v>6</v>
      </c>
      <c r="N596" s="44" t="n">
        <v>177527</v>
      </c>
      <c r="O596" s="43" t="n">
        <v>2024</v>
      </c>
      <c r="P596" s="43" t="n">
        <v>6</v>
      </c>
      <c r="Q596" s="44" t="n">
        <v>172201.19</v>
      </c>
      <c r="R596" s="43" t="s">
        <v>687</v>
      </c>
      <c r="S596" s="43" t="s">
        <v>83</v>
      </c>
      <c r="T596" s="43" t="s">
        <v>641</v>
      </c>
      <c r="U596" s="43" t="s">
        <v>642</v>
      </c>
      <c r="V596" s="43" t="n">
        <v>20</v>
      </c>
      <c r="W596" s="43" t="n">
        <v>8</v>
      </c>
      <c r="X596" s="43" t="n">
        <v>28</v>
      </c>
      <c r="Y596" s="43" t="s">
        <v>635</v>
      </c>
      <c r="Z596" s="43" t="s">
        <v>636</v>
      </c>
    </row>
    <row r="597" customFormat="false" ht="15" hidden="false" customHeight="false" outlineLevel="0" collapsed="false">
      <c r="A597" s="43" t="n">
        <v>595</v>
      </c>
      <c r="B597" s="43" t="s">
        <v>1005</v>
      </c>
      <c r="C597" s="43" t="s">
        <v>1006</v>
      </c>
      <c r="D597" s="43" t="s">
        <v>1006</v>
      </c>
      <c r="E597" s="43" t="s">
        <v>144</v>
      </c>
      <c r="F597" s="43" t="s">
        <v>61</v>
      </c>
      <c r="G597" s="43" t="n">
        <v>2024</v>
      </c>
      <c r="H597" s="44" t="n">
        <v>114880.7</v>
      </c>
      <c r="I597" s="43" t="n">
        <v>2024</v>
      </c>
      <c r="J597" s="43" t="n">
        <v>6</v>
      </c>
      <c r="K597" s="44" t="n">
        <v>110053</v>
      </c>
      <c r="L597" s="43" t="n">
        <v>2024</v>
      </c>
      <c r="M597" s="43" t="n">
        <v>7</v>
      </c>
      <c r="N597" s="44" t="n">
        <v>110053</v>
      </c>
      <c r="O597" s="43" t="n">
        <v>2024</v>
      </c>
      <c r="P597" s="43" t="n">
        <v>7</v>
      </c>
      <c r="Q597" s="44" t="n">
        <v>106751.41</v>
      </c>
      <c r="R597" s="43" t="s">
        <v>687</v>
      </c>
      <c r="S597" s="43" t="s">
        <v>83</v>
      </c>
      <c r="T597" s="43" t="s">
        <v>641</v>
      </c>
      <c r="U597" s="43" t="s">
        <v>642</v>
      </c>
      <c r="V597" s="43" t="n">
        <v>25</v>
      </c>
      <c r="W597" s="43" t="n">
        <v>3</v>
      </c>
      <c r="X597" s="43" t="n">
        <v>28</v>
      </c>
      <c r="Y597" s="43" t="s">
        <v>635</v>
      </c>
      <c r="Z597" s="43" t="s">
        <v>636</v>
      </c>
    </row>
    <row r="598" customFormat="false" ht="15" hidden="false" customHeight="false" outlineLevel="0" collapsed="false">
      <c r="A598" s="43" t="n">
        <v>596</v>
      </c>
      <c r="B598" s="43" t="s">
        <v>1005</v>
      </c>
      <c r="C598" s="43" t="s">
        <v>1006</v>
      </c>
      <c r="D598" s="43" t="s">
        <v>1006</v>
      </c>
      <c r="E598" s="43" t="s">
        <v>144</v>
      </c>
      <c r="F598" s="43" t="s">
        <v>61</v>
      </c>
      <c r="G598" s="43" t="n">
        <v>2024</v>
      </c>
      <c r="H598" s="44" t="n">
        <v>0</v>
      </c>
      <c r="I598" s="43" t="n">
        <v>2024</v>
      </c>
      <c r="J598" s="43" t="n">
        <v>7</v>
      </c>
      <c r="K598" s="44" t="n">
        <v>85235</v>
      </c>
      <c r="L598" s="43" t="n">
        <v>2024</v>
      </c>
      <c r="M598" s="43" t="n">
        <v>8</v>
      </c>
      <c r="N598" s="44" t="n">
        <v>85235</v>
      </c>
      <c r="O598" s="43" t="n">
        <v>2024</v>
      </c>
      <c r="P598" s="43" t="n">
        <v>8</v>
      </c>
      <c r="Q598" s="44" t="n">
        <v>82677.95</v>
      </c>
      <c r="R598" s="43" t="s">
        <v>687</v>
      </c>
      <c r="S598" s="43" t="s">
        <v>83</v>
      </c>
      <c r="T598" s="43" t="s">
        <v>641</v>
      </c>
      <c r="U598" s="43" t="s">
        <v>642</v>
      </c>
      <c r="V598" s="43" t="n">
        <v>19</v>
      </c>
      <c r="W598" s="43" t="n">
        <v>13</v>
      </c>
      <c r="X598" s="43" t="n">
        <v>32</v>
      </c>
      <c r="Y598" s="43" t="s">
        <v>635</v>
      </c>
      <c r="Z598" s="43" t="s">
        <v>636</v>
      </c>
    </row>
    <row r="599" customFormat="false" ht="15" hidden="false" customHeight="false" outlineLevel="0" collapsed="false">
      <c r="A599" s="43" t="n">
        <v>597</v>
      </c>
      <c r="B599" s="43" t="s">
        <v>1005</v>
      </c>
      <c r="C599" s="43" t="s">
        <v>1006</v>
      </c>
      <c r="D599" s="43" t="s">
        <v>1006</v>
      </c>
      <c r="E599" s="43" t="s">
        <v>144</v>
      </c>
      <c r="F599" s="43" t="s">
        <v>61</v>
      </c>
      <c r="G599" s="43" t="n">
        <v>2024</v>
      </c>
      <c r="H599" s="44" t="n">
        <v>0</v>
      </c>
      <c r="I599" s="43" t="n">
        <v>2024</v>
      </c>
      <c r="J599" s="43" t="n">
        <v>8</v>
      </c>
      <c r="K599" s="44" t="n">
        <v>112468</v>
      </c>
      <c r="L599" s="43" t="n">
        <v>2024</v>
      </c>
      <c r="M599" s="43" t="n">
        <v>9</v>
      </c>
      <c r="N599" s="44" t="n">
        <v>112468</v>
      </c>
      <c r="O599" s="43" t="n">
        <v>2024</v>
      </c>
      <c r="P599" s="43" t="n">
        <v>9</v>
      </c>
      <c r="Q599" s="44" t="n">
        <v>109093.96</v>
      </c>
      <c r="R599" s="43" t="s">
        <v>687</v>
      </c>
      <c r="S599" s="43" t="s">
        <v>83</v>
      </c>
      <c r="T599" s="43" t="s">
        <v>641</v>
      </c>
      <c r="U599" s="43" t="s">
        <v>642</v>
      </c>
      <c r="V599" s="43" t="n">
        <v>25</v>
      </c>
      <c r="W599" s="43" t="n">
        <v>3</v>
      </c>
      <c r="X599" s="43" t="n">
        <v>28</v>
      </c>
      <c r="Y599" s="43" t="s">
        <v>635</v>
      </c>
      <c r="Z599" s="43" t="s">
        <v>636</v>
      </c>
    </row>
    <row r="600" customFormat="false" ht="15" hidden="false" customHeight="false" outlineLevel="0" collapsed="false">
      <c r="A600" s="43" t="n">
        <v>598</v>
      </c>
      <c r="B600" s="43" t="s">
        <v>1005</v>
      </c>
      <c r="C600" s="43" t="s">
        <v>1006</v>
      </c>
      <c r="D600" s="43" t="s">
        <v>1006</v>
      </c>
      <c r="E600" s="43" t="s">
        <v>144</v>
      </c>
      <c r="F600" s="43" t="s">
        <v>61</v>
      </c>
      <c r="G600" s="43" t="n">
        <v>2024</v>
      </c>
      <c r="H600" s="44" t="n">
        <v>0</v>
      </c>
      <c r="I600" s="43" t="n">
        <v>2024</v>
      </c>
      <c r="J600" s="43" t="n">
        <v>9</v>
      </c>
      <c r="K600" s="44" t="n">
        <v>93254</v>
      </c>
      <c r="L600" s="43" t="n">
        <v>2024</v>
      </c>
      <c r="M600" s="43" t="n">
        <v>10</v>
      </c>
      <c r="N600" s="44" t="n">
        <v>92288</v>
      </c>
      <c r="O600" s="43" t="n">
        <v>2024</v>
      </c>
      <c r="P600" s="43" t="n">
        <v>10</v>
      </c>
      <c r="Q600" s="44" t="n">
        <v>86948</v>
      </c>
      <c r="R600" s="43" t="s">
        <v>687</v>
      </c>
      <c r="S600" s="43" t="s">
        <v>83</v>
      </c>
      <c r="T600" s="43" t="s">
        <v>641</v>
      </c>
      <c r="U600" s="43" t="s">
        <v>642</v>
      </c>
      <c r="V600" s="43" t="n">
        <v>30</v>
      </c>
      <c r="W600" s="43" t="n">
        <v>0</v>
      </c>
      <c r="X600" s="43" t="n">
        <v>30</v>
      </c>
      <c r="Y600" s="43" t="s">
        <v>635</v>
      </c>
      <c r="Z600" s="43" t="s">
        <v>636</v>
      </c>
    </row>
    <row r="601" customFormat="false" ht="15" hidden="false" customHeight="false" outlineLevel="0" collapsed="false">
      <c r="A601" s="43" t="n">
        <v>599</v>
      </c>
      <c r="B601" s="43" t="s">
        <v>1005</v>
      </c>
      <c r="C601" s="43" t="s">
        <v>1006</v>
      </c>
      <c r="D601" s="43" t="s">
        <v>1006</v>
      </c>
      <c r="E601" s="43" t="s">
        <v>144</v>
      </c>
      <c r="F601" s="43" t="s">
        <v>61</v>
      </c>
      <c r="G601" s="43" t="n">
        <v>2024</v>
      </c>
      <c r="H601" s="44" t="n">
        <v>0</v>
      </c>
      <c r="I601" s="43" t="n">
        <v>2024</v>
      </c>
      <c r="J601" s="43" t="n">
        <v>10</v>
      </c>
      <c r="K601" s="44" t="n">
        <v>67403</v>
      </c>
      <c r="L601" s="43" t="n">
        <v>2024</v>
      </c>
      <c r="M601" s="43" t="n">
        <v>11</v>
      </c>
      <c r="N601" s="44" t="n">
        <v>63453</v>
      </c>
      <c r="O601" s="43" t="n">
        <v>2024</v>
      </c>
      <c r="P601" s="43" t="n">
        <v>12</v>
      </c>
      <c r="Q601" s="44" t="n">
        <v>62160</v>
      </c>
      <c r="R601" s="43" t="s">
        <v>687</v>
      </c>
      <c r="S601" s="43" t="s">
        <v>83</v>
      </c>
      <c r="T601" s="43" t="s">
        <v>641</v>
      </c>
      <c r="U601" s="43" t="s">
        <v>642</v>
      </c>
      <c r="V601" s="43" t="n">
        <v>19</v>
      </c>
      <c r="W601" s="43" t="n">
        <v>30</v>
      </c>
      <c r="X601" s="43" t="n">
        <v>49</v>
      </c>
      <c r="Y601" s="43" t="s">
        <v>635</v>
      </c>
      <c r="Z601" s="43" t="s">
        <v>636</v>
      </c>
    </row>
    <row r="602" customFormat="false" ht="15" hidden="false" customHeight="false" outlineLevel="0" collapsed="false">
      <c r="A602" s="43" t="n">
        <v>600</v>
      </c>
      <c r="B602" s="43" t="s">
        <v>1005</v>
      </c>
      <c r="C602" s="43" t="s">
        <v>1006</v>
      </c>
      <c r="D602" s="43" t="s">
        <v>1006</v>
      </c>
      <c r="E602" s="43" t="s">
        <v>144</v>
      </c>
      <c r="F602" s="43" t="s">
        <v>61</v>
      </c>
      <c r="G602" s="43" t="n">
        <v>2024</v>
      </c>
      <c r="H602" s="44" t="n">
        <v>0</v>
      </c>
      <c r="I602" s="43" t="n">
        <v>2024</v>
      </c>
      <c r="J602" s="43" t="n">
        <v>11</v>
      </c>
      <c r="K602" s="44" t="n">
        <v>17153</v>
      </c>
      <c r="L602" s="43" t="n">
        <v>2024</v>
      </c>
      <c r="M602" s="43" t="n">
        <v>12</v>
      </c>
      <c r="N602" s="44" t="n">
        <v>17153</v>
      </c>
      <c r="O602" s="43" t="n">
        <v>2025</v>
      </c>
      <c r="P602" s="43" t="n">
        <v>1</v>
      </c>
      <c r="Q602" s="44" t="n">
        <v>17812</v>
      </c>
      <c r="R602" s="43" t="s">
        <v>687</v>
      </c>
      <c r="S602" s="43" t="s">
        <v>83</v>
      </c>
      <c r="T602" s="43" t="s">
        <v>641</v>
      </c>
      <c r="U602" s="43" t="s">
        <v>642</v>
      </c>
      <c r="V602" s="43" t="n">
        <v>21</v>
      </c>
      <c r="W602" s="43" t="n">
        <v>32</v>
      </c>
      <c r="X602" s="43" t="n">
        <v>53</v>
      </c>
      <c r="Y602" s="43" t="s">
        <v>635</v>
      </c>
      <c r="Z602" s="43" t="s">
        <v>636</v>
      </c>
    </row>
    <row r="603" customFormat="false" ht="15" hidden="false" customHeight="false" outlineLevel="0" collapsed="false">
      <c r="A603" s="43" t="n">
        <v>601</v>
      </c>
      <c r="B603" s="43" t="s">
        <v>1005</v>
      </c>
      <c r="C603" s="43" t="s">
        <v>1006</v>
      </c>
      <c r="D603" s="43" t="s">
        <v>1006</v>
      </c>
      <c r="E603" s="43" t="s">
        <v>144</v>
      </c>
      <c r="F603" s="43" t="s">
        <v>61</v>
      </c>
      <c r="G603" s="43" t="n">
        <v>2024</v>
      </c>
      <c r="H603" s="44" t="n">
        <v>0</v>
      </c>
      <c r="I603" s="43" t="n">
        <v>2024</v>
      </c>
      <c r="J603" s="43" t="n">
        <v>12</v>
      </c>
      <c r="K603" s="44" t="n">
        <v>4697</v>
      </c>
      <c r="L603" s="43" t="n">
        <v>2025</v>
      </c>
      <c r="M603" s="43" t="n">
        <v>1</v>
      </c>
      <c r="N603" s="44" t="n">
        <v>4697</v>
      </c>
      <c r="O603" s="43" t="n">
        <v>2025</v>
      </c>
      <c r="P603" s="43" t="n">
        <v>2</v>
      </c>
      <c r="Q603" s="44" t="n">
        <v>6266</v>
      </c>
      <c r="R603" s="43" t="s">
        <v>687</v>
      </c>
      <c r="S603" s="43" t="s">
        <v>83</v>
      </c>
      <c r="T603" s="43" t="s">
        <v>641</v>
      </c>
      <c r="U603" s="43" t="s">
        <v>642</v>
      </c>
      <c r="V603" s="43" t="n">
        <v>7</v>
      </c>
      <c r="W603" s="43" t="n">
        <v>39</v>
      </c>
      <c r="X603" s="43" t="n">
        <v>46</v>
      </c>
      <c r="Y603" s="43" t="s">
        <v>635</v>
      </c>
      <c r="Z603" s="43" t="s">
        <v>636</v>
      </c>
    </row>
    <row r="604" customFormat="false" ht="15" hidden="false" customHeight="false" outlineLevel="0" collapsed="false">
      <c r="A604" s="43" t="n">
        <v>602</v>
      </c>
      <c r="B604" s="43" t="s">
        <v>1007</v>
      </c>
      <c r="C604" s="43" t="s">
        <v>1008</v>
      </c>
      <c r="D604" s="43" t="s">
        <v>1008</v>
      </c>
      <c r="E604" s="43" t="s">
        <v>144</v>
      </c>
      <c r="F604" s="43" t="s">
        <v>61</v>
      </c>
      <c r="G604" s="43" t="n">
        <v>2025</v>
      </c>
      <c r="H604" s="44" t="n">
        <v>0</v>
      </c>
      <c r="I604" s="43" t="n">
        <v>2025</v>
      </c>
      <c r="J604" s="43" t="n">
        <v>1</v>
      </c>
      <c r="K604" s="44" t="n">
        <v>36175</v>
      </c>
      <c r="L604" s="43" t="n">
        <v>2025</v>
      </c>
      <c r="M604" s="43" t="n">
        <v>1</v>
      </c>
      <c r="N604" s="44" t="n">
        <v>36175</v>
      </c>
      <c r="O604" s="43" t="n">
        <v>2025</v>
      </c>
      <c r="P604" s="43" t="n">
        <v>2</v>
      </c>
      <c r="Q604" s="44" t="n">
        <v>36175</v>
      </c>
      <c r="R604" s="43" t="s">
        <v>687</v>
      </c>
      <c r="S604" s="43" t="s">
        <v>83</v>
      </c>
      <c r="T604" s="43" t="s">
        <v>641</v>
      </c>
      <c r="U604" s="43" t="s">
        <v>642</v>
      </c>
      <c r="V604" s="43" t="n">
        <v>6</v>
      </c>
      <c r="W604" s="43" t="n">
        <v>29</v>
      </c>
      <c r="X604" s="43" t="n">
        <v>35</v>
      </c>
      <c r="Y604" s="43" t="s">
        <v>635</v>
      </c>
      <c r="Z604" s="43" t="s">
        <v>636</v>
      </c>
    </row>
    <row r="605" customFormat="false" ht="15" hidden="false" customHeight="false" outlineLevel="0" collapsed="false">
      <c r="A605" s="43" t="n">
        <v>603</v>
      </c>
      <c r="B605" s="43" t="s">
        <v>1007</v>
      </c>
      <c r="C605" s="43" t="s">
        <v>1008</v>
      </c>
      <c r="D605" s="43" t="s">
        <v>1008</v>
      </c>
      <c r="E605" s="43" t="s">
        <v>144</v>
      </c>
      <c r="F605" s="43" t="s">
        <v>61</v>
      </c>
      <c r="G605" s="43" t="n">
        <v>2025</v>
      </c>
      <c r="H605" s="44" t="n">
        <v>0</v>
      </c>
      <c r="I605" s="43" t="n">
        <v>2025</v>
      </c>
      <c r="J605" s="43" t="n">
        <v>2</v>
      </c>
      <c r="K605" s="44" t="n">
        <v>47631</v>
      </c>
      <c r="L605" s="43" t="n">
        <v>2025</v>
      </c>
      <c r="M605" s="43" t="n">
        <v>2</v>
      </c>
      <c r="N605" s="44" t="n">
        <v>47631</v>
      </c>
      <c r="O605" s="43" t="n">
        <v>2025</v>
      </c>
      <c r="P605" s="43" t="n">
        <v>3</v>
      </c>
      <c r="Q605" s="44" t="n">
        <v>49640</v>
      </c>
      <c r="R605" s="43" t="s">
        <v>687</v>
      </c>
      <c r="S605" s="43" t="s">
        <v>83</v>
      </c>
      <c r="T605" s="43" t="s">
        <v>641</v>
      </c>
      <c r="U605" s="43" t="s">
        <v>642</v>
      </c>
      <c r="V605" s="43" t="n">
        <v>2</v>
      </c>
      <c r="W605" s="43" t="n">
        <v>28</v>
      </c>
      <c r="X605" s="43" t="n">
        <v>30</v>
      </c>
      <c r="Y605" s="43" t="s">
        <v>635</v>
      </c>
      <c r="Z605" s="43" t="s">
        <v>636</v>
      </c>
    </row>
    <row r="606" customFormat="false" ht="15" hidden="false" customHeight="false" outlineLevel="0" collapsed="false">
      <c r="A606" s="43" t="n">
        <v>604</v>
      </c>
      <c r="B606" s="43" t="s">
        <v>1007</v>
      </c>
      <c r="C606" s="43" t="s">
        <v>1008</v>
      </c>
      <c r="D606" s="43" t="s">
        <v>1008</v>
      </c>
      <c r="E606" s="43" t="s">
        <v>144</v>
      </c>
      <c r="F606" s="43" t="s">
        <v>61</v>
      </c>
      <c r="G606" s="43" t="n">
        <v>2025</v>
      </c>
      <c r="H606" s="44" t="n">
        <v>0</v>
      </c>
      <c r="I606" s="43" t="n">
        <v>2025</v>
      </c>
      <c r="J606" s="43" t="n">
        <v>3</v>
      </c>
      <c r="K606" s="44" t="n">
        <v>34217</v>
      </c>
      <c r="L606" s="43" t="n">
        <v>2025</v>
      </c>
      <c r="M606" s="43" t="n">
        <v>4</v>
      </c>
      <c r="N606" s="44" t="n">
        <v>34217</v>
      </c>
      <c r="O606" s="43" t="n">
        <v>2025</v>
      </c>
      <c r="P606" s="43" t="n">
        <v>5</v>
      </c>
      <c r="Q606" s="44" t="n">
        <v>34217</v>
      </c>
      <c r="R606" s="43" t="s">
        <v>687</v>
      </c>
      <c r="S606" s="43" t="s">
        <v>83</v>
      </c>
      <c r="T606" s="43" t="s">
        <v>641</v>
      </c>
      <c r="U606" s="43" t="s">
        <v>642</v>
      </c>
      <c r="V606" s="43" t="n">
        <v>15</v>
      </c>
      <c r="W606" s="43" t="n">
        <v>40</v>
      </c>
      <c r="X606" s="43" t="n">
        <v>55</v>
      </c>
      <c r="Y606" s="43" t="s">
        <v>635</v>
      </c>
      <c r="Z606" s="43" t="s">
        <v>636</v>
      </c>
    </row>
    <row r="607" customFormat="false" ht="15" hidden="false" customHeight="false" outlineLevel="0" collapsed="false">
      <c r="A607" s="43" t="n">
        <v>605</v>
      </c>
      <c r="B607" s="43" t="s">
        <v>1007</v>
      </c>
      <c r="C607" s="43" t="s">
        <v>1008</v>
      </c>
      <c r="D607" s="43" t="s">
        <v>1008</v>
      </c>
      <c r="E607" s="43" t="s">
        <v>144</v>
      </c>
      <c r="F607" s="43" t="s">
        <v>61</v>
      </c>
      <c r="G607" s="43" t="n">
        <v>2025</v>
      </c>
      <c r="H607" s="44" t="n">
        <v>0</v>
      </c>
      <c r="I607" s="43" t="n">
        <v>2025</v>
      </c>
      <c r="J607" s="43" t="n">
        <v>4</v>
      </c>
      <c r="K607" s="44" t="n">
        <v>25392</v>
      </c>
      <c r="L607" s="43" t="n">
        <v>2025</v>
      </c>
      <c r="M607" s="43" t="n">
        <v>5</v>
      </c>
      <c r="N607" s="44" t="n">
        <v>25392</v>
      </c>
      <c r="O607" s="43" t="n">
        <v>2025</v>
      </c>
      <c r="P607" s="43" t="n">
        <v>5</v>
      </c>
      <c r="Q607" s="44" t="n">
        <v>23832</v>
      </c>
      <c r="R607" s="43" t="s">
        <v>687</v>
      </c>
      <c r="S607" s="43" t="s">
        <v>83</v>
      </c>
      <c r="T607" s="43" t="s">
        <v>641</v>
      </c>
      <c r="U607" s="43" t="s">
        <v>642</v>
      </c>
      <c r="V607" s="43" t="n">
        <v>23</v>
      </c>
      <c r="W607" s="43" t="n">
        <v>2</v>
      </c>
      <c r="X607" s="43" t="n">
        <v>25</v>
      </c>
      <c r="Y607" s="43" t="s">
        <v>635</v>
      </c>
      <c r="Z607" s="43" t="s">
        <v>636</v>
      </c>
    </row>
    <row r="608" customFormat="false" ht="15" hidden="false" customHeight="false" outlineLevel="0" collapsed="false">
      <c r="A608" s="43" t="n">
        <v>606</v>
      </c>
      <c r="B608" s="43" t="s">
        <v>1007</v>
      </c>
      <c r="C608" s="43" t="s">
        <v>1008</v>
      </c>
      <c r="D608" s="43" t="s">
        <v>1008</v>
      </c>
      <c r="E608" s="43" t="s">
        <v>144</v>
      </c>
      <c r="F608" s="43" t="s">
        <v>61</v>
      </c>
      <c r="G608" s="43" t="n">
        <v>2025</v>
      </c>
      <c r="H608" s="44" t="n">
        <v>0</v>
      </c>
      <c r="I608" s="43" t="n">
        <v>2025</v>
      </c>
      <c r="J608" s="43" t="n">
        <v>5</v>
      </c>
      <c r="K608" s="44" t="n">
        <v>57648</v>
      </c>
      <c r="L608" s="43" t="n">
        <v>2025</v>
      </c>
      <c r="M608" s="43" t="n">
        <v>6</v>
      </c>
      <c r="N608" s="44" t="n">
        <v>57648</v>
      </c>
      <c r="O608" s="43" t="n">
        <v>2025</v>
      </c>
      <c r="P608" s="43" t="n">
        <v>6</v>
      </c>
      <c r="Q608" s="44" t="n">
        <v>57648</v>
      </c>
      <c r="R608" s="43" t="s">
        <v>687</v>
      </c>
      <c r="S608" s="43" t="s">
        <v>83</v>
      </c>
      <c r="T608" s="43" t="s">
        <v>641</v>
      </c>
      <c r="U608" s="43" t="s">
        <v>642</v>
      </c>
      <c r="V608" s="43" t="n">
        <v>8</v>
      </c>
      <c r="W608" s="43" t="n">
        <v>3</v>
      </c>
      <c r="X608" s="43" t="n">
        <v>11</v>
      </c>
      <c r="Y608" s="43" t="s">
        <v>635</v>
      </c>
      <c r="Z608" s="43" t="s">
        <v>636</v>
      </c>
    </row>
    <row r="609" customFormat="false" ht="15" hidden="false" customHeight="false" outlineLevel="0" collapsed="false">
      <c r="A609" s="43" t="n">
        <v>607</v>
      </c>
      <c r="B609" s="43" t="s">
        <v>1007</v>
      </c>
      <c r="C609" s="43" t="s">
        <v>1008</v>
      </c>
      <c r="D609" s="43" t="s">
        <v>1008</v>
      </c>
      <c r="E609" s="43" t="s">
        <v>144</v>
      </c>
      <c r="F609" s="43" t="s">
        <v>61</v>
      </c>
      <c r="G609" s="43" t="n">
        <v>2025</v>
      </c>
      <c r="H609" s="44" t="n">
        <v>0</v>
      </c>
      <c r="I609" s="43" t="n">
        <v>2025</v>
      </c>
      <c r="J609" s="43" t="n">
        <v>6</v>
      </c>
      <c r="K609" s="44" t="n">
        <v>59126</v>
      </c>
      <c r="L609" s="43" t="n">
        <v>2025</v>
      </c>
      <c r="M609" s="43" t="n">
        <v>7</v>
      </c>
      <c r="N609" s="44" t="n">
        <v>59126</v>
      </c>
      <c r="O609" s="43" t="n">
        <v>2025</v>
      </c>
      <c r="P609" s="43" t="n">
        <v>7</v>
      </c>
      <c r="Q609" s="44" t="n">
        <v>57921.1683018868</v>
      </c>
      <c r="R609" s="43" t="s">
        <v>687</v>
      </c>
      <c r="S609" s="43" t="s">
        <v>83</v>
      </c>
      <c r="T609" s="43" t="s">
        <v>641</v>
      </c>
      <c r="U609" s="43" t="s">
        <v>642</v>
      </c>
      <c r="V609" s="43" t="n">
        <v>6</v>
      </c>
      <c r="W609" s="43" t="n">
        <v>8</v>
      </c>
      <c r="X609" s="43" t="n">
        <v>14</v>
      </c>
      <c r="Y609" s="43" t="s">
        <v>635</v>
      </c>
      <c r="Z609" s="43" t="s">
        <v>636</v>
      </c>
    </row>
    <row r="610" customFormat="false" ht="15" hidden="false" customHeight="false" outlineLevel="0" collapsed="false">
      <c r="A610" s="43" t="n">
        <v>608</v>
      </c>
      <c r="B610" s="43" t="s">
        <v>1007</v>
      </c>
      <c r="C610" s="43" t="s">
        <v>1008</v>
      </c>
      <c r="D610" s="43" t="s">
        <v>1008</v>
      </c>
      <c r="E610" s="43" t="s">
        <v>144</v>
      </c>
      <c r="F610" s="43" t="s">
        <v>61</v>
      </c>
      <c r="G610" s="43" t="n">
        <v>2025</v>
      </c>
      <c r="H610" s="44" t="n">
        <v>0</v>
      </c>
      <c r="I610" s="43" t="n">
        <v>2025</v>
      </c>
      <c r="J610" s="43" t="n">
        <v>7</v>
      </c>
      <c r="K610" s="44" t="n">
        <v>30280</v>
      </c>
      <c r="L610" s="43" t="n">
        <v>2025</v>
      </c>
      <c r="M610" s="43" t="n">
        <v>8</v>
      </c>
      <c r="N610" s="44" t="n">
        <v>30280</v>
      </c>
      <c r="O610" s="43" t="n">
        <v>2025</v>
      </c>
      <c r="P610" s="43" t="n">
        <v>8</v>
      </c>
      <c r="Q610" s="44" t="n">
        <v>28722.3962264151</v>
      </c>
      <c r="R610" s="43" t="s">
        <v>687</v>
      </c>
      <c r="S610" s="43" t="s">
        <v>83</v>
      </c>
      <c r="T610" s="43" t="s">
        <v>641</v>
      </c>
      <c r="U610" s="43" t="s">
        <v>642</v>
      </c>
      <c r="V610" s="43" t="n">
        <v>17</v>
      </c>
      <c r="W610" s="43" t="n">
        <v>1</v>
      </c>
      <c r="X610" s="43" t="n">
        <v>18</v>
      </c>
      <c r="Y610" s="43" t="s">
        <v>635</v>
      </c>
      <c r="Z610" s="43" t="s">
        <v>636</v>
      </c>
    </row>
    <row r="611" customFormat="false" ht="15" hidden="false" customHeight="false" outlineLevel="0" collapsed="false">
      <c r="A611" s="43" t="n">
        <v>609</v>
      </c>
      <c r="B611" s="43" t="s">
        <v>1007</v>
      </c>
      <c r="C611" s="43" t="s">
        <v>1008</v>
      </c>
      <c r="D611" s="43" t="s">
        <v>1008</v>
      </c>
      <c r="E611" s="43" t="s">
        <v>144</v>
      </c>
      <c r="F611" s="43" t="s">
        <v>61</v>
      </c>
      <c r="G611" s="43" t="n">
        <v>2025</v>
      </c>
      <c r="H611" s="44" t="n">
        <v>0</v>
      </c>
      <c r="I611" s="43" t="n">
        <v>2025</v>
      </c>
      <c r="J611" s="43" t="n">
        <v>8</v>
      </c>
      <c r="K611" s="44" t="n">
        <v>5300</v>
      </c>
      <c r="L611" s="43" t="n">
        <v>2025</v>
      </c>
      <c r="M611" s="43" t="n">
        <v>9</v>
      </c>
      <c r="N611" s="44" t="n">
        <v>5300</v>
      </c>
      <c r="O611" s="43" t="n">
        <v>2025</v>
      </c>
      <c r="P611" s="43" t="n">
        <v>10</v>
      </c>
      <c r="Q611" s="44" t="n">
        <v>5300</v>
      </c>
      <c r="R611" s="43" t="s">
        <v>687</v>
      </c>
      <c r="S611" s="43" t="s">
        <v>83</v>
      </c>
      <c r="T611" s="43" t="s">
        <v>641</v>
      </c>
      <c r="U611" s="43" t="s">
        <v>642</v>
      </c>
      <c r="V611" s="43" t="n">
        <v>25</v>
      </c>
      <c r="W611" s="43" t="n">
        <v>35</v>
      </c>
      <c r="X611" s="43" t="n">
        <v>60</v>
      </c>
      <c r="Y611" s="43" t="s">
        <v>635</v>
      </c>
      <c r="Z611" s="43" t="s">
        <v>636</v>
      </c>
    </row>
    <row r="612" customFormat="false" ht="15" hidden="false" customHeight="false" outlineLevel="0" collapsed="false">
      <c r="A612" s="43" t="n">
        <v>610</v>
      </c>
      <c r="B612" s="43" t="s">
        <v>1007</v>
      </c>
      <c r="C612" s="43" t="s">
        <v>1008</v>
      </c>
      <c r="D612" s="43" t="s">
        <v>1008</v>
      </c>
      <c r="E612" s="43" t="s">
        <v>144</v>
      </c>
      <c r="F612" s="43" t="s">
        <v>61</v>
      </c>
      <c r="G612" s="43" t="n">
        <v>2025</v>
      </c>
      <c r="H612" s="44" t="n">
        <v>0</v>
      </c>
      <c r="I612" s="43" t="n">
        <v>2025</v>
      </c>
      <c r="J612" s="43" t="n">
        <v>10</v>
      </c>
      <c r="K612" s="44" t="n">
        <v>40785</v>
      </c>
      <c r="L612" s="43" t="n">
        <v>2025</v>
      </c>
      <c r="M612" s="43" t="n">
        <v>11</v>
      </c>
      <c r="N612" s="44" t="n">
        <v>40785</v>
      </c>
      <c r="O612" s="43" t="n">
        <v>2025</v>
      </c>
      <c r="P612" s="43" t="n">
        <v>11</v>
      </c>
      <c r="Q612" s="44" t="n">
        <v>40785</v>
      </c>
      <c r="R612" s="43" t="s">
        <v>687</v>
      </c>
      <c r="S612" s="43" t="s">
        <v>83</v>
      </c>
      <c r="T612" s="43" t="s">
        <v>641</v>
      </c>
      <c r="U612" s="43" t="s">
        <v>642</v>
      </c>
      <c r="V612" s="43" t="n">
        <v>3</v>
      </c>
      <c r="W612" s="43" t="n">
        <v>11</v>
      </c>
      <c r="X612" s="43" t="n">
        <v>14</v>
      </c>
      <c r="Y612" s="43" t="s">
        <v>635</v>
      </c>
      <c r="Z612" s="43" t="s">
        <v>636</v>
      </c>
    </row>
    <row r="613" customFormat="false" ht="15" hidden="false" customHeight="false" outlineLevel="0" collapsed="false">
      <c r="A613" s="43" t="n">
        <v>611</v>
      </c>
      <c r="B613" s="43" t="s">
        <v>1009</v>
      </c>
      <c r="C613" s="43" t="s">
        <v>1010</v>
      </c>
      <c r="D613" s="43" t="s">
        <v>1011</v>
      </c>
      <c r="E613" s="43" t="s">
        <v>135</v>
      </c>
      <c r="F613" s="43" t="s">
        <v>48</v>
      </c>
      <c r="G613" s="43" t="n">
        <v>2023</v>
      </c>
      <c r="H613" s="44" t="n">
        <v>0</v>
      </c>
      <c r="I613" s="43" t="n">
        <v>2023</v>
      </c>
      <c r="J613" s="43" t="n">
        <v>4</v>
      </c>
      <c r="K613" s="44" t="n">
        <v>27669.2</v>
      </c>
      <c r="L613" s="43" t="n">
        <v>2023</v>
      </c>
      <c r="M613" s="43" t="n">
        <v>9</v>
      </c>
      <c r="N613" s="44" t="n">
        <v>27669</v>
      </c>
      <c r="O613" s="43" t="n">
        <v>2023</v>
      </c>
      <c r="P613" s="43" t="n">
        <v>9</v>
      </c>
      <c r="Q613" s="44" t="n">
        <v>27669</v>
      </c>
      <c r="R613" s="43" t="s">
        <v>651</v>
      </c>
      <c r="S613" s="43" t="s">
        <v>85</v>
      </c>
      <c r="T613" s="43" t="s">
        <v>633</v>
      </c>
      <c r="U613" s="43" t="s">
        <v>669</v>
      </c>
      <c r="V613" s="43" t="n">
        <v>139</v>
      </c>
      <c r="W613" s="43" t="n">
        <v>22</v>
      </c>
      <c r="X613" s="43" t="n">
        <v>161</v>
      </c>
      <c r="Y613" s="43" t="s">
        <v>635</v>
      </c>
      <c r="Z613" s="43" t="s">
        <v>636</v>
      </c>
    </row>
    <row r="614" customFormat="false" ht="15" hidden="false" customHeight="false" outlineLevel="0" collapsed="false">
      <c r="A614" s="43" t="n">
        <v>612</v>
      </c>
      <c r="B614" s="43" t="s">
        <v>1009</v>
      </c>
      <c r="C614" s="43" t="s">
        <v>1010</v>
      </c>
      <c r="D614" s="43" t="s">
        <v>1011</v>
      </c>
      <c r="E614" s="43" t="s">
        <v>135</v>
      </c>
      <c r="F614" s="43" t="s">
        <v>48</v>
      </c>
      <c r="G614" s="43" t="n">
        <v>2023</v>
      </c>
      <c r="H614" s="44" t="n">
        <v>0</v>
      </c>
      <c r="I614" s="43" t="n">
        <v>2023</v>
      </c>
      <c r="J614" s="43" t="n">
        <v>5</v>
      </c>
      <c r="K614" s="44" t="n">
        <v>29365</v>
      </c>
      <c r="L614" s="43" t="n">
        <v>2023</v>
      </c>
      <c r="M614" s="43" t="n">
        <v>9</v>
      </c>
      <c r="N614" s="44" t="n">
        <v>29365</v>
      </c>
      <c r="O614" s="43" t="n">
        <v>2023</v>
      </c>
      <c r="P614" s="43" t="n">
        <v>9</v>
      </c>
      <c r="Q614" s="44" t="n">
        <v>29365</v>
      </c>
      <c r="R614" s="43" t="s">
        <v>651</v>
      </c>
      <c r="S614" s="43" t="s">
        <v>85</v>
      </c>
      <c r="T614" s="43" t="s">
        <v>633</v>
      </c>
      <c r="U614" s="43" t="s">
        <v>669</v>
      </c>
      <c r="V614" s="43" t="n">
        <v>109</v>
      </c>
      <c r="W614" s="43" t="n">
        <v>22</v>
      </c>
      <c r="X614" s="43" t="n">
        <v>131</v>
      </c>
      <c r="Y614" s="43" t="s">
        <v>635</v>
      </c>
      <c r="Z614" s="43" t="s">
        <v>636</v>
      </c>
    </row>
    <row r="615" customFormat="false" ht="15" hidden="false" customHeight="false" outlineLevel="0" collapsed="false">
      <c r="A615" s="43" t="n">
        <v>613</v>
      </c>
      <c r="B615" s="43" t="s">
        <v>1009</v>
      </c>
      <c r="C615" s="43" t="s">
        <v>1010</v>
      </c>
      <c r="D615" s="43" t="s">
        <v>1011</v>
      </c>
      <c r="E615" s="43" t="s">
        <v>135</v>
      </c>
      <c r="F615" s="43" t="s">
        <v>48</v>
      </c>
      <c r="G615" s="43" t="n">
        <v>2023</v>
      </c>
      <c r="H615" s="44" t="n">
        <v>0</v>
      </c>
      <c r="I615" s="43" t="n">
        <v>2023</v>
      </c>
      <c r="J615" s="43" t="n">
        <v>6</v>
      </c>
      <c r="K615" s="44" t="n">
        <v>8901</v>
      </c>
      <c r="L615" s="43" t="n">
        <v>2023</v>
      </c>
      <c r="M615" s="43" t="n">
        <v>9</v>
      </c>
      <c r="N615" s="44" t="n">
        <v>8901</v>
      </c>
      <c r="O615" s="43" t="n">
        <v>2023</v>
      </c>
      <c r="P615" s="43" t="n">
        <v>9</v>
      </c>
      <c r="Q615" s="44" t="n">
        <v>8901</v>
      </c>
      <c r="R615" s="43" t="s">
        <v>651</v>
      </c>
      <c r="S615" s="43" t="s">
        <v>85</v>
      </c>
      <c r="T615" s="43" t="s">
        <v>633</v>
      </c>
      <c r="U615" s="43" t="s">
        <v>669</v>
      </c>
      <c r="V615" s="43" t="n">
        <v>78</v>
      </c>
      <c r="W615" s="43" t="n">
        <v>22</v>
      </c>
      <c r="X615" s="43" t="n">
        <v>100</v>
      </c>
      <c r="Y615" s="43" t="s">
        <v>635</v>
      </c>
      <c r="Z615" s="43" t="s">
        <v>636</v>
      </c>
    </row>
    <row r="616" customFormat="false" ht="15" hidden="false" customHeight="false" outlineLevel="0" collapsed="false">
      <c r="A616" s="43" t="n">
        <v>614</v>
      </c>
      <c r="B616" s="43" t="s">
        <v>1009</v>
      </c>
      <c r="C616" s="43" t="s">
        <v>1010</v>
      </c>
      <c r="D616" s="43" t="s">
        <v>1011</v>
      </c>
      <c r="E616" s="43" t="s">
        <v>135</v>
      </c>
      <c r="F616" s="43" t="s">
        <v>48</v>
      </c>
      <c r="G616" s="43" t="n">
        <v>2023</v>
      </c>
      <c r="H616" s="44" t="n">
        <v>0</v>
      </c>
      <c r="I616" s="43" t="n">
        <v>2023</v>
      </c>
      <c r="J616" s="43" t="n">
        <v>7</v>
      </c>
      <c r="K616" s="44" t="n">
        <v>5427</v>
      </c>
      <c r="L616" s="43" t="n">
        <v>2023</v>
      </c>
      <c r="M616" s="43" t="n">
        <v>9</v>
      </c>
      <c r="N616" s="44" t="n">
        <v>5427</v>
      </c>
      <c r="O616" s="43" t="n">
        <v>2023</v>
      </c>
      <c r="P616" s="43" t="n">
        <v>9</v>
      </c>
      <c r="Q616" s="44" t="n">
        <v>5427</v>
      </c>
      <c r="R616" s="43" t="s">
        <v>651</v>
      </c>
      <c r="S616" s="43" t="s">
        <v>85</v>
      </c>
      <c r="T616" s="43" t="s">
        <v>633</v>
      </c>
      <c r="U616" s="43" t="s">
        <v>669</v>
      </c>
      <c r="V616" s="43" t="n">
        <v>44</v>
      </c>
      <c r="W616" s="43" t="n">
        <v>22</v>
      </c>
      <c r="X616" s="43" t="n">
        <v>66</v>
      </c>
      <c r="Y616" s="43" t="s">
        <v>635</v>
      </c>
      <c r="Z616" s="43" t="s">
        <v>636</v>
      </c>
    </row>
    <row r="617" customFormat="false" ht="15" hidden="false" customHeight="false" outlineLevel="0" collapsed="false">
      <c r="A617" s="43" t="n">
        <v>615</v>
      </c>
      <c r="B617" s="43" t="s">
        <v>1009</v>
      </c>
      <c r="C617" s="43" t="s">
        <v>1010</v>
      </c>
      <c r="D617" s="43" t="s">
        <v>1011</v>
      </c>
      <c r="E617" s="43" t="s">
        <v>135</v>
      </c>
      <c r="F617" s="43" t="s">
        <v>48</v>
      </c>
      <c r="G617" s="43" t="n">
        <v>2023</v>
      </c>
      <c r="H617" s="44" t="n">
        <v>0</v>
      </c>
      <c r="I617" s="43" t="n">
        <v>2023</v>
      </c>
      <c r="J617" s="43" t="n">
        <v>8</v>
      </c>
      <c r="K617" s="44" t="n">
        <v>1745</v>
      </c>
      <c r="L617" s="43" t="n">
        <v>2023</v>
      </c>
      <c r="M617" s="43" t="n">
        <v>9</v>
      </c>
      <c r="N617" s="44" t="n">
        <v>1745</v>
      </c>
      <c r="O617" s="43" t="n">
        <v>2023</v>
      </c>
      <c r="P617" s="43" t="n">
        <v>10</v>
      </c>
      <c r="Q617" s="44" t="n">
        <v>1745</v>
      </c>
      <c r="R617" s="43" t="s">
        <v>651</v>
      </c>
      <c r="S617" s="43" t="s">
        <v>85</v>
      </c>
      <c r="T617" s="43" t="s">
        <v>633</v>
      </c>
      <c r="U617" s="43" t="s">
        <v>669</v>
      </c>
      <c r="V617" s="43" t="n">
        <v>34</v>
      </c>
      <c r="W617" s="43" t="n">
        <v>22</v>
      </c>
      <c r="X617" s="43" t="n">
        <v>56</v>
      </c>
      <c r="Y617" s="43" t="s">
        <v>635</v>
      </c>
      <c r="Z617" s="43" t="s">
        <v>636</v>
      </c>
    </row>
    <row r="618" customFormat="false" ht="15" hidden="false" customHeight="false" outlineLevel="0" collapsed="false">
      <c r="A618" s="43" t="n">
        <v>616</v>
      </c>
      <c r="B618" s="43" t="s">
        <v>1012</v>
      </c>
      <c r="C618" s="43" t="s">
        <v>1013</v>
      </c>
      <c r="D618" s="43" t="s">
        <v>1014</v>
      </c>
      <c r="E618" s="43" t="s">
        <v>134</v>
      </c>
      <c r="F618" s="43" t="s">
        <v>48</v>
      </c>
      <c r="G618" s="43" t="n">
        <v>2022</v>
      </c>
      <c r="H618" s="44" t="n">
        <v>0</v>
      </c>
      <c r="I618" s="43" t="n">
        <v>2022</v>
      </c>
      <c r="J618" s="43" t="n">
        <v>11</v>
      </c>
      <c r="K618" s="44" t="n">
        <v>48365.26</v>
      </c>
      <c r="L618" s="43" t="n">
        <v>2022</v>
      </c>
      <c r="M618" s="43" t="n">
        <v>12</v>
      </c>
      <c r="N618" s="44" t="n">
        <v>48365.26</v>
      </c>
      <c r="O618" s="43" t="n">
        <v>2023</v>
      </c>
      <c r="P618" s="43" t="n">
        <v>1</v>
      </c>
      <c r="Q618" s="44" t="n">
        <v>48365.26</v>
      </c>
      <c r="R618" s="43" t="s">
        <v>651</v>
      </c>
      <c r="S618" s="43" t="s">
        <v>85</v>
      </c>
      <c r="T618" s="43" t="s">
        <v>633</v>
      </c>
      <c r="U618" s="43" t="s">
        <v>669</v>
      </c>
      <c r="V618" s="43" t="n">
        <v>37</v>
      </c>
      <c r="W618" s="43" t="n">
        <v>30</v>
      </c>
      <c r="X618" s="43" t="n">
        <v>67</v>
      </c>
      <c r="Y618" s="43" t="s">
        <v>635</v>
      </c>
      <c r="Z618" s="43" t="s">
        <v>636</v>
      </c>
    </row>
    <row r="619" customFormat="false" ht="15" hidden="false" customHeight="false" outlineLevel="0" collapsed="false">
      <c r="A619" s="43" t="n">
        <v>617</v>
      </c>
      <c r="B619" s="43" t="s">
        <v>1012</v>
      </c>
      <c r="C619" s="43" t="s">
        <v>1013</v>
      </c>
      <c r="D619" s="43" t="s">
        <v>1014</v>
      </c>
      <c r="E619" s="43" t="s">
        <v>134</v>
      </c>
      <c r="F619" s="43" t="s">
        <v>48</v>
      </c>
      <c r="G619" s="43" t="n">
        <v>2023</v>
      </c>
      <c r="H619" s="44" t="n">
        <v>0</v>
      </c>
      <c r="I619" s="43" t="n">
        <v>2022</v>
      </c>
      <c r="J619" s="43" t="n">
        <v>12</v>
      </c>
      <c r="K619" s="44" t="n">
        <v>43637</v>
      </c>
      <c r="L619" s="43" t="n">
        <v>2023</v>
      </c>
      <c r="M619" s="43" t="n">
        <v>1</v>
      </c>
      <c r="N619" s="44" t="n">
        <v>43637</v>
      </c>
      <c r="O619" s="43" t="n">
        <v>2023</v>
      </c>
      <c r="P619" s="43" t="n">
        <v>2</v>
      </c>
      <c r="Q619" s="44" t="n">
        <v>43637</v>
      </c>
      <c r="R619" s="43" t="s">
        <v>651</v>
      </c>
      <c r="S619" s="43" t="s">
        <v>85</v>
      </c>
      <c r="T619" s="43" t="s">
        <v>633</v>
      </c>
      <c r="U619" s="43" t="s">
        <v>669</v>
      </c>
      <c r="V619" s="43" t="n">
        <v>19</v>
      </c>
      <c r="W619" s="43" t="n">
        <v>29</v>
      </c>
      <c r="X619" s="43" t="n">
        <v>48</v>
      </c>
      <c r="Y619" s="43" t="s">
        <v>635</v>
      </c>
      <c r="Z619" s="43" t="s">
        <v>636</v>
      </c>
    </row>
    <row r="620" customFormat="false" ht="15" hidden="false" customHeight="false" outlineLevel="0" collapsed="false">
      <c r="A620" s="43" t="n">
        <v>618</v>
      </c>
      <c r="B620" s="43" t="s">
        <v>1015</v>
      </c>
      <c r="C620" s="43" t="s">
        <v>262</v>
      </c>
      <c r="D620" s="43" t="s">
        <v>262</v>
      </c>
      <c r="E620" s="43" t="s">
        <v>174</v>
      </c>
      <c r="F620" s="43" t="s">
        <v>76</v>
      </c>
      <c r="G620" s="43" t="n">
        <v>2026</v>
      </c>
      <c r="H620" s="44" t="n">
        <v>87873</v>
      </c>
      <c r="I620" s="43" t="n">
        <v>2026</v>
      </c>
      <c r="J620" s="43" t="n">
        <v>3</v>
      </c>
      <c r="K620" s="44" t="n">
        <v>138023</v>
      </c>
      <c r="L620" s="43" t="n">
        <v>2026</v>
      </c>
      <c r="M620" s="43" t="n">
        <v>3</v>
      </c>
      <c r="N620" s="44" t="n">
        <v>138023</v>
      </c>
      <c r="O620" s="43" t="n">
        <v>2026</v>
      </c>
      <c r="P620" s="43" t="n">
        <v>6</v>
      </c>
      <c r="Q620" s="44" t="n">
        <v>0</v>
      </c>
      <c r="R620" s="43" t="s">
        <v>646</v>
      </c>
      <c r="S620" s="43" t="s">
        <v>83</v>
      </c>
      <c r="T620" s="43" t="s">
        <v>641</v>
      </c>
      <c r="U620" s="43" t="s">
        <v>660</v>
      </c>
      <c r="V620" s="43" t="n">
        <v>0</v>
      </c>
      <c r="W620" s="43" t="n">
        <v>78</v>
      </c>
      <c r="X620" s="43" t="n">
        <v>78</v>
      </c>
      <c r="Y620" s="43" t="s">
        <v>635</v>
      </c>
      <c r="Z620" s="43" t="s">
        <v>636</v>
      </c>
    </row>
    <row r="621" customFormat="false" ht="15" hidden="false" customHeight="false" outlineLevel="0" collapsed="false">
      <c r="A621" s="43" t="n">
        <v>619</v>
      </c>
      <c r="B621" s="43" t="s">
        <v>1015</v>
      </c>
      <c r="C621" s="43" t="s">
        <v>262</v>
      </c>
      <c r="D621" s="43" t="s">
        <v>262</v>
      </c>
      <c r="E621" s="43" t="s">
        <v>174</v>
      </c>
      <c r="F621" s="43" t="s">
        <v>76</v>
      </c>
      <c r="G621" s="43" t="n">
        <v>2026</v>
      </c>
      <c r="H621" s="44" t="n">
        <v>0</v>
      </c>
      <c r="I621" s="43" t="n">
        <v>2026</v>
      </c>
      <c r="J621" s="43" t="n">
        <v>4</v>
      </c>
      <c r="K621" s="44" t="n">
        <v>15725</v>
      </c>
      <c r="L621" s="43" t="n">
        <v>2026</v>
      </c>
      <c r="M621" s="43" t="n">
        <v>4</v>
      </c>
      <c r="N621" s="44" t="n">
        <v>15725</v>
      </c>
      <c r="O621" s="43" t="n">
        <v>2026</v>
      </c>
      <c r="P621" s="43" t="n">
        <v>6</v>
      </c>
      <c r="Q621" s="44" t="n">
        <v>0</v>
      </c>
      <c r="R621" s="43" t="s">
        <v>646</v>
      </c>
      <c r="S621" s="43" t="s">
        <v>83</v>
      </c>
      <c r="T621" s="43" t="s">
        <v>641</v>
      </c>
      <c r="U621" s="43" t="s">
        <v>660</v>
      </c>
      <c r="V621" s="43" t="n">
        <v>0</v>
      </c>
      <c r="W621" s="43" t="n">
        <v>49</v>
      </c>
      <c r="X621" s="43" t="n">
        <v>49</v>
      </c>
      <c r="Y621" s="43" t="s">
        <v>635</v>
      </c>
      <c r="Z621" s="43" t="s">
        <v>636</v>
      </c>
    </row>
    <row r="622" customFormat="false" ht="15" hidden="false" customHeight="false" outlineLevel="0" collapsed="false">
      <c r="A622" s="43" t="n">
        <v>620</v>
      </c>
      <c r="B622" s="43" t="s">
        <v>1016</v>
      </c>
      <c r="C622" s="43" t="s">
        <v>260</v>
      </c>
      <c r="D622" s="43" t="s">
        <v>260</v>
      </c>
      <c r="E622" s="43" t="s">
        <v>174</v>
      </c>
      <c r="F622" s="43" t="s">
        <v>76</v>
      </c>
      <c r="G622" s="43" t="n">
        <v>2026</v>
      </c>
      <c r="H622" s="44" t="n">
        <v>33597</v>
      </c>
      <c r="I622" s="43" t="n">
        <v>2026</v>
      </c>
      <c r="J622" s="43" t="n">
        <v>3</v>
      </c>
      <c r="K622" s="44" t="n">
        <v>113391</v>
      </c>
      <c r="L622" s="43" t="n">
        <v>2026</v>
      </c>
      <c r="M622" s="43" t="n">
        <v>3</v>
      </c>
      <c r="N622" s="44" t="n">
        <v>113391</v>
      </c>
      <c r="O622" s="43" t="n">
        <v>2026</v>
      </c>
      <c r="P622" s="43" t="n">
        <v>6</v>
      </c>
      <c r="Q622" s="44" t="n">
        <v>0</v>
      </c>
      <c r="R622" s="43" t="s">
        <v>646</v>
      </c>
      <c r="S622" s="43" t="s">
        <v>83</v>
      </c>
      <c r="T622" s="43" t="s">
        <v>641</v>
      </c>
      <c r="U622" s="43" t="s">
        <v>669</v>
      </c>
      <c r="V622" s="43" t="n">
        <v>0</v>
      </c>
      <c r="W622" s="43" t="n">
        <v>85</v>
      </c>
      <c r="X622" s="43" t="n">
        <v>85</v>
      </c>
      <c r="Y622" s="43" t="s">
        <v>635</v>
      </c>
      <c r="Z622" s="43" t="s">
        <v>636</v>
      </c>
    </row>
    <row r="623" customFormat="false" ht="15" hidden="false" customHeight="false" outlineLevel="0" collapsed="false">
      <c r="A623" s="43" t="n">
        <v>621</v>
      </c>
      <c r="B623" s="43" t="s">
        <v>1016</v>
      </c>
      <c r="C623" s="43" t="s">
        <v>260</v>
      </c>
      <c r="D623" s="43" t="s">
        <v>260</v>
      </c>
      <c r="E623" s="43" t="s">
        <v>174</v>
      </c>
      <c r="F623" s="43" t="s">
        <v>76</v>
      </c>
      <c r="G623" s="43" t="n">
        <v>2026</v>
      </c>
      <c r="H623" s="44" t="n">
        <v>0</v>
      </c>
      <c r="I623" s="43" t="n">
        <v>2026</v>
      </c>
      <c r="J623" s="43" t="n">
        <v>4</v>
      </c>
      <c r="K623" s="44" t="n">
        <v>65295</v>
      </c>
      <c r="L623" s="43" t="n">
        <v>2026</v>
      </c>
      <c r="M623" s="43" t="n">
        <v>4</v>
      </c>
      <c r="N623" s="44" t="n">
        <v>65295</v>
      </c>
      <c r="O623" s="43" t="n">
        <v>2026</v>
      </c>
      <c r="P623" s="43" t="n">
        <v>6</v>
      </c>
      <c r="Q623" s="44" t="n">
        <v>0</v>
      </c>
      <c r="R623" s="43" t="s">
        <v>646</v>
      </c>
      <c r="S623" s="43" t="s">
        <v>83</v>
      </c>
      <c r="T623" s="43" t="s">
        <v>641</v>
      </c>
      <c r="U623" s="43" t="s">
        <v>669</v>
      </c>
      <c r="V623" s="43" t="n">
        <v>0</v>
      </c>
      <c r="W623" s="43" t="n">
        <v>56</v>
      </c>
      <c r="X623" s="43" t="n">
        <v>56</v>
      </c>
      <c r="Y623" s="43" t="s">
        <v>635</v>
      </c>
      <c r="Z623" s="43" t="s">
        <v>636</v>
      </c>
    </row>
    <row r="624" customFormat="false" ht="15" hidden="false" customHeight="false" outlineLevel="0" collapsed="false">
      <c r="A624" s="43" t="n">
        <v>622</v>
      </c>
      <c r="B624" s="43" t="s">
        <v>1017</v>
      </c>
      <c r="C624" s="43" t="s">
        <v>1018</v>
      </c>
      <c r="D624" s="43" t="s">
        <v>1018</v>
      </c>
      <c r="E624" s="43" t="s">
        <v>1019</v>
      </c>
      <c r="F624" s="43" t="s">
        <v>48</v>
      </c>
      <c r="G624" s="43" t="n">
        <v>2025</v>
      </c>
      <c r="H624" s="44" t="n">
        <v>0</v>
      </c>
      <c r="I624" s="43" t="n">
        <v>2025</v>
      </c>
      <c r="J624" s="43" t="n">
        <v>9</v>
      </c>
      <c r="K624" s="44" t="n">
        <v>10175</v>
      </c>
      <c r="L624" s="43" t="n">
        <v>2025</v>
      </c>
      <c r="M624" s="43" t="n">
        <v>10</v>
      </c>
      <c r="N624" s="44" t="n">
        <v>10175</v>
      </c>
      <c r="O624" s="43" t="n">
        <v>2025</v>
      </c>
      <c r="P624" s="43" t="n">
        <v>11</v>
      </c>
      <c r="Q624" s="44" t="n">
        <v>10175</v>
      </c>
      <c r="R624" s="43" t="s">
        <v>651</v>
      </c>
      <c r="S624" s="43" t="s">
        <v>85</v>
      </c>
      <c r="T624" s="43" t="s">
        <v>633</v>
      </c>
      <c r="U624" s="43" t="s">
        <v>647</v>
      </c>
      <c r="V624" s="43" t="n">
        <v>13</v>
      </c>
      <c r="W624" s="43" t="n">
        <v>39</v>
      </c>
      <c r="X624" s="43" t="n">
        <v>52</v>
      </c>
      <c r="Y624" s="43" t="s">
        <v>635</v>
      </c>
      <c r="Z624" s="43" t="s">
        <v>636</v>
      </c>
    </row>
    <row r="625" customFormat="false" ht="15" hidden="false" customHeight="false" outlineLevel="0" collapsed="false">
      <c r="A625" s="43" t="n">
        <v>623</v>
      </c>
      <c r="B625" s="43" t="s">
        <v>1020</v>
      </c>
      <c r="C625" s="43" t="s">
        <v>1021</v>
      </c>
      <c r="D625" s="43" t="s">
        <v>1022</v>
      </c>
      <c r="E625" s="43" t="s">
        <v>151</v>
      </c>
      <c r="F625" s="43" t="s">
        <v>61</v>
      </c>
      <c r="G625" s="43" t="n">
        <v>2022</v>
      </c>
      <c r="H625" s="44" t="n">
        <v>0</v>
      </c>
      <c r="I625" s="43" t="n">
        <v>2022</v>
      </c>
      <c r="J625" s="43" t="n">
        <v>11</v>
      </c>
      <c r="K625" s="44" t="n">
        <v>76480</v>
      </c>
      <c r="L625" s="43" t="n">
        <v>2022</v>
      </c>
      <c r="M625" s="43" t="n">
        <v>12</v>
      </c>
      <c r="N625" s="44" t="n">
        <v>76385.09</v>
      </c>
      <c r="O625" s="43" t="n">
        <v>2022</v>
      </c>
      <c r="P625" s="43" t="n">
        <v>12</v>
      </c>
      <c r="Q625" s="44" t="n">
        <v>76385.09</v>
      </c>
      <c r="R625" s="43" t="s">
        <v>651</v>
      </c>
      <c r="S625" s="43" t="s">
        <v>85</v>
      </c>
      <c r="T625" s="43" t="s">
        <v>633</v>
      </c>
      <c r="U625" s="43" t="s">
        <v>784</v>
      </c>
      <c r="V625" s="43" t="n">
        <v>29</v>
      </c>
      <c r="W625" s="43" t="n">
        <v>10</v>
      </c>
      <c r="X625" s="43" t="n">
        <v>39</v>
      </c>
      <c r="Y625" s="43" t="s">
        <v>635</v>
      </c>
      <c r="Z625" s="43" t="s">
        <v>636</v>
      </c>
    </row>
    <row r="626" customFormat="false" ht="15" hidden="false" customHeight="false" outlineLevel="0" collapsed="false">
      <c r="A626" s="43" t="n">
        <v>624</v>
      </c>
      <c r="B626" s="43" t="s">
        <v>1020</v>
      </c>
      <c r="C626" s="43" t="s">
        <v>1021</v>
      </c>
      <c r="D626" s="43" t="s">
        <v>1022</v>
      </c>
      <c r="E626" s="43" t="s">
        <v>151</v>
      </c>
      <c r="F626" s="43" t="s">
        <v>61</v>
      </c>
      <c r="G626" s="43" t="n">
        <v>2023</v>
      </c>
      <c r="H626" s="44" t="n">
        <v>0</v>
      </c>
      <c r="I626" s="43" t="n">
        <v>2022</v>
      </c>
      <c r="J626" s="43" t="n">
        <v>12</v>
      </c>
      <c r="K626" s="44" t="n">
        <v>50046.4</v>
      </c>
      <c r="L626" s="43" t="n">
        <v>2023</v>
      </c>
      <c r="M626" s="43" t="n">
        <v>1</v>
      </c>
      <c r="N626" s="44" t="n">
        <v>49915.51</v>
      </c>
      <c r="O626" s="43" t="n">
        <v>2023</v>
      </c>
      <c r="P626" s="43" t="n">
        <v>1</v>
      </c>
      <c r="Q626" s="44" t="n">
        <v>49915.51</v>
      </c>
      <c r="R626" s="43" t="s">
        <v>651</v>
      </c>
      <c r="S626" s="43" t="s">
        <v>85</v>
      </c>
      <c r="T626" s="43" t="s">
        <v>633</v>
      </c>
      <c r="U626" s="43" t="s">
        <v>784</v>
      </c>
      <c r="V626" s="43" t="n">
        <v>12</v>
      </c>
      <c r="W626" s="43" t="n">
        <v>23</v>
      </c>
      <c r="X626" s="43" t="n">
        <v>35</v>
      </c>
      <c r="Y626" s="43" t="s">
        <v>635</v>
      </c>
      <c r="Z626" s="43" t="s">
        <v>636</v>
      </c>
    </row>
    <row r="627" customFormat="false" ht="15" hidden="false" customHeight="false" outlineLevel="0" collapsed="false">
      <c r="A627" s="43" t="n">
        <v>625</v>
      </c>
      <c r="B627" s="43" t="s">
        <v>1020</v>
      </c>
      <c r="C627" s="43" t="s">
        <v>1021</v>
      </c>
      <c r="D627" s="43" t="s">
        <v>1022</v>
      </c>
      <c r="E627" s="43" t="s">
        <v>143</v>
      </c>
      <c r="F627" s="43" t="s">
        <v>61</v>
      </c>
      <c r="G627" s="43" t="n">
        <v>2023</v>
      </c>
      <c r="H627" s="44" t="n">
        <v>0</v>
      </c>
      <c r="I627" s="43" t="n">
        <v>2023</v>
      </c>
      <c r="J627" s="43" t="n">
        <v>1</v>
      </c>
      <c r="K627" s="44" t="n">
        <v>56368</v>
      </c>
      <c r="L627" s="43" t="n">
        <v>2023</v>
      </c>
      <c r="M627" s="43" t="n">
        <v>1</v>
      </c>
      <c r="N627" s="44" t="n">
        <v>56217.41</v>
      </c>
      <c r="O627" s="43" t="n">
        <v>2023</v>
      </c>
      <c r="P627" s="43" t="n">
        <v>2</v>
      </c>
      <c r="Q627" s="44" t="n">
        <v>56217.41</v>
      </c>
      <c r="R627" s="43" t="s">
        <v>651</v>
      </c>
      <c r="S627" s="43" t="s">
        <v>85</v>
      </c>
      <c r="T627" s="43" t="s">
        <v>633</v>
      </c>
      <c r="U627" s="43" t="s">
        <v>784</v>
      </c>
      <c r="V627" s="43"/>
      <c r="W627" s="43" t="n">
        <v>57</v>
      </c>
      <c r="X627" s="43" t="n">
        <v>38</v>
      </c>
      <c r="Y627" s="43" t="s">
        <v>635</v>
      </c>
      <c r="Z627" s="43" t="s">
        <v>636</v>
      </c>
    </row>
    <row r="628" customFormat="false" ht="15" hidden="false" customHeight="false" outlineLevel="0" collapsed="false">
      <c r="A628" s="43" t="n">
        <v>626</v>
      </c>
      <c r="B628" s="43" t="s">
        <v>1020</v>
      </c>
      <c r="C628" s="43" t="s">
        <v>1021</v>
      </c>
      <c r="D628" s="43" t="s">
        <v>1022</v>
      </c>
      <c r="E628" s="43" t="s">
        <v>143</v>
      </c>
      <c r="F628" s="43" t="s">
        <v>61</v>
      </c>
      <c r="G628" s="43" t="n">
        <v>2023</v>
      </c>
      <c r="H628" s="44" t="n">
        <v>0</v>
      </c>
      <c r="I628" s="43" t="n">
        <v>2023</v>
      </c>
      <c r="J628" s="43" t="n">
        <v>2</v>
      </c>
      <c r="K628" s="44" t="n">
        <v>40732.8</v>
      </c>
      <c r="L628" s="43" t="n">
        <v>2023</v>
      </c>
      <c r="M628" s="43" t="n">
        <v>4</v>
      </c>
      <c r="N628" s="44" t="n">
        <v>40587.46</v>
      </c>
      <c r="O628" s="43" t="n">
        <v>2023</v>
      </c>
      <c r="P628" s="43" t="n">
        <v>4</v>
      </c>
      <c r="Q628" s="44" t="n">
        <v>40587.46</v>
      </c>
      <c r="R628" s="43" t="s">
        <v>651</v>
      </c>
      <c r="S628" s="43" t="s">
        <v>85</v>
      </c>
      <c r="T628" s="43" t="s">
        <v>633</v>
      </c>
      <c r="U628" s="43" t="s">
        <v>784</v>
      </c>
      <c r="V628" s="43" t="n">
        <v>42</v>
      </c>
      <c r="W628" s="43" t="n">
        <v>9</v>
      </c>
      <c r="X628" s="43" t="n">
        <v>51</v>
      </c>
      <c r="Y628" s="43" t="s">
        <v>635</v>
      </c>
      <c r="Z628" s="43" t="s">
        <v>636</v>
      </c>
    </row>
    <row r="629" customFormat="false" ht="15" hidden="false" customHeight="false" outlineLevel="0" collapsed="false">
      <c r="A629" s="43" t="n">
        <v>627</v>
      </c>
      <c r="B629" s="43" t="s">
        <v>1020</v>
      </c>
      <c r="C629" s="43" t="s">
        <v>1021</v>
      </c>
      <c r="D629" s="43" t="s">
        <v>1022</v>
      </c>
      <c r="E629" s="43" t="s">
        <v>143</v>
      </c>
      <c r="F629" s="43" t="s">
        <v>61</v>
      </c>
      <c r="G629" s="43" t="n">
        <v>2023</v>
      </c>
      <c r="H629" s="44" t="n">
        <v>0</v>
      </c>
      <c r="I629" s="43" t="n">
        <v>2023</v>
      </c>
      <c r="J629" s="43" t="n">
        <v>3</v>
      </c>
      <c r="K629" s="44" t="n">
        <v>23129.6</v>
      </c>
      <c r="L629" s="43" t="n">
        <v>2023</v>
      </c>
      <c r="M629" s="43" t="n">
        <v>7</v>
      </c>
      <c r="N629" s="44" t="n">
        <v>23129.6</v>
      </c>
      <c r="O629" s="43" t="n">
        <v>2023</v>
      </c>
      <c r="P629" s="43" t="n">
        <v>7</v>
      </c>
      <c r="Q629" s="44" t="n">
        <v>23129.6</v>
      </c>
      <c r="R629" s="43" t="s">
        <v>651</v>
      </c>
      <c r="S629" s="43" t="s">
        <v>85</v>
      </c>
      <c r="T629" s="43" t="s">
        <v>633</v>
      </c>
      <c r="U629" s="43" t="s">
        <v>784</v>
      </c>
      <c r="V629" s="43" t="n">
        <v>104</v>
      </c>
      <c r="W629" s="43" t="n">
        <v>8</v>
      </c>
      <c r="X629" s="43" t="n">
        <v>112</v>
      </c>
      <c r="Y629" s="43" t="s">
        <v>635</v>
      </c>
      <c r="Z629" s="43" t="s">
        <v>636</v>
      </c>
    </row>
    <row r="630" customFormat="false" ht="15" hidden="false" customHeight="false" outlineLevel="0" collapsed="false">
      <c r="A630" s="43" t="n">
        <v>628</v>
      </c>
      <c r="B630" s="43" t="s">
        <v>1020</v>
      </c>
      <c r="C630" s="43" t="s">
        <v>1021</v>
      </c>
      <c r="D630" s="43" t="s">
        <v>1022</v>
      </c>
      <c r="E630" s="43" t="s">
        <v>143</v>
      </c>
      <c r="F630" s="43" t="s">
        <v>61</v>
      </c>
      <c r="G630" s="43" t="n">
        <v>2023</v>
      </c>
      <c r="H630" s="44" t="n">
        <v>0</v>
      </c>
      <c r="I630" s="43" t="n">
        <v>2023</v>
      </c>
      <c r="J630" s="43" t="n">
        <v>4</v>
      </c>
      <c r="K630" s="44" t="n">
        <v>5339.19999999998</v>
      </c>
      <c r="L630" s="43" t="n">
        <v>2023</v>
      </c>
      <c r="M630" s="43" t="n">
        <v>7</v>
      </c>
      <c r="N630" s="44" t="n">
        <v>5339.19999999998</v>
      </c>
      <c r="O630" s="43" t="n">
        <v>2023</v>
      </c>
      <c r="P630" s="43" t="n">
        <v>7</v>
      </c>
      <c r="Q630" s="44" t="n">
        <v>5339.19999999998</v>
      </c>
      <c r="R630" s="43" t="s">
        <v>651</v>
      </c>
      <c r="S630" s="43" t="s">
        <v>85</v>
      </c>
      <c r="T630" s="43" t="s">
        <v>633</v>
      </c>
      <c r="U630" s="43" t="s">
        <v>784</v>
      </c>
      <c r="V630" s="43" t="n">
        <v>73</v>
      </c>
      <c r="W630" s="43" t="n">
        <v>8</v>
      </c>
      <c r="X630" s="43" t="n">
        <v>81</v>
      </c>
      <c r="Y630" s="43" t="s">
        <v>635</v>
      </c>
      <c r="Z630" s="43" t="s">
        <v>636</v>
      </c>
    </row>
    <row r="631" customFormat="false" ht="15" hidden="false" customHeight="false" outlineLevel="0" collapsed="false">
      <c r="A631" s="43" t="n">
        <v>629</v>
      </c>
      <c r="B631" s="43" t="s">
        <v>1023</v>
      </c>
      <c r="C631" s="43" t="s">
        <v>1024</v>
      </c>
      <c r="D631" s="43" t="s">
        <v>1024</v>
      </c>
      <c r="E631" s="43" t="s">
        <v>131</v>
      </c>
      <c r="F631" s="43" t="s">
        <v>48</v>
      </c>
      <c r="G631" s="43" t="n">
        <v>2023</v>
      </c>
      <c r="H631" s="44" t="n">
        <v>34790</v>
      </c>
      <c r="I631" s="43" t="n">
        <v>2023</v>
      </c>
      <c r="J631" s="43" t="n">
        <v>10</v>
      </c>
      <c r="K631" s="44" t="n">
        <v>44990</v>
      </c>
      <c r="L631" s="43" t="n">
        <v>2023</v>
      </c>
      <c r="M631" s="43" t="n">
        <v>10</v>
      </c>
      <c r="N631" s="44" t="n">
        <v>44990</v>
      </c>
      <c r="O631" s="43" t="n">
        <v>2023</v>
      </c>
      <c r="P631" s="43" t="n">
        <v>11</v>
      </c>
      <c r="Q631" s="44" t="n">
        <v>42740.5</v>
      </c>
      <c r="R631" s="43" t="s">
        <v>651</v>
      </c>
      <c r="S631" s="43" t="s">
        <v>85</v>
      </c>
      <c r="T631" s="43" t="s">
        <v>633</v>
      </c>
      <c r="U631" s="43" t="s">
        <v>647</v>
      </c>
      <c r="V631" s="43" t="n">
        <v>1</v>
      </c>
      <c r="W631" s="43" t="n">
        <v>9</v>
      </c>
      <c r="X631" s="43" t="n">
        <v>10</v>
      </c>
      <c r="Y631" s="43" t="s">
        <v>635</v>
      </c>
      <c r="Z631" s="43" t="s">
        <v>636</v>
      </c>
    </row>
    <row r="632" customFormat="false" ht="15" hidden="false" customHeight="false" outlineLevel="0" collapsed="false">
      <c r="A632" s="43" t="n">
        <v>630</v>
      </c>
      <c r="B632" s="43" t="s">
        <v>1025</v>
      </c>
      <c r="C632" s="43" t="s">
        <v>273</v>
      </c>
      <c r="D632" s="43" t="s">
        <v>273</v>
      </c>
      <c r="E632" s="43" t="s">
        <v>168</v>
      </c>
      <c r="F632" s="43" t="s">
        <v>63</v>
      </c>
      <c r="G632" s="43" t="n">
        <v>2025</v>
      </c>
      <c r="H632" s="44" t="n">
        <v>0</v>
      </c>
      <c r="I632" s="43" t="n">
        <v>2025</v>
      </c>
      <c r="J632" s="43" t="n">
        <v>11</v>
      </c>
      <c r="K632" s="44" t="n">
        <v>74044</v>
      </c>
      <c r="L632" s="43" t="n">
        <v>2025</v>
      </c>
      <c r="M632" s="43" t="n">
        <v>12</v>
      </c>
      <c r="N632" s="44" t="n">
        <v>74044</v>
      </c>
      <c r="O632" s="43" t="n">
        <v>2025</v>
      </c>
      <c r="P632" s="43" t="n">
        <v>12</v>
      </c>
      <c r="Q632" s="44" t="n">
        <v>74044</v>
      </c>
      <c r="R632" s="43" t="s">
        <v>651</v>
      </c>
      <c r="S632" s="43" t="s">
        <v>85</v>
      </c>
      <c r="T632" s="43" t="s">
        <v>633</v>
      </c>
      <c r="U632" s="43" t="s">
        <v>682</v>
      </c>
      <c r="V632" s="43" t="n">
        <v>37</v>
      </c>
      <c r="W632" s="43" t="n">
        <v>0</v>
      </c>
      <c r="X632" s="43" t="n">
        <v>37</v>
      </c>
      <c r="Y632" s="43" t="s">
        <v>635</v>
      </c>
      <c r="Z632" s="43" t="s">
        <v>636</v>
      </c>
    </row>
    <row r="633" customFormat="false" ht="15" hidden="false" customHeight="false" outlineLevel="0" collapsed="false">
      <c r="A633" s="43" t="n">
        <v>631</v>
      </c>
      <c r="B633" s="43" t="s">
        <v>1025</v>
      </c>
      <c r="C633" s="43" t="s">
        <v>273</v>
      </c>
      <c r="D633" s="43" t="s">
        <v>273</v>
      </c>
      <c r="E633" s="43" t="s">
        <v>168</v>
      </c>
      <c r="F633" s="43" t="s">
        <v>63</v>
      </c>
      <c r="G633" s="43" t="n">
        <v>2025</v>
      </c>
      <c r="H633" s="44" t="n">
        <v>0</v>
      </c>
      <c r="I633" s="43" t="n">
        <v>2025</v>
      </c>
      <c r="J633" s="43" t="n">
        <v>11</v>
      </c>
      <c r="K633" s="44" t="n">
        <v>52266</v>
      </c>
      <c r="L633" s="43" t="n">
        <v>2025</v>
      </c>
      <c r="M633" s="43" t="n">
        <v>12</v>
      </c>
      <c r="N633" s="44" t="n">
        <v>52266</v>
      </c>
      <c r="O633" s="43" t="n">
        <v>2025</v>
      </c>
      <c r="P633" s="43" t="n">
        <v>12</v>
      </c>
      <c r="Q633" s="44" t="n">
        <v>52266</v>
      </c>
      <c r="R633" s="43" t="s">
        <v>651</v>
      </c>
      <c r="S633" s="43" t="s">
        <v>85</v>
      </c>
      <c r="T633" s="43" t="s">
        <v>633</v>
      </c>
      <c r="U633" s="43" t="s">
        <v>682</v>
      </c>
      <c r="V633" s="43" t="n">
        <v>24</v>
      </c>
      <c r="W633" s="43" t="n">
        <v>1</v>
      </c>
      <c r="X633" s="43" t="n">
        <v>25</v>
      </c>
      <c r="Y633" s="43" t="s">
        <v>635</v>
      </c>
      <c r="Z633" s="43" t="s">
        <v>636</v>
      </c>
    </row>
    <row r="634" customFormat="false" ht="15" hidden="false" customHeight="false" outlineLevel="0" collapsed="false">
      <c r="A634" s="43" t="n">
        <v>632</v>
      </c>
      <c r="B634" s="43" t="s">
        <v>1025</v>
      </c>
      <c r="C634" s="43" t="s">
        <v>273</v>
      </c>
      <c r="D634" s="43" t="s">
        <v>273</v>
      </c>
      <c r="E634" s="43" t="s">
        <v>168</v>
      </c>
      <c r="F634" s="43" t="s">
        <v>63</v>
      </c>
      <c r="G634" s="43" t="n">
        <v>2025</v>
      </c>
      <c r="H634" s="44" t="n">
        <v>0</v>
      </c>
      <c r="I634" s="43" t="n">
        <v>2025</v>
      </c>
      <c r="J634" s="43" t="n">
        <v>12</v>
      </c>
      <c r="K634" s="44" t="n">
        <v>28311</v>
      </c>
      <c r="L634" s="43" t="n">
        <v>2025</v>
      </c>
      <c r="M634" s="43" t="n">
        <v>12</v>
      </c>
      <c r="N634" s="44" t="n">
        <v>28311</v>
      </c>
      <c r="O634" s="43" t="n">
        <v>2026</v>
      </c>
      <c r="P634" s="43" t="n">
        <v>1</v>
      </c>
      <c r="Q634" s="44" t="n">
        <v>28311</v>
      </c>
      <c r="R634" s="43" t="s">
        <v>651</v>
      </c>
      <c r="S634" s="43" t="s">
        <v>85</v>
      </c>
      <c r="T634" s="43" t="s">
        <v>633</v>
      </c>
      <c r="U634" s="43" t="s">
        <v>682</v>
      </c>
      <c r="V634" s="43" t="n">
        <v>0</v>
      </c>
      <c r="W634" s="43" t="n">
        <v>17</v>
      </c>
      <c r="X634" s="43" t="n">
        <v>17</v>
      </c>
      <c r="Y634" s="43" t="s">
        <v>635</v>
      </c>
      <c r="Z634" s="43" t="s">
        <v>636</v>
      </c>
    </row>
    <row r="635" customFormat="false" ht="15" hidden="false" customHeight="false" outlineLevel="0" collapsed="false">
      <c r="A635" s="43" t="n">
        <v>633</v>
      </c>
      <c r="B635" s="43" t="s">
        <v>1025</v>
      </c>
      <c r="C635" s="43" t="s">
        <v>273</v>
      </c>
      <c r="D635" s="43" t="s">
        <v>273</v>
      </c>
      <c r="E635" s="43" t="s">
        <v>168</v>
      </c>
      <c r="F635" s="43" t="s">
        <v>63</v>
      </c>
      <c r="G635" s="43" t="n">
        <v>2026</v>
      </c>
      <c r="H635" s="44" t="n">
        <v>0</v>
      </c>
      <c r="I635" s="43" t="n">
        <v>2026</v>
      </c>
      <c r="J635" s="43" t="n">
        <v>1</v>
      </c>
      <c r="K635" s="44" t="n">
        <v>38737</v>
      </c>
      <c r="L635" s="43" t="n">
        <v>2026</v>
      </c>
      <c r="M635" s="43" t="n">
        <v>1</v>
      </c>
      <c r="N635" s="44" t="n">
        <v>38737</v>
      </c>
      <c r="O635" s="43" t="n">
        <v>2026</v>
      </c>
      <c r="P635" s="43" t="n">
        <v>3</v>
      </c>
      <c r="Q635" s="44" t="n">
        <v>38737</v>
      </c>
      <c r="R635" s="43" t="s">
        <v>651</v>
      </c>
      <c r="S635" s="43" t="s">
        <v>85</v>
      </c>
      <c r="T635" s="43" t="s">
        <v>633</v>
      </c>
      <c r="U635" s="43" t="s">
        <v>682</v>
      </c>
      <c r="V635" s="43" t="n">
        <v>1</v>
      </c>
      <c r="W635" s="43" t="n">
        <v>33</v>
      </c>
      <c r="X635" s="43" t="n">
        <v>34</v>
      </c>
      <c r="Y635" s="43" t="s">
        <v>635</v>
      </c>
      <c r="Z635" s="43" t="s">
        <v>636</v>
      </c>
    </row>
    <row r="636" customFormat="false" ht="15" hidden="false" customHeight="false" outlineLevel="0" collapsed="false">
      <c r="A636" s="43" t="n">
        <v>634</v>
      </c>
      <c r="B636" s="43" t="s">
        <v>1025</v>
      </c>
      <c r="C636" s="43" t="s">
        <v>273</v>
      </c>
      <c r="D636" s="43" t="s">
        <v>273</v>
      </c>
      <c r="E636" s="43" t="s">
        <v>168</v>
      </c>
      <c r="F636" s="43" t="s">
        <v>63</v>
      </c>
      <c r="G636" s="43" t="n">
        <v>2026</v>
      </c>
      <c r="H636" s="44" t="n">
        <v>28836</v>
      </c>
      <c r="I636" s="43" t="n">
        <v>2026</v>
      </c>
      <c r="J636" s="43" t="n">
        <v>2</v>
      </c>
      <c r="K636" s="44" t="n">
        <v>6418</v>
      </c>
      <c r="L636" s="43" t="n">
        <v>2026</v>
      </c>
      <c r="M636" s="43" t="n">
        <v>2</v>
      </c>
      <c r="N636" s="44" t="n">
        <v>6418</v>
      </c>
      <c r="O636" s="43" t="n">
        <v>2026</v>
      </c>
      <c r="P636" s="43" t="n">
        <v>3</v>
      </c>
      <c r="Q636" s="44" t="n">
        <v>6418</v>
      </c>
      <c r="R636" s="43" t="s">
        <v>651</v>
      </c>
      <c r="S636" s="43" t="s">
        <v>85</v>
      </c>
      <c r="T636" s="43" t="s">
        <v>633</v>
      </c>
      <c r="U636" s="43" t="s">
        <v>682</v>
      </c>
      <c r="V636" s="43" t="n">
        <v>0</v>
      </c>
      <c r="W636" s="43" t="n">
        <v>34</v>
      </c>
      <c r="X636" s="43" t="n">
        <v>34</v>
      </c>
      <c r="Y636" s="43" t="s">
        <v>635</v>
      </c>
      <c r="Z636" s="43" t="s">
        <v>636</v>
      </c>
    </row>
    <row r="637" customFormat="false" ht="15" hidden="false" customHeight="false" outlineLevel="0" collapsed="false">
      <c r="A637" s="43" t="n">
        <v>635</v>
      </c>
      <c r="B637" s="43" t="s">
        <v>1025</v>
      </c>
      <c r="C637" s="43" t="s">
        <v>273</v>
      </c>
      <c r="D637" s="43" t="s">
        <v>273</v>
      </c>
      <c r="E637" s="43" t="s">
        <v>168</v>
      </c>
      <c r="F637" s="43" t="s">
        <v>63</v>
      </c>
      <c r="G637" s="43" t="n">
        <v>2026</v>
      </c>
      <c r="H637" s="44" t="n">
        <v>0</v>
      </c>
      <c r="I637" s="43" t="n">
        <v>2026</v>
      </c>
      <c r="J637" s="43" t="n">
        <v>4</v>
      </c>
      <c r="K637" s="44" t="n">
        <v>18720</v>
      </c>
      <c r="L637" s="43" t="n">
        <v>2026</v>
      </c>
      <c r="M637" s="43" t="n">
        <v>4</v>
      </c>
      <c r="N637" s="44" t="n">
        <v>18720</v>
      </c>
      <c r="O637" s="43" t="n">
        <v>2026</v>
      </c>
      <c r="P637" s="43" t="n">
        <v>5</v>
      </c>
      <c r="Q637" s="44" t="n">
        <v>18720</v>
      </c>
      <c r="R637" s="43" t="s">
        <v>651</v>
      </c>
      <c r="S637" s="43" t="s">
        <v>85</v>
      </c>
      <c r="T637" s="43" t="s">
        <v>633</v>
      </c>
      <c r="U637" s="43" t="s">
        <v>682</v>
      </c>
      <c r="V637" s="43" t="n">
        <v>0</v>
      </c>
      <c r="W637" s="43" t="n">
        <v>11</v>
      </c>
      <c r="X637" s="43" t="n">
        <v>11</v>
      </c>
      <c r="Y637" s="43" t="s">
        <v>635</v>
      </c>
      <c r="Z637" s="43" t="s">
        <v>636</v>
      </c>
    </row>
    <row r="638" customFormat="false" ht="15" hidden="false" customHeight="false" outlineLevel="0" collapsed="false">
      <c r="A638" s="43" t="n">
        <v>636</v>
      </c>
      <c r="B638" s="43" t="s">
        <v>1025</v>
      </c>
      <c r="C638" s="43" t="s">
        <v>273</v>
      </c>
      <c r="D638" s="43" t="s">
        <v>273</v>
      </c>
      <c r="E638" s="43" t="s">
        <v>168</v>
      </c>
      <c r="F638" s="43" t="s">
        <v>63</v>
      </c>
      <c r="G638" s="43" t="n">
        <v>2026</v>
      </c>
      <c r="H638" s="44" t="n">
        <v>0</v>
      </c>
      <c r="I638" s="43" t="n">
        <v>2026</v>
      </c>
      <c r="J638" s="43" t="n">
        <v>5</v>
      </c>
      <c r="K638" s="44" t="n">
        <v>31080</v>
      </c>
      <c r="L638" s="43"/>
      <c r="M638" s="43"/>
      <c r="N638" s="44" t="n">
        <v>0</v>
      </c>
      <c r="O638" s="43"/>
      <c r="P638" s="43"/>
      <c r="Q638" s="44" t="n">
        <v>0</v>
      </c>
      <c r="R638" s="43" t="s">
        <v>651</v>
      </c>
      <c r="S638" s="43" t="s">
        <v>85</v>
      </c>
      <c r="T638" s="43" t="s">
        <v>633</v>
      </c>
      <c r="U638" s="43" t="s">
        <v>682</v>
      </c>
      <c r="V638" s="43"/>
      <c r="W638" s="43"/>
      <c r="X638" s="43"/>
      <c r="Y638" s="43" t="s">
        <v>635</v>
      </c>
      <c r="Z638" s="43" t="s">
        <v>636</v>
      </c>
    </row>
    <row r="639" customFormat="false" ht="15" hidden="false" customHeight="false" outlineLevel="0" collapsed="false">
      <c r="A639" s="43" t="n">
        <v>637</v>
      </c>
      <c r="B639" s="43" t="s">
        <v>1026</v>
      </c>
      <c r="C639" s="43" t="s">
        <v>1027</v>
      </c>
      <c r="D639" s="43" t="s">
        <v>1027</v>
      </c>
      <c r="E639" s="43" t="s">
        <v>167</v>
      </c>
      <c r="F639" s="43" t="s">
        <v>63</v>
      </c>
      <c r="G639" s="43" t="n">
        <v>2025</v>
      </c>
      <c r="H639" s="44" t="n">
        <v>0</v>
      </c>
      <c r="I639" s="43" t="n">
        <v>2025</v>
      </c>
      <c r="J639" s="43" t="n">
        <v>1</v>
      </c>
      <c r="K639" s="44" t="n">
        <v>37712</v>
      </c>
      <c r="L639" s="43" t="n">
        <v>2025</v>
      </c>
      <c r="M639" s="43" t="n">
        <v>1</v>
      </c>
      <c r="N639" s="44" t="n">
        <v>37712</v>
      </c>
      <c r="O639" s="43" t="n">
        <v>2025</v>
      </c>
      <c r="P639" s="43" t="n">
        <v>1</v>
      </c>
      <c r="Q639" s="44" t="n">
        <v>37712</v>
      </c>
      <c r="R639" s="43" t="s">
        <v>651</v>
      </c>
      <c r="S639" s="43" t="s">
        <v>85</v>
      </c>
      <c r="T639" s="43" t="s">
        <v>633</v>
      </c>
      <c r="U639" s="43" t="s">
        <v>682</v>
      </c>
      <c r="V639" s="43" t="n">
        <v>12</v>
      </c>
      <c r="W639" s="43" t="n">
        <v>6</v>
      </c>
      <c r="X639" s="43" t="n">
        <v>18</v>
      </c>
      <c r="Y639" s="43" t="s">
        <v>635</v>
      </c>
      <c r="Z639" s="43" t="s">
        <v>636</v>
      </c>
    </row>
    <row r="640" customFormat="false" ht="15" hidden="false" customHeight="false" outlineLevel="0" collapsed="false">
      <c r="A640" s="43" t="n">
        <v>638</v>
      </c>
      <c r="B640" s="43" t="s">
        <v>1026</v>
      </c>
      <c r="C640" s="43" t="s">
        <v>1027</v>
      </c>
      <c r="D640" s="43" t="s">
        <v>1027</v>
      </c>
      <c r="E640" s="43" t="s">
        <v>167</v>
      </c>
      <c r="F640" s="43" t="s">
        <v>63</v>
      </c>
      <c r="G640" s="43" t="n">
        <v>2025</v>
      </c>
      <c r="H640" s="44" t="n">
        <v>0</v>
      </c>
      <c r="I640" s="43" t="n">
        <v>2025</v>
      </c>
      <c r="J640" s="43" t="n">
        <v>1</v>
      </c>
      <c r="K640" s="44" t="n">
        <v>92700</v>
      </c>
      <c r="L640" s="43" t="n">
        <v>2025</v>
      </c>
      <c r="M640" s="43" t="n">
        <v>2</v>
      </c>
      <c r="N640" s="44" t="n">
        <v>92700</v>
      </c>
      <c r="O640" s="43" t="n">
        <v>2025</v>
      </c>
      <c r="P640" s="43" t="n">
        <v>2</v>
      </c>
      <c r="Q640" s="44" t="n">
        <v>96628</v>
      </c>
      <c r="R640" s="43" t="s">
        <v>651</v>
      </c>
      <c r="S640" s="43" t="s">
        <v>85</v>
      </c>
      <c r="T640" s="43" t="s">
        <v>633</v>
      </c>
      <c r="U640" s="43" t="s">
        <v>682</v>
      </c>
      <c r="V640" s="43" t="n">
        <v>23</v>
      </c>
      <c r="W640" s="43" t="n">
        <v>0</v>
      </c>
      <c r="X640" s="43" t="n">
        <v>23</v>
      </c>
      <c r="Y640" s="43" t="s">
        <v>635</v>
      </c>
      <c r="Z640" s="43" t="s">
        <v>636</v>
      </c>
    </row>
    <row r="641" customFormat="false" ht="15" hidden="false" customHeight="false" outlineLevel="0" collapsed="false">
      <c r="A641" s="43" t="n">
        <v>639</v>
      </c>
      <c r="B641" s="43" t="s">
        <v>1026</v>
      </c>
      <c r="C641" s="43" t="s">
        <v>1027</v>
      </c>
      <c r="D641" s="43" t="s">
        <v>1027</v>
      </c>
      <c r="E641" s="43" t="s">
        <v>167</v>
      </c>
      <c r="F641" s="43" t="s">
        <v>63</v>
      </c>
      <c r="G641" s="43" t="n">
        <v>2025</v>
      </c>
      <c r="H641" s="44" t="n">
        <v>0</v>
      </c>
      <c r="I641" s="43" t="n">
        <v>2025</v>
      </c>
      <c r="J641" s="43" t="n">
        <v>2</v>
      </c>
      <c r="K641" s="44" t="n">
        <v>84975</v>
      </c>
      <c r="L641" s="43" t="n">
        <v>2025</v>
      </c>
      <c r="M641" s="43" t="n">
        <v>3</v>
      </c>
      <c r="N641" s="44" t="n">
        <v>84975</v>
      </c>
      <c r="O641" s="43" t="n">
        <v>2025</v>
      </c>
      <c r="P641" s="43" t="n">
        <v>4</v>
      </c>
      <c r="Q641" s="44" t="n">
        <v>84975</v>
      </c>
      <c r="R641" s="43" t="s">
        <v>651</v>
      </c>
      <c r="S641" s="43" t="s">
        <v>85</v>
      </c>
      <c r="T641" s="43" t="s">
        <v>633</v>
      </c>
      <c r="U641" s="43" t="s">
        <v>682</v>
      </c>
      <c r="V641" s="43" t="n">
        <v>14</v>
      </c>
      <c r="W641" s="43" t="n">
        <v>28</v>
      </c>
      <c r="X641" s="43" t="n">
        <v>42</v>
      </c>
      <c r="Y641" s="43" t="s">
        <v>635</v>
      </c>
      <c r="Z641" s="43" t="s">
        <v>636</v>
      </c>
    </row>
    <row r="642" customFormat="false" ht="15" hidden="false" customHeight="false" outlineLevel="0" collapsed="false">
      <c r="A642" s="43" t="n">
        <v>640</v>
      </c>
      <c r="B642" s="43" t="s">
        <v>1026</v>
      </c>
      <c r="C642" s="43" t="s">
        <v>1027</v>
      </c>
      <c r="D642" s="43" t="s">
        <v>1027</v>
      </c>
      <c r="E642" s="43" t="s">
        <v>167</v>
      </c>
      <c r="F642" s="43" t="s">
        <v>63</v>
      </c>
      <c r="G642" s="43" t="n">
        <v>2025</v>
      </c>
      <c r="H642" s="44" t="n">
        <v>0</v>
      </c>
      <c r="I642" s="43" t="n">
        <v>2025</v>
      </c>
      <c r="J642" s="43" t="n">
        <v>3</v>
      </c>
      <c r="K642" s="44" t="n">
        <v>38625</v>
      </c>
      <c r="L642" s="43" t="n">
        <v>2025</v>
      </c>
      <c r="M642" s="43" t="n">
        <v>3</v>
      </c>
      <c r="N642" s="44" t="n">
        <v>33475</v>
      </c>
      <c r="O642" s="43" t="n">
        <v>2025</v>
      </c>
      <c r="P642" s="43" t="n">
        <v>5</v>
      </c>
      <c r="Q642" s="44" t="n">
        <v>33475</v>
      </c>
      <c r="R642" s="43" t="s">
        <v>651</v>
      </c>
      <c r="S642" s="43" t="s">
        <v>85</v>
      </c>
      <c r="T642" s="43" t="s">
        <v>633</v>
      </c>
      <c r="U642" s="43" t="s">
        <v>682</v>
      </c>
      <c r="V642" s="43"/>
      <c r="W642" s="43" t="n">
        <v>61</v>
      </c>
      <c r="X642" s="43" t="n">
        <v>52</v>
      </c>
      <c r="Y642" s="43" t="s">
        <v>635</v>
      </c>
      <c r="Z642" s="43" t="s">
        <v>636</v>
      </c>
    </row>
    <row r="643" customFormat="false" ht="15" hidden="false" customHeight="false" outlineLevel="0" collapsed="false">
      <c r="A643" s="43" t="n">
        <v>641</v>
      </c>
      <c r="B643" s="43" t="s">
        <v>1028</v>
      </c>
      <c r="C643" s="43" t="s">
        <v>1029</v>
      </c>
      <c r="D643" s="43" t="s">
        <v>1029</v>
      </c>
      <c r="E643" s="43" t="s">
        <v>167</v>
      </c>
      <c r="F643" s="43" t="s">
        <v>63</v>
      </c>
      <c r="G643" s="43" t="n">
        <v>2025</v>
      </c>
      <c r="H643" s="44" t="n">
        <v>0</v>
      </c>
      <c r="I643" s="43" t="n">
        <v>2025</v>
      </c>
      <c r="J643" s="43" t="n">
        <v>5</v>
      </c>
      <c r="K643" s="44" t="n">
        <v>47808</v>
      </c>
      <c r="L643" s="43" t="n">
        <v>2025</v>
      </c>
      <c r="M643" s="43" t="n">
        <v>5</v>
      </c>
      <c r="N643" s="44" t="n">
        <v>47800</v>
      </c>
      <c r="O643" s="43" t="n">
        <v>2025</v>
      </c>
      <c r="P643" s="43" t="n">
        <v>6</v>
      </c>
      <c r="Q643" s="44" t="n">
        <v>47800</v>
      </c>
      <c r="R643" s="43" t="s">
        <v>651</v>
      </c>
      <c r="S643" s="43" t="s">
        <v>85</v>
      </c>
      <c r="T643" s="43" t="s">
        <v>633</v>
      </c>
      <c r="U643" s="43" t="s">
        <v>669</v>
      </c>
      <c r="V643" s="43" t="n">
        <v>0</v>
      </c>
      <c r="W643" s="43" t="n">
        <v>10</v>
      </c>
      <c r="X643" s="43" t="n">
        <v>10</v>
      </c>
      <c r="Y643" s="43" t="s">
        <v>635</v>
      </c>
      <c r="Z643" s="43" t="s">
        <v>636</v>
      </c>
    </row>
    <row r="644" customFormat="false" ht="15" hidden="false" customHeight="false" outlineLevel="0" collapsed="false">
      <c r="A644" s="43" t="n">
        <v>642</v>
      </c>
      <c r="B644" s="43" t="s">
        <v>1030</v>
      </c>
      <c r="C644" s="43" t="s">
        <v>1031</v>
      </c>
      <c r="D644" s="43" t="s">
        <v>1031</v>
      </c>
      <c r="E644" s="43" t="s">
        <v>131</v>
      </c>
      <c r="F644" s="43" t="s">
        <v>48</v>
      </c>
      <c r="G644" s="43" t="n">
        <v>2023</v>
      </c>
      <c r="H644" s="44" t="n">
        <v>0</v>
      </c>
      <c r="I644" s="43" t="n">
        <v>2023</v>
      </c>
      <c r="J644" s="43" t="n">
        <v>3</v>
      </c>
      <c r="K644" s="44" t="n">
        <v>197594.3525</v>
      </c>
      <c r="L644" s="43" t="n">
        <v>2023</v>
      </c>
      <c r="M644" s="43" t="n">
        <v>4</v>
      </c>
      <c r="N644" s="44" t="n">
        <v>197594.3525</v>
      </c>
      <c r="O644" s="43" t="n">
        <v>2023</v>
      </c>
      <c r="P644" s="43" t="n">
        <v>4</v>
      </c>
      <c r="Q644" s="44" t="n">
        <v>187714.634875</v>
      </c>
      <c r="R644" s="43" t="s">
        <v>651</v>
      </c>
      <c r="S644" s="43" t="s">
        <v>85</v>
      </c>
      <c r="T644" s="43" t="s">
        <v>633</v>
      </c>
      <c r="U644" s="43" t="s">
        <v>647</v>
      </c>
      <c r="V644" s="43" t="n">
        <v>15</v>
      </c>
      <c r="W644" s="43" t="n">
        <v>16</v>
      </c>
      <c r="X644" s="43" t="n">
        <v>31</v>
      </c>
      <c r="Y644" s="43" t="s">
        <v>635</v>
      </c>
      <c r="Z644" s="43" t="s">
        <v>636</v>
      </c>
    </row>
    <row r="645" customFormat="false" ht="15" hidden="false" customHeight="false" outlineLevel="0" collapsed="false">
      <c r="A645" s="43" t="n">
        <v>643</v>
      </c>
      <c r="B645" s="43" t="s">
        <v>1030</v>
      </c>
      <c r="C645" s="43" t="s">
        <v>1031</v>
      </c>
      <c r="D645" s="43" t="s">
        <v>1031</v>
      </c>
      <c r="E645" s="43" t="s">
        <v>131</v>
      </c>
      <c r="F645" s="43" t="s">
        <v>48</v>
      </c>
      <c r="G645" s="43" t="n">
        <v>2023</v>
      </c>
      <c r="H645" s="44" t="n">
        <v>0</v>
      </c>
      <c r="I645" s="43" t="n">
        <v>2023</v>
      </c>
      <c r="J645" s="43" t="n">
        <v>4</v>
      </c>
      <c r="K645" s="44" t="n">
        <v>84238</v>
      </c>
      <c r="L645" s="43" t="n">
        <v>2023</v>
      </c>
      <c r="M645" s="43" t="n">
        <v>5</v>
      </c>
      <c r="N645" s="44" t="n">
        <v>85435.37</v>
      </c>
      <c r="O645" s="43" t="n">
        <v>2023</v>
      </c>
      <c r="P645" s="43" t="n">
        <v>5</v>
      </c>
      <c r="Q645" s="44" t="n">
        <v>81163.6015</v>
      </c>
      <c r="R645" s="43" t="s">
        <v>651</v>
      </c>
      <c r="S645" s="43" t="s">
        <v>85</v>
      </c>
      <c r="T645" s="43" t="s">
        <v>633</v>
      </c>
      <c r="U645" s="43" t="s">
        <v>647</v>
      </c>
      <c r="V645" s="43" t="n">
        <v>20</v>
      </c>
      <c r="W645" s="43" t="n">
        <v>15</v>
      </c>
      <c r="X645" s="43" t="n">
        <v>35</v>
      </c>
      <c r="Y645" s="43" t="s">
        <v>635</v>
      </c>
      <c r="Z645" s="43" t="s">
        <v>636</v>
      </c>
    </row>
    <row r="646" customFormat="false" ht="15" hidden="false" customHeight="false" outlineLevel="0" collapsed="false">
      <c r="A646" s="43" t="n">
        <v>644</v>
      </c>
      <c r="B646" s="43" t="s">
        <v>1030</v>
      </c>
      <c r="C646" s="43" t="s">
        <v>1031</v>
      </c>
      <c r="D646" s="43" t="s">
        <v>1031</v>
      </c>
      <c r="E646" s="43" t="s">
        <v>131</v>
      </c>
      <c r="F646" s="43" t="s">
        <v>48</v>
      </c>
      <c r="G646" s="43" t="n">
        <v>2023</v>
      </c>
      <c r="H646" s="44" t="n">
        <v>0</v>
      </c>
      <c r="I646" s="43" t="n">
        <v>2023</v>
      </c>
      <c r="J646" s="43" t="n">
        <v>5</v>
      </c>
      <c r="K646" s="44" t="n">
        <v>55572</v>
      </c>
      <c r="L646" s="43" t="n">
        <v>2023</v>
      </c>
      <c r="M646" s="43" t="n">
        <v>5</v>
      </c>
      <c r="N646" s="44" t="n">
        <v>55572.16</v>
      </c>
      <c r="O646" s="43" t="n">
        <v>2023</v>
      </c>
      <c r="P646" s="43" t="n">
        <v>6</v>
      </c>
      <c r="Q646" s="44" t="n">
        <v>52793.552</v>
      </c>
      <c r="R646" s="43" t="s">
        <v>651</v>
      </c>
      <c r="S646" s="43" t="s">
        <v>85</v>
      </c>
      <c r="T646" s="43" t="s">
        <v>633</v>
      </c>
      <c r="U646" s="43" t="s">
        <v>647</v>
      </c>
      <c r="V646" s="43" t="n">
        <v>10</v>
      </c>
      <c r="W646" s="43" t="n">
        <v>14</v>
      </c>
      <c r="X646" s="43" t="n">
        <v>24</v>
      </c>
      <c r="Y646" s="43" t="s">
        <v>635</v>
      </c>
      <c r="Z646" s="43" t="s">
        <v>636</v>
      </c>
    </row>
    <row r="647" customFormat="false" ht="15" hidden="false" customHeight="false" outlineLevel="0" collapsed="false">
      <c r="A647" s="43" t="n">
        <v>645</v>
      </c>
      <c r="B647" s="43" t="s">
        <v>1030</v>
      </c>
      <c r="C647" s="43" t="s">
        <v>1031</v>
      </c>
      <c r="D647" s="43" t="s">
        <v>1031</v>
      </c>
      <c r="E647" s="43" t="s">
        <v>131</v>
      </c>
      <c r="F647" s="43" t="s">
        <v>48</v>
      </c>
      <c r="G647" s="43" t="n">
        <v>2023</v>
      </c>
      <c r="H647" s="44" t="n">
        <v>0</v>
      </c>
      <c r="I647" s="43" t="n">
        <v>2023</v>
      </c>
      <c r="J647" s="43" t="n">
        <v>6</v>
      </c>
      <c r="K647" s="44" t="n">
        <v>74696</v>
      </c>
      <c r="L647" s="43" t="n">
        <v>2023</v>
      </c>
      <c r="M647" s="43" t="n">
        <v>7</v>
      </c>
      <c r="N647" s="44" t="n">
        <v>74696</v>
      </c>
      <c r="O647" s="43" t="n">
        <v>2023</v>
      </c>
      <c r="P647" s="43" t="n">
        <v>7</v>
      </c>
      <c r="Q647" s="44" t="n">
        <v>70961.2</v>
      </c>
      <c r="R647" s="43" t="s">
        <v>651</v>
      </c>
      <c r="S647" s="43" t="s">
        <v>85</v>
      </c>
      <c r="T647" s="43" t="s">
        <v>633</v>
      </c>
      <c r="U647" s="43" t="s">
        <v>647</v>
      </c>
      <c r="V647" s="43" t="n">
        <v>14</v>
      </c>
      <c r="W647" s="43" t="n">
        <v>16</v>
      </c>
      <c r="X647" s="43" t="n">
        <v>30</v>
      </c>
      <c r="Y647" s="43" t="s">
        <v>635</v>
      </c>
      <c r="Z647" s="43" t="s">
        <v>636</v>
      </c>
    </row>
    <row r="648" customFormat="false" ht="15" hidden="false" customHeight="false" outlineLevel="0" collapsed="false">
      <c r="A648" s="43" t="n">
        <v>646</v>
      </c>
      <c r="B648" s="43" t="s">
        <v>1030</v>
      </c>
      <c r="C648" s="43" t="s">
        <v>1031</v>
      </c>
      <c r="D648" s="43" t="s">
        <v>1031</v>
      </c>
      <c r="E648" s="43" t="s">
        <v>131</v>
      </c>
      <c r="F648" s="43" t="s">
        <v>48</v>
      </c>
      <c r="G648" s="43" t="n">
        <v>2023</v>
      </c>
      <c r="H648" s="44" t="n">
        <v>0</v>
      </c>
      <c r="I648" s="43" t="n">
        <v>2023</v>
      </c>
      <c r="J648" s="43" t="n">
        <v>7</v>
      </c>
      <c r="K648" s="44" t="n">
        <v>45701.05</v>
      </c>
      <c r="L648" s="43" t="n">
        <v>2023</v>
      </c>
      <c r="M648" s="43" t="n">
        <v>8</v>
      </c>
      <c r="N648" s="44" t="n">
        <v>45701</v>
      </c>
      <c r="O648" s="43" t="n">
        <v>2023</v>
      </c>
      <c r="P648" s="43" t="n">
        <v>9</v>
      </c>
      <c r="Q648" s="44" t="n">
        <v>43415.95</v>
      </c>
      <c r="R648" s="43" t="s">
        <v>651</v>
      </c>
      <c r="S648" s="43" t="s">
        <v>85</v>
      </c>
      <c r="T648" s="43" t="s">
        <v>633</v>
      </c>
      <c r="U648" s="43" t="s">
        <v>647</v>
      </c>
      <c r="V648" s="43" t="n">
        <v>8</v>
      </c>
      <c r="W648" s="43" t="n">
        <v>28</v>
      </c>
      <c r="X648" s="43" t="n">
        <v>36</v>
      </c>
      <c r="Y648" s="43" t="s">
        <v>635</v>
      </c>
      <c r="Z648" s="43" t="s">
        <v>636</v>
      </c>
    </row>
    <row r="649" customFormat="false" ht="15" hidden="false" customHeight="false" outlineLevel="0" collapsed="false">
      <c r="A649" s="43" t="n">
        <v>647</v>
      </c>
      <c r="B649" s="43" t="s">
        <v>1030</v>
      </c>
      <c r="C649" s="43" t="s">
        <v>1031</v>
      </c>
      <c r="D649" s="43" t="s">
        <v>1031</v>
      </c>
      <c r="E649" s="43" t="s">
        <v>131</v>
      </c>
      <c r="F649" s="43" t="s">
        <v>48</v>
      </c>
      <c r="G649" s="43" t="n">
        <v>2023</v>
      </c>
      <c r="H649" s="44" t="n">
        <v>0</v>
      </c>
      <c r="I649" s="43" t="n">
        <v>2023</v>
      </c>
      <c r="J649" s="43" t="n">
        <v>8</v>
      </c>
      <c r="K649" s="44" t="n">
        <v>27702</v>
      </c>
      <c r="L649" s="43" t="n">
        <v>2023</v>
      </c>
      <c r="M649" s="43" t="n">
        <v>10</v>
      </c>
      <c r="N649" s="44" t="n">
        <v>27702</v>
      </c>
      <c r="O649" s="43" t="n">
        <v>2023</v>
      </c>
      <c r="P649" s="43" t="n">
        <v>10</v>
      </c>
      <c r="Q649" s="44" t="n">
        <v>26316.9</v>
      </c>
      <c r="R649" s="43" t="s">
        <v>651</v>
      </c>
      <c r="S649" s="43" t="s">
        <v>85</v>
      </c>
      <c r="T649" s="43" t="s">
        <v>633</v>
      </c>
      <c r="U649" s="43" t="s">
        <v>647</v>
      </c>
      <c r="V649" s="43" t="n">
        <v>46</v>
      </c>
      <c r="W649" s="43" t="n">
        <v>10</v>
      </c>
      <c r="X649" s="43" t="n">
        <v>56</v>
      </c>
      <c r="Y649" s="43" t="s">
        <v>635</v>
      </c>
      <c r="Z649" s="43" t="s">
        <v>636</v>
      </c>
    </row>
    <row r="650" customFormat="false" ht="15" hidden="false" customHeight="false" outlineLevel="0" collapsed="false">
      <c r="A650" s="43" t="n">
        <v>648</v>
      </c>
      <c r="B650" s="43" t="s">
        <v>1030</v>
      </c>
      <c r="C650" s="43" t="s">
        <v>1031</v>
      </c>
      <c r="D650" s="43" t="s">
        <v>1031</v>
      </c>
      <c r="E650" s="43" t="s">
        <v>131</v>
      </c>
      <c r="F650" s="43" t="s">
        <v>48</v>
      </c>
      <c r="G650" s="43" t="n">
        <v>2023</v>
      </c>
      <c r="H650" s="44" t="n">
        <v>61272</v>
      </c>
      <c r="I650" s="43" t="n">
        <v>2023</v>
      </c>
      <c r="J650" s="43" t="n">
        <v>9</v>
      </c>
      <c r="K650" s="44" t="n">
        <v>38387</v>
      </c>
      <c r="L650" s="43" t="n">
        <v>2023</v>
      </c>
      <c r="M650" s="43" t="n">
        <v>10</v>
      </c>
      <c r="N650" s="44" t="n">
        <v>38387</v>
      </c>
      <c r="O650" s="43" t="n">
        <v>2023</v>
      </c>
      <c r="P650" s="43" t="n">
        <v>10</v>
      </c>
      <c r="Q650" s="44" t="n">
        <v>36467.65</v>
      </c>
      <c r="R650" s="43" t="s">
        <v>651</v>
      </c>
      <c r="S650" s="43" t="s">
        <v>85</v>
      </c>
      <c r="T650" s="43" t="s">
        <v>633</v>
      </c>
      <c r="U650" s="43" t="s">
        <v>647</v>
      </c>
      <c r="V650" s="43" t="n">
        <v>15</v>
      </c>
      <c r="W650" s="43" t="n">
        <v>10</v>
      </c>
      <c r="X650" s="43" t="n">
        <v>25</v>
      </c>
      <c r="Y650" s="43" t="s">
        <v>635</v>
      </c>
      <c r="Z650" s="43" t="s">
        <v>636</v>
      </c>
    </row>
    <row r="651" customFormat="false" ht="15" hidden="false" customHeight="false" outlineLevel="0" collapsed="false">
      <c r="A651" s="43" t="n">
        <v>649</v>
      </c>
      <c r="B651" s="43" t="s">
        <v>1030</v>
      </c>
      <c r="C651" s="43" t="s">
        <v>1031</v>
      </c>
      <c r="D651" s="43" t="s">
        <v>1031</v>
      </c>
      <c r="E651" s="43" t="s">
        <v>131</v>
      </c>
      <c r="F651" s="43" t="s">
        <v>48</v>
      </c>
      <c r="G651" s="43" t="n">
        <v>2023</v>
      </c>
      <c r="H651" s="44" t="n">
        <v>22885</v>
      </c>
      <c r="I651" s="43" t="n">
        <v>2023</v>
      </c>
      <c r="J651" s="43" t="n">
        <v>10</v>
      </c>
      <c r="K651" s="44" t="n">
        <v>21231</v>
      </c>
      <c r="L651" s="43" t="n">
        <v>2023</v>
      </c>
      <c r="M651" s="43" t="n">
        <v>11</v>
      </c>
      <c r="N651" s="44" t="n">
        <v>21231</v>
      </c>
      <c r="O651" s="43" t="n">
        <v>2023</v>
      </c>
      <c r="P651" s="43" t="n">
        <v>11</v>
      </c>
      <c r="Q651" s="44" t="n">
        <v>20169.45</v>
      </c>
      <c r="R651" s="43" t="s">
        <v>651</v>
      </c>
      <c r="S651" s="43" t="s">
        <v>85</v>
      </c>
      <c r="T651" s="43" t="s">
        <v>633</v>
      </c>
      <c r="U651" s="43" t="s">
        <v>647</v>
      </c>
      <c r="V651" s="43" t="n">
        <v>15</v>
      </c>
      <c r="W651" s="43" t="n">
        <v>10</v>
      </c>
      <c r="X651" s="43" t="n">
        <v>25</v>
      </c>
      <c r="Y651" s="43" t="s">
        <v>635</v>
      </c>
      <c r="Z651" s="43" t="s">
        <v>636</v>
      </c>
    </row>
    <row r="652" customFormat="false" ht="15" hidden="false" customHeight="false" outlineLevel="0" collapsed="false">
      <c r="A652" s="43" t="n">
        <v>650</v>
      </c>
      <c r="B652" s="43" t="s">
        <v>1030</v>
      </c>
      <c r="C652" s="43" t="s">
        <v>1031</v>
      </c>
      <c r="D652" s="43" t="s">
        <v>1031</v>
      </c>
      <c r="E652" s="43" t="s">
        <v>131</v>
      </c>
      <c r="F652" s="43" t="s">
        <v>48</v>
      </c>
      <c r="G652" s="43" t="n">
        <v>2023</v>
      </c>
      <c r="H652" s="44" t="n">
        <v>1654</v>
      </c>
      <c r="I652" s="43" t="n">
        <v>2023</v>
      </c>
      <c r="J652" s="43" t="n">
        <v>11</v>
      </c>
      <c r="K652" s="44" t="n">
        <v>90409</v>
      </c>
      <c r="L652" s="43" t="n">
        <v>2024</v>
      </c>
      <c r="M652" s="43" t="n">
        <v>1</v>
      </c>
      <c r="N652" s="44" t="n">
        <v>90409</v>
      </c>
      <c r="O652" s="43" t="n">
        <v>2024</v>
      </c>
      <c r="P652" s="43" t="n">
        <v>1</v>
      </c>
      <c r="Q652" s="44" t="n">
        <v>85888.55</v>
      </c>
      <c r="R652" s="43" t="s">
        <v>651</v>
      </c>
      <c r="S652" s="43" t="s">
        <v>85</v>
      </c>
      <c r="T652" s="43" t="s">
        <v>633</v>
      </c>
      <c r="U652" s="43" t="s">
        <v>647</v>
      </c>
      <c r="V652" s="43" t="n">
        <v>51</v>
      </c>
      <c r="W652" s="43" t="n">
        <v>9</v>
      </c>
      <c r="X652" s="43" t="n">
        <v>60</v>
      </c>
      <c r="Y652" s="43" t="s">
        <v>635</v>
      </c>
      <c r="Z652" s="43" t="s">
        <v>636</v>
      </c>
    </row>
    <row r="653" customFormat="false" ht="15" hidden="false" customHeight="false" outlineLevel="0" collapsed="false">
      <c r="A653" s="43" t="n">
        <v>651</v>
      </c>
      <c r="B653" s="43" t="s">
        <v>1030</v>
      </c>
      <c r="C653" s="43" t="s">
        <v>1031</v>
      </c>
      <c r="D653" s="43" t="s">
        <v>1031</v>
      </c>
      <c r="E653" s="43" t="s">
        <v>131</v>
      </c>
      <c r="F653" s="43" t="s">
        <v>48</v>
      </c>
      <c r="G653" s="43" t="n">
        <v>2024</v>
      </c>
      <c r="H653" s="44" t="n">
        <v>0</v>
      </c>
      <c r="I653" s="43" t="n">
        <v>2024</v>
      </c>
      <c r="J653" s="43" t="n">
        <v>1</v>
      </c>
      <c r="K653" s="44" t="n">
        <v>9515</v>
      </c>
      <c r="L653" s="43" t="n">
        <v>2023</v>
      </c>
      <c r="M653" s="43" t="n">
        <v>2</v>
      </c>
      <c r="N653" s="44" t="n">
        <v>9515</v>
      </c>
      <c r="O653" s="43" t="n">
        <v>2024</v>
      </c>
      <c r="P653" s="43" t="n">
        <v>3</v>
      </c>
      <c r="Q653" s="44" t="n">
        <v>9039</v>
      </c>
      <c r="R653" s="43" t="s">
        <v>651</v>
      </c>
      <c r="S653" s="43" t="s">
        <v>85</v>
      </c>
      <c r="T653" s="43" t="s">
        <v>633</v>
      </c>
      <c r="U653" s="43" t="s">
        <v>647</v>
      </c>
      <c r="V653" s="43"/>
      <c r="W653" s="43" t="n">
        <v>386</v>
      </c>
      <c r="X653" s="43" t="n">
        <v>36</v>
      </c>
      <c r="Y653" s="43" t="s">
        <v>635</v>
      </c>
      <c r="Z653" s="43" t="s">
        <v>636</v>
      </c>
    </row>
    <row r="654" customFormat="false" ht="15" hidden="false" customHeight="false" outlineLevel="0" collapsed="false">
      <c r="A654" s="43" t="n">
        <v>652</v>
      </c>
      <c r="B654" s="43" t="s">
        <v>1032</v>
      </c>
      <c r="C654" s="43" t="s">
        <v>1033</v>
      </c>
      <c r="D654" s="43" t="s">
        <v>1033</v>
      </c>
      <c r="E654" s="43" t="s">
        <v>143</v>
      </c>
      <c r="F654" s="43" t="s">
        <v>61</v>
      </c>
      <c r="G654" s="43" t="n">
        <v>2023</v>
      </c>
      <c r="H654" s="44" t="n">
        <v>0</v>
      </c>
      <c r="I654" s="43" t="n">
        <v>2023</v>
      </c>
      <c r="J654" s="43" t="n">
        <v>4</v>
      </c>
      <c r="K654" s="44" t="n">
        <v>49792</v>
      </c>
      <c r="L654" s="43" t="n">
        <v>2023</v>
      </c>
      <c r="M654" s="43" t="n">
        <v>5</v>
      </c>
      <c r="N654" s="44" t="n">
        <v>49792</v>
      </c>
      <c r="O654" s="43" t="n">
        <v>2023</v>
      </c>
      <c r="P654" s="43" t="n">
        <v>5</v>
      </c>
      <c r="Q654" s="44" t="n">
        <v>49792</v>
      </c>
      <c r="R654" s="43" t="s">
        <v>651</v>
      </c>
      <c r="S654" s="43" t="s">
        <v>85</v>
      </c>
      <c r="T654" s="43" t="s">
        <v>633</v>
      </c>
      <c r="U654" s="43" t="s">
        <v>647</v>
      </c>
      <c r="V654" s="43" t="n">
        <v>11</v>
      </c>
      <c r="W654" s="43" t="n">
        <v>7</v>
      </c>
      <c r="X654" s="43" t="n">
        <v>18</v>
      </c>
      <c r="Y654" s="43" t="s">
        <v>635</v>
      </c>
      <c r="Z654" s="43" t="s">
        <v>636</v>
      </c>
    </row>
    <row r="655" customFormat="false" ht="15" hidden="false" customHeight="false" outlineLevel="0" collapsed="false">
      <c r="A655" s="43" t="n">
        <v>653</v>
      </c>
      <c r="B655" s="43" t="s">
        <v>1034</v>
      </c>
      <c r="C655" s="43" t="s">
        <v>1035</v>
      </c>
      <c r="D655" s="43" t="s">
        <v>1036</v>
      </c>
      <c r="E655" s="43" t="s">
        <v>143</v>
      </c>
      <c r="F655" s="43" t="s">
        <v>61</v>
      </c>
      <c r="G655" s="43" t="n">
        <v>2023</v>
      </c>
      <c r="H655" s="44" t="n">
        <v>0</v>
      </c>
      <c r="I655" s="43" t="n">
        <v>2023</v>
      </c>
      <c r="J655" s="43" t="n">
        <v>4</v>
      </c>
      <c r="K655" s="44" t="n">
        <v>170704</v>
      </c>
      <c r="L655" s="43" t="n">
        <v>2023</v>
      </c>
      <c r="M655" s="43" t="n">
        <v>5</v>
      </c>
      <c r="N655" s="44" t="n">
        <v>170704</v>
      </c>
      <c r="O655" s="43" t="n">
        <v>2023</v>
      </c>
      <c r="P655" s="43" t="n">
        <v>5</v>
      </c>
      <c r="Q655" s="44" t="n">
        <v>170704</v>
      </c>
      <c r="R655" s="43" t="s">
        <v>651</v>
      </c>
      <c r="S655" s="43" t="s">
        <v>85</v>
      </c>
      <c r="T655" s="43" t="s">
        <v>633</v>
      </c>
      <c r="U655" s="43" t="s">
        <v>784</v>
      </c>
      <c r="V655" s="43" t="n">
        <v>11</v>
      </c>
      <c r="W655" s="43" t="n">
        <v>7</v>
      </c>
      <c r="X655" s="43" t="n">
        <v>18</v>
      </c>
      <c r="Y655" s="43" t="s">
        <v>635</v>
      </c>
      <c r="Z655" s="43" t="s">
        <v>636</v>
      </c>
    </row>
    <row r="656" customFormat="false" ht="15" hidden="false" customHeight="false" outlineLevel="0" collapsed="false">
      <c r="A656" s="43" t="n">
        <v>654</v>
      </c>
      <c r="B656" s="43" t="s">
        <v>1034</v>
      </c>
      <c r="C656" s="43" t="s">
        <v>1035</v>
      </c>
      <c r="D656" s="43" t="s">
        <v>1036</v>
      </c>
      <c r="E656" s="43" t="s">
        <v>143</v>
      </c>
      <c r="F656" s="43" t="s">
        <v>61</v>
      </c>
      <c r="G656" s="43" t="n">
        <v>2023</v>
      </c>
      <c r="H656" s="44" t="n">
        <v>0</v>
      </c>
      <c r="I656" s="43" t="n">
        <v>2023</v>
      </c>
      <c r="J656" s="43" t="n">
        <v>5</v>
      </c>
      <c r="K656" s="44" t="n">
        <v>32056</v>
      </c>
      <c r="L656" s="43" t="n">
        <v>2023</v>
      </c>
      <c r="M656" s="43" t="n">
        <v>6</v>
      </c>
      <c r="N656" s="44" t="n">
        <v>32056</v>
      </c>
      <c r="O656" s="43" t="n">
        <v>2023</v>
      </c>
      <c r="P656" s="43" t="n">
        <v>7</v>
      </c>
      <c r="Q656" s="44" t="n">
        <v>32056</v>
      </c>
      <c r="R656" s="43" t="s">
        <v>651</v>
      </c>
      <c r="S656" s="43" t="s">
        <v>85</v>
      </c>
      <c r="T656" s="43" t="s">
        <v>633</v>
      </c>
      <c r="U656" s="43" t="s">
        <v>784</v>
      </c>
      <c r="V656" s="43" t="n">
        <v>30</v>
      </c>
      <c r="W656" s="43" t="n">
        <v>15</v>
      </c>
      <c r="X656" s="43" t="n">
        <v>45</v>
      </c>
      <c r="Y656" s="43" t="s">
        <v>635</v>
      </c>
      <c r="Z656" s="43" t="s">
        <v>636</v>
      </c>
    </row>
    <row r="657" customFormat="false" ht="15" hidden="false" customHeight="false" outlineLevel="0" collapsed="false">
      <c r="A657" s="43" t="n">
        <v>655</v>
      </c>
      <c r="B657" s="43" t="s">
        <v>1034</v>
      </c>
      <c r="C657" s="43" t="s">
        <v>1035</v>
      </c>
      <c r="D657" s="43" t="s">
        <v>1036</v>
      </c>
      <c r="E657" s="43" t="s">
        <v>143</v>
      </c>
      <c r="F657" s="43" t="s">
        <v>61</v>
      </c>
      <c r="G657" s="43" t="n">
        <v>2023</v>
      </c>
      <c r="H657" s="44" t="n">
        <v>0</v>
      </c>
      <c r="I657" s="43" t="n">
        <v>2023</v>
      </c>
      <c r="J657" s="43" t="n">
        <v>8</v>
      </c>
      <c r="K657" s="44" t="n">
        <v>30392</v>
      </c>
      <c r="L657" s="43" t="n">
        <v>2023</v>
      </c>
      <c r="M657" s="43" t="n">
        <v>9</v>
      </c>
      <c r="N657" s="44" t="n">
        <v>30392</v>
      </c>
      <c r="O657" s="43" t="n">
        <v>2023</v>
      </c>
      <c r="P657" s="43" t="n">
        <v>10</v>
      </c>
      <c r="Q657" s="44" t="n">
        <v>30392</v>
      </c>
      <c r="R657" s="43" t="s">
        <v>651</v>
      </c>
      <c r="S657" s="43" t="s">
        <v>85</v>
      </c>
      <c r="T657" s="43" t="s">
        <v>633</v>
      </c>
      <c r="U657" s="43" t="s">
        <v>784</v>
      </c>
      <c r="V657" s="43" t="n">
        <v>23</v>
      </c>
      <c r="W657" s="43" t="n">
        <v>9</v>
      </c>
      <c r="X657" s="43" t="n">
        <v>32</v>
      </c>
      <c r="Y657" s="43" t="s">
        <v>635</v>
      </c>
      <c r="Z657" s="43" t="s">
        <v>636</v>
      </c>
    </row>
    <row r="658" customFormat="false" ht="15" hidden="false" customHeight="false" outlineLevel="0" collapsed="false">
      <c r="A658" s="43" t="n">
        <v>656</v>
      </c>
      <c r="B658" s="43" t="s">
        <v>1034</v>
      </c>
      <c r="C658" s="43" t="s">
        <v>1035</v>
      </c>
      <c r="D658" s="43" t="s">
        <v>1036</v>
      </c>
      <c r="E658" s="43" t="s">
        <v>143</v>
      </c>
      <c r="F658" s="43" t="s">
        <v>61</v>
      </c>
      <c r="G658" s="43" t="n">
        <v>2023</v>
      </c>
      <c r="H658" s="44" t="n">
        <v>0</v>
      </c>
      <c r="I658" s="43" t="n">
        <v>2023</v>
      </c>
      <c r="J658" s="43" t="n">
        <v>8</v>
      </c>
      <c r="K658" s="44" t="n">
        <v>30392</v>
      </c>
      <c r="L658" s="43" t="n">
        <v>2023</v>
      </c>
      <c r="M658" s="43" t="n">
        <v>10</v>
      </c>
      <c r="N658" s="44" t="n">
        <v>30392</v>
      </c>
      <c r="O658" s="43" t="n">
        <v>2023</v>
      </c>
      <c r="P658" s="43" t="n">
        <v>10</v>
      </c>
      <c r="Q658" s="44" t="n">
        <v>30392</v>
      </c>
      <c r="R658" s="43" t="s">
        <v>651</v>
      </c>
      <c r="S658" s="43" t="s">
        <v>85</v>
      </c>
      <c r="T658" s="43" t="s">
        <v>633</v>
      </c>
      <c r="U658" s="43" t="s">
        <v>784</v>
      </c>
      <c r="V658" s="43" t="n">
        <v>33</v>
      </c>
      <c r="W658" s="43" t="n">
        <v>7</v>
      </c>
      <c r="X658" s="43" t="n">
        <v>40</v>
      </c>
      <c r="Y658" s="43" t="s">
        <v>635</v>
      </c>
      <c r="Z658" s="43" t="s">
        <v>636</v>
      </c>
    </row>
    <row r="659" customFormat="false" ht="15" hidden="false" customHeight="false" outlineLevel="0" collapsed="false">
      <c r="A659" s="43" t="n">
        <v>657</v>
      </c>
      <c r="B659" s="43" t="s">
        <v>1037</v>
      </c>
      <c r="C659" s="43" t="s">
        <v>1038</v>
      </c>
      <c r="D659" s="43" t="s">
        <v>1039</v>
      </c>
      <c r="E659" s="43" t="s">
        <v>143</v>
      </c>
      <c r="F659" s="43" t="s">
        <v>61</v>
      </c>
      <c r="G659" s="43" t="n">
        <v>2023</v>
      </c>
      <c r="H659" s="44" t="n">
        <v>19715</v>
      </c>
      <c r="I659" s="43" t="n">
        <v>2023</v>
      </c>
      <c r="J659" s="43" t="n">
        <v>9</v>
      </c>
      <c r="K659" s="44" t="n">
        <v>30014.52</v>
      </c>
      <c r="L659" s="43" t="n">
        <v>2023</v>
      </c>
      <c r="M659" s="43" t="n">
        <v>10</v>
      </c>
      <c r="N659" s="44" t="n">
        <v>30000</v>
      </c>
      <c r="O659" s="43" t="n">
        <v>2023</v>
      </c>
      <c r="P659" s="43" t="n">
        <v>10</v>
      </c>
      <c r="Q659" s="44" t="n">
        <v>30000</v>
      </c>
      <c r="R659" s="43" t="s">
        <v>651</v>
      </c>
      <c r="S659" s="43" t="s">
        <v>85</v>
      </c>
      <c r="T659" s="43" t="s">
        <v>633</v>
      </c>
      <c r="U659" s="43" t="s">
        <v>647</v>
      </c>
      <c r="V659" s="43" t="n">
        <v>21</v>
      </c>
      <c r="W659" s="43" t="n">
        <v>7</v>
      </c>
      <c r="X659" s="43" t="n">
        <v>28</v>
      </c>
      <c r="Y659" s="43" t="s">
        <v>635</v>
      </c>
      <c r="Z659" s="43" t="s">
        <v>636</v>
      </c>
    </row>
    <row r="660" customFormat="false" ht="15" hidden="false" customHeight="false" outlineLevel="0" collapsed="false">
      <c r="A660" s="43" t="n">
        <v>658</v>
      </c>
      <c r="B660" s="43" t="s">
        <v>1037</v>
      </c>
      <c r="C660" s="43" t="s">
        <v>1038</v>
      </c>
      <c r="D660" s="43" t="s">
        <v>1039</v>
      </c>
      <c r="E660" s="43" t="s">
        <v>143</v>
      </c>
      <c r="F660" s="43" t="s">
        <v>61</v>
      </c>
      <c r="G660" s="43" t="n">
        <v>2023</v>
      </c>
      <c r="H660" s="44" t="n">
        <v>50809</v>
      </c>
      <c r="I660" s="43" t="n">
        <v>2023</v>
      </c>
      <c r="J660" s="43" t="n">
        <v>10</v>
      </c>
      <c r="K660" s="44" t="n">
        <v>32480.2</v>
      </c>
      <c r="L660" s="43" t="n">
        <v>2023</v>
      </c>
      <c r="M660" s="43" t="n">
        <v>12</v>
      </c>
      <c r="N660" s="44" t="n">
        <v>32480.2</v>
      </c>
      <c r="O660" s="43" t="n">
        <v>2023</v>
      </c>
      <c r="P660" s="43" t="n">
        <v>12</v>
      </c>
      <c r="Q660" s="44" t="n">
        <v>32480.2</v>
      </c>
      <c r="R660" s="43" t="s">
        <v>651</v>
      </c>
      <c r="S660" s="43" t="s">
        <v>85</v>
      </c>
      <c r="T660" s="43" t="s">
        <v>633</v>
      </c>
      <c r="U660" s="43" t="s">
        <v>647</v>
      </c>
      <c r="V660" s="43" t="n">
        <v>44</v>
      </c>
      <c r="W660" s="43" t="n">
        <v>23</v>
      </c>
      <c r="X660" s="43" t="n">
        <v>67</v>
      </c>
      <c r="Y660" s="43" t="s">
        <v>635</v>
      </c>
      <c r="Z660" s="43" t="s">
        <v>636</v>
      </c>
    </row>
    <row r="661" customFormat="false" ht="15" hidden="false" customHeight="false" outlineLevel="0" collapsed="false">
      <c r="A661" s="43" t="n">
        <v>659</v>
      </c>
      <c r="B661" s="43" t="s">
        <v>1037</v>
      </c>
      <c r="C661" s="43" t="s">
        <v>1038</v>
      </c>
      <c r="D661" s="43" t="s">
        <v>1039</v>
      </c>
      <c r="E661" s="43" t="s">
        <v>143</v>
      </c>
      <c r="F661" s="43" t="s">
        <v>61</v>
      </c>
      <c r="G661" s="43" t="n">
        <v>2023</v>
      </c>
      <c r="H661" s="44" t="n">
        <v>19354</v>
      </c>
      <c r="I661" s="43" t="n">
        <v>2023</v>
      </c>
      <c r="J661" s="43" t="n">
        <v>12</v>
      </c>
      <c r="K661" s="44" t="n">
        <v>19649.28</v>
      </c>
      <c r="L661" s="43" t="n">
        <v>2023</v>
      </c>
      <c r="M661" s="43" t="n">
        <v>12</v>
      </c>
      <c r="N661" s="44" t="n">
        <v>19649.28</v>
      </c>
      <c r="O661" s="43" t="n">
        <v>2023</v>
      </c>
      <c r="P661" s="43" t="n">
        <v>12</v>
      </c>
      <c r="Q661" s="44" t="n">
        <v>19649</v>
      </c>
      <c r="R661" s="43" t="s">
        <v>651</v>
      </c>
      <c r="S661" s="43" t="s">
        <v>85</v>
      </c>
      <c r="T661" s="43" t="s">
        <v>633</v>
      </c>
      <c r="U661" s="43" t="s">
        <v>647</v>
      </c>
      <c r="V661" s="43"/>
      <c r="W661" s="43" t="n">
        <v>8</v>
      </c>
      <c r="X661" s="43" t="n">
        <v>7</v>
      </c>
      <c r="Y661" s="43" t="s">
        <v>635</v>
      </c>
      <c r="Z661" s="43" t="s">
        <v>636</v>
      </c>
    </row>
    <row r="662" customFormat="false" ht="15" hidden="false" customHeight="false" outlineLevel="0" collapsed="false">
      <c r="A662" s="43" t="n">
        <v>660</v>
      </c>
      <c r="B662" s="43" t="s">
        <v>1040</v>
      </c>
      <c r="C662" s="43" t="s">
        <v>1041</v>
      </c>
      <c r="D662" s="43" t="s">
        <v>1041</v>
      </c>
      <c r="E662" s="43" t="s">
        <v>183</v>
      </c>
      <c r="F662" s="43" t="s">
        <v>182</v>
      </c>
      <c r="G662" s="43" t="n">
        <v>2026</v>
      </c>
      <c r="H662" s="44" t="n">
        <v>0</v>
      </c>
      <c r="I662" s="43" t="n">
        <v>2026</v>
      </c>
      <c r="J662" s="43" t="n">
        <v>5</v>
      </c>
      <c r="K662" s="44" t="n">
        <v>47121</v>
      </c>
      <c r="L662" s="43"/>
      <c r="M662" s="43"/>
      <c r="N662" s="44" t="n">
        <v>0</v>
      </c>
      <c r="O662" s="43"/>
      <c r="P662" s="43"/>
      <c r="Q662" s="44" t="n">
        <v>0</v>
      </c>
      <c r="R662" s="43" t="s">
        <v>651</v>
      </c>
      <c r="S662" s="43" t="s">
        <v>85</v>
      </c>
      <c r="T662" s="43" t="s">
        <v>633</v>
      </c>
      <c r="U662" s="43" t="s">
        <v>647</v>
      </c>
      <c r="V662" s="43"/>
      <c r="W662" s="43"/>
      <c r="X662" s="43"/>
      <c r="Y662" s="43" t="s">
        <v>635</v>
      </c>
      <c r="Z662" s="43" t="s">
        <v>636</v>
      </c>
    </row>
    <row r="663" customFormat="false" ht="15" hidden="false" customHeight="false" outlineLevel="0" collapsed="false">
      <c r="A663" s="43" t="n">
        <v>661</v>
      </c>
      <c r="B663" s="43" t="s">
        <v>1042</v>
      </c>
      <c r="C663" s="43" t="s">
        <v>246</v>
      </c>
      <c r="D663" s="43" t="s">
        <v>246</v>
      </c>
      <c r="E663" s="43" t="s">
        <v>173</v>
      </c>
      <c r="F663" s="43" t="s">
        <v>76</v>
      </c>
      <c r="G663" s="43" t="n">
        <v>2026</v>
      </c>
      <c r="H663" s="44" t="n">
        <v>1217640</v>
      </c>
      <c r="I663" s="43" t="n">
        <v>2026</v>
      </c>
      <c r="J663" s="43" t="n">
        <v>3</v>
      </c>
      <c r="K663" s="44" t="n">
        <v>400000</v>
      </c>
      <c r="L663" s="43" t="n">
        <v>2026</v>
      </c>
      <c r="M663" s="43" t="n">
        <v>3</v>
      </c>
      <c r="N663" s="44" t="n">
        <v>400000</v>
      </c>
      <c r="O663" s="43" t="n">
        <v>2026</v>
      </c>
      <c r="P663" s="43" t="n">
        <v>6</v>
      </c>
      <c r="Q663" s="44" t="n">
        <v>0</v>
      </c>
      <c r="R663" s="43" t="s">
        <v>687</v>
      </c>
      <c r="S663" s="43" t="s">
        <v>83</v>
      </c>
      <c r="T663" s="43" t="s">
        <v>641</v>
      </c>
      <c r="U663" s="43" t="s">
        <v>647</v>
      </c>
      <c r="V663" s="43" t="n">
        <v>1</v>
      </c>
      <c r="W663" s="43" t="n">
        <v>75</v>
      </c>
      <c r="X663" s="43" t="n">
        <v>76</v>
      </c>
      <c r="Y663" s="43" t="s">
        <v>635</v>
      </c>
      <c r="Z663" s="43" t="s">
        <v>636</v>
      </c>
    </row>
    <row r="664" customFormat="false" ht="15" hidden="false" customHeight="false" outlineLevel="0" collapsed="false">
      <c r="A664" s="43" t="n">
        <v>662</v>
      </c>
      <c r="B664" s="43" t="s">
        <v>1043</v>
      </c>
      <c r="C664" s="43" t="s">
        <v>1044</v>
      </c>
      <c r="D664" s="43" t="s">
        <v>1045</v>
      </c>
      <c r="E664" s="43" t="s">
        <v>1046</v>
      </c>
      <c r="F664" s="43" t="s">
        <v>61</v>
      </c>
      <c r="G664" s="43" t="n">
        <v>2023</v>
      </c>
      <c r="H664" s="44" t="n">
        <v>18705</v>
      </c>
      <c r="I664" s="43" t="n">
        <v>2023</v>
      </c>
      <c r="J664" s="43" t="n">
        <v>12</v>
      </c>
      <c r="K664" s="44" t="n">
        <v>36681.875</v>
      </c>
      <c r="L664" s="43" t="n">
        <v>2023</v>
      </c>
      <c r="M664" s="43" t="n">
        <v>12</v>
      </c>
      <c r="N664" s="44" t="n">
        <v>36682</v>
      </c>
      <c r="O664" s="43" t="n">
        <v>2023</v>
      </c>
      <c r="P664" s="43" t="n">
        <v>12</v>
      </c>
      <c r="Q664" s="44" t="n">
        <v>36682</v>
      </c>
      <c r="R664" s="43" t="s">
        <v>687</v>
      </c>
      <c r="S664" s="43" t="s">
        <v>83</v>
      </c>
      <c r="T664" s="43" t="s">
        <v>641</v>
      </c>
      <c r="U664" s="43" t="s">
        <v>669</v>
      </c>
      <c r="V664" s="43"/>
      <c r="W664" s="43" t="n">
        <v>22</v>
      </c>
      <c r="X664" s="43" t="n">
        <v>1</v>
      </c>
      <c r="Y664" s="43" t="s">
        <v>635</v>
      </c>
      <c r="Z664" s="43" t="s">
        <v>636</v>
      </c>
    </row>
    <row r="665" customFormat="false" ht="15" hidden="false" customHeight="false" outlineLevel="0" collapsed="false">
      <c r="A665" s="43" t="n">
        <v>663</v>
      </c>
      <c r="B665" s="43" t="s">
        <v>1043</v>
      </c>
      <c r="C665" s="43" t="s">
        <v>1044</v>
      </c>
      <c r="D665" s="43" t="s">
        <v>1045</v>
      </c>
      <c r="E665" s="43" t="s">
        <v>147</v>
      </c>
      <c r="F665" s="43" t="s">
        <v>61</v>
      </c>
      <c r="G665" s="43" t="n">
        <v>2024</v>
      </c>
      <c r="H665" s="44" t="n">
        <v>19948</v>
      </c>
      <c r="I665" s="43" t="n">
        <v>2024</v>
      </c>
      <c r="J665" s="43" t="n">
        <v>2</v>
      </c>
      <c r="K665" s="44" t="n">
        <v>14729</v>
      </c>
      <c r="L665" s="43" t="n">
        <v>2024</v>
      </c>
      <c r="M665" s="43" t="n">
        <v>5</v>
      </c>
      <c r="N665" s="44" t="n">
        <v>14729</v>
      </c>
      <c r="O665" s="43" t="n">
        <v>2024</v>
      </c>
      <c r="P665" s="43" t="n">
        <v>8</v>
      </c>
      <c r="Q665" s="44" t="n">
        <v>14729</v>
      </c>
      <c r="R665" s="43" t="s">
        <v>687</v>
      </c>
      <c r="S665" s="43" t="s">
        <v>83</v>
      </c>
      <c r="T665" s="43" t="s">
        <v>641</v>
      </c>
      <c r="U665" s="43" t="s">
        <v>669</v>
      </c>
      <c r="V665" s="43" t="n">
        <v>98</v>
      </c>
      <c r="W665" s="43" t="n">
        <v>98</v>
      </c>
      <c r="X665" s="43" t="n">
        <v>196</v>
      </c>
      <c r="Y665" s="43" t="s">
        <v>635</v>
      </c>
      <c r="Z665" s="43" t="s">
        <v>636</v>
      </c>
    </row>
    <row r="666" customFormat="false" ht="15" hidden="false" customHeight="false" outlineLevel="0" collapsed="false">
      <c r="A666" s="43" t="n">
        <v>664</v>
      </c>
      <c r="B666" s="43" t="s">
        <v>1043</v>
      </c>
      <c r="C666" s="43" t="s">
        <v>1044</v>
      </c>
      <c r="D666" s="43" t="s">
        <v>1045</v>
      </c>
      <c r="E666" s="43" t="s">
        <v>147</v>
      </c>
      <c r="F666" s="43" t="s">
        <v>61</v>
      </c>
      <c r="G666" s="43" t="n">
        <v>2024</v>
      </c>
      <c r="H666" s="44" t="n">
        <v>0</v>
      </c>
      <c r="I666" s="43" t="n">
        <v>2024</v>
      </c>
      <c r="J666" s="43" t="n">
        <v>8</v>
      </c>
      <c r="K666" s="44" t="n">
        <v>5218</v>
      </c>
      <c r="L666" s="43"/>
      <c r="M666" s="43"/>
      <c r="N666" s="44" t="n">
        <v>0</v>
      </c>
      <c r="O666" s="43"/>
      <c r="P666" s="43"/>
      <c r="Q666" s="44" t="n">
        <v>0</v>
      </c>
      <c r="R666" s="43" t="s">
        <v>687</v>
      </c>
      <c r="S666" s="43" t="s">
        <v>83</v>
      </c>
      <c r="T666" s="43" t="s">
        <v>641</v>
      </c>
      <c r="U666" s="43" t="s">
        <v>669</v>
      </c>
      <c r="V666" s="43"/>
      <c r="W666" s="43"/>
      <c r="X666" s="43"/>
      <c r="Y666" s="43" t="s">
        <v>635</v>
      </c>
      <c r="Z666" s="43" t="s">
        <v>636</v>
      </c>
    </row>
    <row r="667" customFormat="false" ht="15" hidden="false" customHeight="false" outlineLevel="0" collapsed="false">
      <c r="A667" s="43" t="n">
        <v>665</v>
      </c>
      <c r="B667" s="43" t="s">
        <v>1047</v>
      </c>
      <c r="C667" s="43" t="s">
        <v>1048</v>
      </c>
      <c r="D667" s="43" t="s">
        <v>1048</v>
      </c>
      <c r="E667" s="43" t="s">
        <v>147</v>
      </c>
      <c r="F667" s="43" t="s">
        <v>61</v>
      </c>
      <c r="G667" s="43" t="n">
        <v>2024</v>
      </c>
      <c r="H667" s="44" t="n">
        <v>0</v>
      </c>
      <c r="I667" s="43" t="n">
        <v>2024</v>
      </c>
      <c r="J667" s="43" t="n">
        <v>7</v>
      </c>
      <c r="K667" s="44" t="n">
        <v>20941</v>
      </c>
      <c r="L667" s="43" t="n">
        <v>2024</v>
      </c>
      <c r="M667" s="43" t="n">
        <v>9</v>
      </c>
      <c r="N667" s="44" t="n">
        <v>20503</v>
      </c>
      <c r="O667" s="43" t="n">
        <v>2024</v>
      </c>
      <c r="P667" s="43" t="n">
        <v>11</v>
      </c>
      <c r="Q667" s="44" t="n">
        <v>20085</v>
      </c>
      <c r="R667" s="43" t="s">
        <v>651</v>
      </c>
      <c r="S667" s="43" t="s">
        <v>85</v>
      </c>
      <c r="T667" s="43" t="s">
        <v>633</v>
      </c>
      <c r="U667" s="43" t="s">
        <v>647</v>
      </c>
      <c r="V667" s="43" t="n">
        <v>40</v>
      </c>
      <c r="W667" s="43" t="n">
        <v>69</v>
      </c>
      <c r="X667" s="43" t="n">
        <v>109</v>
      </c>
      <c r="Y667" s="43" t="s">
        <v>635</v>
      </c>
      <c r="Z667" s="43" t="s">
        <v>636</v>
      </c>
    </row>
    <row r="668" customFormat="false" ht="15" hidden="false" customHeight="false" outlineLevel="0" collapsed="false">
      <c r="A668" s="43" t="n">
        <v>666</v>
      </c>
      <c r="B668" s="43" t="s">
        <v>1047</v>
      </c>
      <c r="C668" s="43" t="s">
        <v>1048</v>
      </c>
      <c r="D668" s="43" t="s">
        <v>1048</v>
      </c>
      <c r="E668" s="43" t="s">
        <v>147</v>
      </c>
      <c r="F668" s="43" t="s">
        <v>61</v>
      </c>
      <c r="G668" s="43" t="n">
        <v>2024</v>
      </c>
      <c r="H668" s="44" t="n">
        <v>0</v>
      </c>
      <c r="I668" s="43" t="n">
        <v>2024</v>
      </c>
      <c r="J668" s="43" t="n">
        <v>8</v>
      </c>
      <c r="K668" s="44" t="n">
        <v>32848</v>
      </c>
      <c r="L668" s="43" t="n">
        <v>2024</v>
      </c>
      <c r="M668" s="43" t="n">
        <v>10</v>
      </c>
      <c r="N668" s="44" t="n">
        <v>32848</v>
      </c>
      <c r="O668" s="43" t="n">
        <v>2025</v>
      </c>
      <c r="P668" s="43" t="n">
        <v>1</v>
      </c>
      <c r="Q668" s="44" t="n">
        <v>34109</v>
      </c>
      <c r="R668" s="43" t="s">
        <v>651</v>
      </c>
      <c r="S668" s="43" t="s">
        <v>85</v>
      </c>
      <c r="T668" s="43" t="s">
        <v>633</v>
      </c>
      <c r="U668" s="43" t="s">
        <v>647</v>
      </c>
      <c r="V668" s="43" t="n">
        <v>35</v>
      </c>
      <c r="W668" s="43" t="n">
        <v>108</v>
      </c>
      <c r="X668" s="43" t="n">
        <v>143</v>
      </c>
      <c r="Y668" s="43" t="s">
        <v>635</v>
      </c>
      <c r="Z668" s="43" t="s">
        <v>636</v>
      </c>
    </row>
    <row r="669" customFormat="false" ht="15" hidden="false" customHeight="false" outlineLevel="0" collapsed="false">
      <c r="A669" s="43" t="n">
        <v>667</v>
      </c>
      <c r="B669" s="43" t="s">
        <v>1047</v>
      </c>
      <c r="C669" s="43" t="s">
        <v>1048</v>
      </c>
      <c r="D669" s="43" t="s">
        <v>1048</v>
      </c>
      <c r="E669" s="43" t="s">
        <v>147</v>
      </c>
      <c r="F669" s="43" t="s">
        <v>61</v>
      </c>
      <c r="G669" s="43" t="n">
        <v>2024</v>
      </c>
      <c r="H669" s="44" t="n">
        <v>0</v>
      </c>
      <c r="I669" s="43" t="n">
        <v>2024</v>
      </c>
      <c r="J669" s="43" t="n">
        <v>9</v>
      </c>
      <c r="K669" s="44" t="n">
        <v>24147</v>
      </c>
      <c r="L669" s="43" t="n">
        <v>2024</v>
      </c>
      <c r="M669" s="43" t="n">
        <v>12</v>
      </c>
      <c r="N669" s="44" t="n">
        <v>24147</v>
      </c>
      <c r="O669" s="43" t="n">
        <v>2025</v>
      </c>
      <c r="P669" s="43" t="n">
        <v>6</v>
      </c>
      <c r="Q669" s="44" t="n">
        <v>24174</v>
      </c>
      <c r="R669" s="43" t="s">
        <v>651</v>
      </c>
      <c r="S669" s="43" t="s">
        <v>85</v>
      </c>
      <c r="T669" s="43" t="s">
        <v>633</v>
      </c>
      <c r="U669" s="43" t="s">
        <v>647</v>
      </c>
      <c r="V669" s="43" t="n">
        <v>80</v>
      </c>
      <c r="W669" s="43" t="n">
        <v>172</v>
      </c>
      <c r="X669" s="43" t="n">
        <v>252</v>
      </c>
      <c r="Y669" s="43" t="s">
        <v>635</v>
      </c>
      <c r="Z669" s="43" t="s">
        <v>636</v>
      </c>
    </row>
    <row r="670" customFormat="false" ht="15" hidden="false" customHeight="false" outlineLevel="0" collapsed="false">
      <c r="A670" s="43" t="n">
        <v>668</v>
      </c>
      <c r="B670" s="43" t="s">
        <v>1049</v>
      </c>
      <c r="C670" s="43" t="s">
        <v>1050</v>
      </c>
      <c r="D670" s="43" t="s">
        <v>1050</v>
      </c>
      <c r="E670" s="43" t="s">
        <v>171</v>
      </c>
      <c r="F670" s="43" t="s">
        <v>63</v>
      </c>
      <c r="G670" s="43" t="n">
        <v>2026</v>
      </c>
      <c r="H670" s="44" t="n">
        <v>28325</v>
      </c>
      <c r="I670" s="43" t="n">
        <v>2026</v>
      </c>
      <c r="J670" s="43" t="n">
        <v>3</v>
      </c>
      <c r="K670" s="44" t="n">
        <v>38203</v>
      </c>
      <c r="L670" s="43" t="n">
        <v>2026</v>
      </c>
      <c r="M670" s="43" t="n">
        <v>4</v>
      </c>
      <c r="N670" s="44" t="n">
        <v>38203</v>
      </c>
      <c r="O670" s="43" t="n">
        <v>2026</v>
      </c>
      <c r="P670" s="43" t="n">
        <v>5</v>
      </c>
      <c r="Q670" s="44" t="n">
        <v>38204</v>
      </c>
      <c r="R670" s="43" t="s">
        <v>651</v>
      </c>
      <c r="S670" s="43" t="s">
        <v>85</v>
      </c>
      <c r="T670" s="43" t="s">
        <v>633</v>
      </c>
      <c r="U670" s="43" t="s">
        <v>647</v>
      </c>
      <c r="V670" s="43" t="n">
        <v>2</v>
      </c>
      <c r="W670" s="43" t="n">
        <v>31</v>
      </c>
      <c r="X670" s="43" t="n">
        <v>33</v>
      </c>
      <c r="Y670" s="43" t="s">
        <v>635</v>
      </c>
      <c r="Z670" s="43" t="s">
        <v>636</v>
      </c>
    </row>
    <row r="671" customFormat="false" ht="15" hidden="false" customHeight="false" outlineLevel="0" collapsed="false">
      <c r="A671" s="43" t="n">
        <v>669</v>
      </c>
      <c r="B671" s="43" t="s">
        <v>1049</v>
      </c>
      <c r="C671" s="43" t="s">
        <v>1050</v>
      </c>
      <c r="D671" s="43" t="s">
        <v>1050</v>
      </c>
      <c r="E671" s="43" t="s">
        <v>171</v>
      </c>
      <c r="F671" s="43" t="s">
        <v>63</v>
      </c>
      <c r="G671" s="43" t="n">
        <v>2026</v>
      </c>
      <c r="H671" s="44" t="n">
        <v>0</v>
      </c>
      <c r="I671" s="43" t="n">
        <v>2026</v>
      </c>
      <c r="J671" s="43" t="n">
        <v>4</v>
      </c>
      <c r="K671" s="44" t="n">
        <v>30030</v>
      </c>
      <c r="L671" s="43" t="n">
        <v>2026</v>
      </c>
      <c r="M671" s="43" t="n">
        <v>5</v>
      </c>
      <c r="N671" s="44" t="n">
        <v>30030</v>
      </c>
      <c r="O671" s="43" t="n">
        <v>2026</v>
      </c>
      <c r="P671" s="43" t="n">
        <v>6</v>
      </c>
      <c r="Q671" s="44" t="n">
        <v>0</v>
      </c>
      <c r="R671" s="43" t="s">
        <v>651</v>
      </c>
      <c r="S671" s="43" t="s">
        <v>85</v>
      </c>
      <c r="T671" s="43" t="s">
        <v>633</v>
      </c>
      <c r="U671" s="43" t="s">
        <v>647</v>
      </c>
      <c r="V671" s="43" t="n">
        <v>14</v>
      </c>
      <c r="W671" s="43" t="n">
        <v>31</v>
      </c>
      <c r="X671" s="43" t="n">
        <v>45</v>
      </c>
      <c r="Y671" s="43" t="s">
        <v>635</v>
      </c>
      <c r="Z671" s="43" t="s">
        <v>636</v>
      </c>
    </row>
    <row r="672" customFormat="false" ht="15" hidden="false" customHeight="false" outlineLevel="0" collapsed="false">
      <c r="A672" s="43" t="n">
        <v>670</v>
      </c>
      <c r="B672" s="43" t="s">
        <v>1049</v>
      </c>
      <c r="C672" s="43" t="s">
        <v>1050</v>
      </c>
      <c r="D672" s="43" t="s">
        <v>1050</v>
      </c>
      <c r="E672" s="43" t="s">
        <v>171</v>
      </c>
      <c r="F672" s="43" t="s">
        <v>63</v>
      </c>
      <c r="G672" s="43" t="n">
        <v>2026</v>
      </c>
      <c r="H672" s="44" t="n">
        <v>0</v>
      </c>
      <c r="I672" s="43" t="n">
        <v>2026</v>
      </c>
      <c r="J672" s="43" t="n">
        <v>5</v>
      </c>
      <c r="K672" s="44" t="n">
        <v>41003</v>
      </c>
      <c r="L672" s="43"/>
      <c r="M672" s="43"/>
      <c r="N672" s="44" t="n">
        <v>0</v>
      </c>
      <c r="O672" s="43"/>
      <c r="P672" s="43"/>
      <c r="Q672" s="44" t="n">
        <v>0</v>
      </c>
      <c r="R672" s="43" t="s">
        <v>651</v>
      </c>
      <c r="S672" s="43" t="s">
        <v>85</v>
      </c>
      <c r="T672" s="43" t="s">
        <v>633</v>
      </c>
      <c r="U672" s="43" t="s">
        <v>647</v>
      </c>
      <c r="V672" s="43"/>
      <c r="W672" s="43"/>
      <c r="X672" s="43"/>
      <c r="Y672" s="43" t="s">
        <v>635</v>
      </c>
      <c r="Z672" s="43" t="s">
        <v>636</v>
      </c>
    </row>
    <row r="673" customFormat="false" ht="15" hidden="false" customHeight="false" outlineLevel="0" collapsed="false">
      <c r="A673" s="43" t="n">
        <v>671</v>
      </c>
      <c r="B673" s="43" t="s">
        <v>1051</v>
      </c>
      <c r="C673" s="43" t="s">
        <v>1052</v>
      </c>
      <c r="D673" s="43" t="s">
        <v>1052</v>
      </c>
      <c r="E673" s="43" t="s">
        <v>133</v>
      </c>
      <c r="F673" s="43" t="s">
        <v>48</v>
      </c>
      <c r="G673" s="43" t="n">
        <v>2024</v>
      </c>
      <c r="H673" s="44" t="n">
        <v>0</v>
      </c>
      <c r="I673" s="43" t="n">
        <v>2024</v>
      </c>
      <c r="J673" s="43" t="n">
        <v>5</v>
      </c>
      <c r="K673" s="44" t="n">
        <v>35073</v>
      </c>
      <c r="L673" s="43" t="n">
        <v>2024</v>
      </c>
      <c r="M673" s="43" t="n">
        <v>5</v>
      </c>
      <c r="N673" s="44" t="n">
        <v>35073</v>
      </c>
      <c r="O673" s="43" t="n">
        <v>2024</v>
      </c>
      <c r="P673" s="43" t="n">
        <v>6</v>
      </c>
      <c r="Q673" s="44" t="n">
        <v>35073</v>
      </c>
      <c r="R673" s="43" t="s">
        <v>651</v>
      </c>
      <c r="S673" s="43" t="s">
        <v>85</v>
      </c>
      <c r="T673" s="43" t="s">
        <v>633</v>
      </c>
      <c r="U673" s="43" t="s">
        <v>647</v>
      </c>
      <c r="V673" s="43" t="n">
        <v>0</v>
      </c>
      <c r="W673" s="43" t="n">
        <v>10</v>
      </c>
      <c r="X673" s="43" t="n">
        <v>10</v>
      </c>
      <c r="Y673" s="43" t="s">
        <v>635</v>
      </c>
      <c r="Z673" s="43" t="s">
        <v>636</v>
      </c>
    </row>
    <row r="674" customFormat="false" ht="15" hidden="false" customHeight="false" outlineLevel="0" collapsed="false">
      <c r="A674" s="43" t="n">
        <v>672</v>
      </c>
      <c r="B674" s="43" t="s">
        <v>1053</v>
      </c>
      <c r="C674" s="43" t="s">
        <v>1054</v>
      </c>
      <c r="D674" s="43" t="s">
        <v>1054</v>
      </c>
      <c r="E674" s="43" t="s">
        <v>1055</v>
      </c>
      <c r="F674" s="43" t="s">
        <v>61</v>
      </c>
      <c r="G674" s="43" t="n">
        <v>2025</v>
      </c>
      <c r="H674" s="44" t="n">
        <v>0</v>
      </c>
      <c r="I674" s="43" t="n">
        <v>2025</v>
      </c>
      <c r="J674" s="43" t="n">
        <v>10</v>
      </c>
      <c r="K674" s="44" t="n">
        <v>20803</v>
      </c>
      <c r="L674" s="43" t="n">
        <v>2025</v>
      </c>
      <c r="M674" s="43" t="n">
        <v>11</v>
      </c>
      <c r="N674" s="44" t="n">
        <v>20841</v>
      </c>
      <c r="O674" s="43" t="n">
        <v>2025</v>
      </c>
      <c r="P674" s="43" t="n">
        <v>11</v>
      </c>
      <c r="Q674" s="44" t="n">
        <v>20841</v>
      </c>
      <c r="R674" s="43" t="s">
        <v>640</v>
      </c>
      <c r="S674" s="43" t="s">
        <v>84</v>
      </c>
      <c r="T674" s="43" t="s">
        <v>641</v>
      </c>
      <c r="U674" s="43" t="s">
        <v>669</v>
      </c>
      <c r="V674" s="43" t="n">
        <v>18</v>
      </c>
      <c r="W674" s="43" t="n">
        <v>9</v>
      </c>
      <c r="X674" s="43" t="n">
        <v>27</v>
      </c>
      <c r="Y674" s="43" t="s">
        <v>635</v>
      </c>
      <c r="Z674" s="43" t="s">
        <v>636</v>
      </c>
    </row>
    <row r="675" customFormat="false" ht="15" hidden="false" customHeight="false" outlineLevel="0" collapsed="false">
      <c r="A675" s="43" t="n">
        <v>673</v>
      </c>
      <c r="B675" s="43" t="s">
        <v>1053</v>
      </c>
      <c r="C675" s="43" t="s">
        <v>1054</v>
      </c>
      <c r="D675" s="43" t="s">
        <v>1054</v>
      </c>
      <c r="E675" s="43" t="s">
        <v>1055</v>
      </c>
      <c r="F675" s="43" t="s">
        <v>61</v>
      </c>
      <c r="G675" s="43" t="n">
        <v>2025</v>
      </c>
      <c r="H675" s="44" t="n">
        <v>0</v>
      </c>
      <c r="I675" s="43" t="n">
        <v>2025</v>
      </c>
      <c r="J675" s="43" t="n">
        <v>11</v>
      </c>
      <c r="K675" s="44" t="n">
        <v>39809</v>
      </c>
      <c r="L675" s="43" t="n">
        <v>2025</v>
      </c>
      <c r="M675" s="43" t="n">
        <v>12</v>
      </c>
      <c r="N675" s="44" t="n">
        <v>39809</v>
      </c>
      <c r="O675" s="43" t="n">
        <v>2026</v>
      </c>
      <c r="P675" s="43" t="n">
        <v>1</v>
      </c>
      <c r="Q675" s="44" t="n">
        <v>39809</v>
      </c>
      <c r="R675" s="43" t="s">
        <v>640</v>
      </c>
      <c r="S675" s="43" t="s">
        <v>84</v>
      </c>
      <c r="T675" s="43" t="s">
        <v>641</v>
      </c>
      <c r="U675" s="43" t="s">
        <v>669</v>
      </c>
      <c r="V675" s="43" t="n">
        <v>17</v>
      </c>
      <c r="W675" s="43" t="n">
        <v>27</v>
      </c>
      <c r="X675" s="43" t="n">
        <v>44</v>
      </c>
      <c r="Y675" s="43" t="s">
        <v>635</v>
      </c>
      <c r="Z675" s="43" t="s">
        <v>636</v>
      </c>
    </row>
    <row r="676" customFormat="false" ht="15" hidden="false" customHeight="false" outlineLevel="0" collapsed="false">
      <c r="A676" s="43" t="n">
        <v>674</v>
      </c>
      <c r="B676" s="43" t="s">
        <v>1053</v>
      </c>
      <c r="C676" s="43" t="s">
        <v>1054</v>
      </c>
      <c r="D676" s="43" t="s">
        <v>1054</v>
      </c>
      <c r="E676" s="43" t="s">
        <v>1055</v>
      </c>
      <c r="F676" s="43" t="s">
        <v>61</v>
      </c>
      <c r="G676" s="43" t="n">
        <v>2025</v>
      </c>
      <c r="H676" s="44" t="n">
        <v>0</v>
      </c>
      <c r="I676" s="43" t="n">
        <v>2025</v>
      </c>
      <c r="J676" s="43" t="n">
        <v>12</v>
      </c>
      <c r="K676" s="44" t="n">
        <v>33598</v>
      </c>
      <c r="L676" s="43" t="n">
        <v>2026</v>
      </c>
      <c r="M676" s="43" t="n">
        <v>1</v>
      </c>
      <c r="N676" s="44" t="n">
        <v>33598</v>
      </c>
      <c r="O676" s="43" t="n">
        <v>2026</v>
      </c>
      <c r="P676" s="43" t="n">
        <v>1</v>
      </c>
      <c r="Q676" s="44" t="n">
        <v>33598</v>
      </c>
      <c r="R676" s="43" t="s">
        <v>640</v>
      </c>
      <c r="S676" s="43" t="s">
        <v>84</v>
      </c>
      <c r="T676" s="43" t="s">
        <v>641</v>
      </c>
      <c r="U676" s="43" t="s">
        <v>669</v>
      </c>
      <c r="V676" s="43" t="n">
        <v>33</v>
      </c>
      <c r="W676" s="43" t="n">
        <v>8</v>
      </c>
      <c r="X676" s="43" t="n">
        <v>41</v>
      </c>
      <c r="Y676" s="43" t="s">
        <v>635</v>
      </c>
      <c r="Z676" s="43" t="s">
        <v>636</v>
      </c>
    </row>
    <row r="677" customFormat="false" ht="15" hidden="false" customHeight="false" outlineLevel="0" collapsed="false">
      <c r="A677" s="43" t="n">
        <v>675</v>
      </c>
      <c r="B677" s="43" t="s">
        <v>1053</v>
      </c>
      <c r="C677" s="43" t="s">
        <v>1054</v>
      </c>
      <c r="D677" s="43" t="s">
        <v>1054</v>
      </c>
      <c r="E677" s="43" t="s">
        <v>1056</v>
      </c>
      <c r="F677" s="43" t="s">
        <v>61</v>
      </c>
      <c r="G677" s="43" t="n">
        <v>2026</v>
      </c>
      <c r="H677" s="44" t="n">
        <v>0</v>
      </c>
      <c r="I677" s="43" t="n">
        <v>2026</v>
      </c>
      <c r="J677" s="43" t="n">
        <v>4</v>
      </c>
      <c r="K677" s="44" t="n">
        <v>28029.29</v>
      </c>
      <c r="L677" s="43" t="n">
        <v>2026</v>
      </c>
      <c r="M677" s="43" t="n">
        <v>5</v>
      </c>
      <c r="N677" s="44" t="n">
        <v>18487.98</v>
      </c>
      <c r="O677" s="43" t="n">
        <v>2026</v>
      </c>
      <c r="P677" s="43" t="n">
        <v>6</v>
      </c>
      <c r="Q677" s="44" t="n">
        <v>18487.98</v>
      </c>
      <c r="R677" s="43" t="s">
        <v>640</v>
      </c>
      <c r="S677" s="43" t="s">
        <v>84</v>
      </c>
      <c r="T677" s="43" t="s">
        <v>641</v>
      </c>
      <c r="U677" s="43" t="s">
        <v>669</v>
      </c>
      <c r="V677" s="43" t="n">
        <v>26</v>
      </c>
      <c r="W677" s="43" t="n">
        <v>8</v>
      </c>
      <c r="X677" s="43" t="n">
        <v>34</v>
      </c>
      <c r="Y677" s="43" t="s">
        <v>635</v>
      </c>
      <c r="Z677" s="43" t="s">
        <v>636</v>
      </c>
    </row>
    <row r="678" customFormat="false" ht="15" hidden="false" customHeight="false" outlineLevel="0" collapsed="false">
      <c r="A678" s="43" t="n">
        <v>676</v>
      </c>
      <c r="B678" s="43" t="s">
        <v>1057</v>
      </c>
      <c r="C678" s="43" t="s">
        <v>1058</v>
      </c>
      <c r="D678" s="43" t="s">
        <v>1058</v>
      </c>
      <c r="E678" s="43" t="s">
        <v>1059</v>
      </c>
      <c r="F678" s="43" t="s">
        <v>63</v>
      </c>
      <c r="G678" s="43" t="n">
        <v>2026</v>
      </c>
      <c r="H678" s="44" t="n">
        <v>0</v>
      </c>
      <c r="I678" s="43" t="n">
        <v>2026</v>
      </c>
      <c r="J678" s="43" t="n">
        <v>5</v>
      </c>
      <c r="K678" s="44" t="n">
        <v>37804</v>
      </c>
      <c r="L678" s="43" t="n">
        <v>2026</v>
      </c>
      <c r="M678" s="43" t="n">
        <v>5</v>
      </c>
      <c r="N678" s="44" t="n">
        <v>37804</v>
      </c>
      <c r="O678" s="43" t="n">
        <v>2026</v>
      </c>
      <c r="P678" s="43" t="n">
        <v>6</v>
      </c>
      <c r="Q678" s="44" t="n">
        <v>0</v>
      </c>
      <c r="R678" s="43" t="s">
        <v>640</v>
      </c>
      <c r="S678" s="43" t="s">
        <v>84</v>
      </c>
      <c r="T678" s="43" t="s">
        <v>641</v>
      </c>
      <c r="U678" s="43" t="s">
        <v>669</v>
      </c>
      <c r="V678" s="43" t="n">
        <v>0</v>
      </c>
      <c r="W678" s="43" t="n">
        <v>31</v>
      </c>
      <c r="X678" s="43" t="n">
        <v>31</v>
      </c>
      <c r="Y678" s="43" t="s">
        <v>635</v>
      </c>
      <c r="Z678" s="43" t="s">
        <v>636</v>
      </c>
    </row>
    <row r="679" customFormat="false" ht="15" hidden="false" customHeight="false" outlineLevel="0" collapsed="false">
      <c r="A679" s="43" t="n">
        <v>677</v>
      </c>
      <c r="B679" s="43" t="s">
        <v>1060</v>
      </c>
      <c r="C679" s="43" t="s">
        <v>1061</v>
      </c>
      <c r="D679" s="43" t="s">
        <v>1061</v>
      </c>
      <c r="E679" s="43" t="s">
        <v>159</v>
      </c>
      <c r="F679" s="43" t="s">
        <v>62</v>
      </c>
      <c r="G679" s="43" t="n">
        <v>2025</v>
      </c>
      <c r="H679" s="44" t="n">
        <v>0</v>
      </c>
      <c r="I679" s="43" t="n">
        <v>2025</v>
      </c>
      <c r="J679" s="43" t="n">
        <v>7</v>
      </c>
      <c r="K679" s="44" t="n">
        <v>40750</v>
      </c>
      <c r="L679" s="43" t="n">
        <v>2025</v>
      </c>
      <c r="M679" s="43" t="n">
        <v>7</v>
      </c>
      <c r="N679" s="44" t="n">
        <v>40750</v>
      </c>
      <c r="O679" s="43" t="n">
        <v>2025</v>
      </c>
      <c r="P679" s="43" t="n">
        <v>8</v>
      </c>
      <c r="Q679" s="44" t="n">
        <v>39998</v>
      </c>
      <c r="R679" s="43" t="s">
        <v>646</v>
      </c>
      <c r="S679" s="43" t="s">
        <v>83</v>
      </c>
      <c r="T679" s="43" t="s">
        <v>641</v>
      </c>
      <c r="U679" s="43" t="s">
        <v>647</v>
      </c>
      <c r="V679" s="43" t="n">
        <v>8</v>
      </c>
      <c r="W679" s="43" t="n">
        <v>34</v>
      </c>
      <c r="X679" s="43" t="n">
        <v>42</v>
      </c>
      <c r="Y679" s="43" t="s">
        <v>635</v>
      </c>
      <c r="Z679" s="43" t="s">
        <v>636</v>
      </c>
    </row>
    <row r="680" customFormat="false" ht="15" hidden="false" customHeight="false" outlineLevel="0" collapsed="false">
      <c r="A680" s="43" t="n">
        <v>678</v>
      </c>
      <c r="B680" s="43" t="s">
        <v>1060</v>
      </c>
      <c r="C680" s="43" t="s">
        <v>1061</v>
      </c>
      <c r="D680" s="43" t="s">
        <v>1061</v>
      </c>
      <c r="E680" s="43" t="s">
        <v>159</v>
      </c>
      <c r="F680" s="43" t="s">
        <v>62</v>
      </c>
      <c r="G680" s="43" t="n">
        <v>2025</v>
      </c>
      <c r="H680" s="44" t="n">
        <v>0</v>
      </c>
      <c r="I680" s="43" t="n">
        <v>2025</v>
      </c>
      <c r="J680" s="43" t="n">
        <v>8</v>
      </c>
      <c r="K680" s="44" t="n">
        <v>107370</v>
      </c>
      <c r="L680" s="43" t="n">
        <v>2025</v>
      </c>
      <c r="M680" s="43" t="n">
        <v>8</v>
      </c>
      <c r="N680" s="44" t="n">
        <v>107128</v>
      </c>
      <c r="O680" s="43" t="n">
        <v>2025</v>
      </c>
      <c r="P680" s="43" t="n">
        <v>10</v>
      </c>
      <c r="Q680" s="44" t="n">
        <v>102865</v>
      </c>
      <c r="R680" s="43" t="s">
        <v>646</v>
      </c>
      <c r="S680" s="43" t="s">
        <v>83</v>
      </c>
      <c r="T680" s="43" t="s">
        <v>641</v>
      </c>
      <c r="U680" s="43" t="s">
        <v>647</v>
      </c>
      <c r="V680" s="43" t="n">
        <v>6</v>
      </c>
      <c r="W680" s="43" t="n">
        <v>37</v>
      </c>
      <c r="X680" s="43" t="n">
        <v>43</v>
      </c>
      <c r="Y680" s="43" t="s">
        <v>635</v>
      </c>
      <c r="Z680" s="43" t="s">
        <v>636</v>
      </c>
    </row>
    <row r="681" customFormat="false" ht="15" hidden="false" customHeight="false" outlineLevel="0" collapsed="false">
      <c r="A681" s="43" t="n">
        <v>679</v>
      </c>
      <c r="B681" s="43" t="s">
        <v>1060</v>
      </c>
      <c r="C681" s="43" t="s">
        <v>1061</v>
      </c>
      <c r="D681" s="43" t="s">
        <v>1061</v>
      </c>
      <c r="E681" s="43" t="s">
        <v>159</v>
      </c>
      <c r="F681" s="43" t="s">
        <v>62</v>
      </c>
      <c r="G681" s="43" t="n">
        <v>2025</v>
      </c>
      <c r="H681" s="44" t="n">
        <v>0</v>
      </c>
      <c r="I681" s="43" t="n">
        <v>2025</v>
      </c>
      <c r="J681" s="43" t="n">
        <v>9</v>
      </c>
      <c r="K681" s="44" t="n">
        <v>31880</v>
      </c>
      <c r="L681" s="43" t="n">
        <v>2025</v>
      </c>
      <c r="M681" s="43" t="n">
        <v>9</v>
      </c>
      <c r="N681" s="44" t="n">
        <v>29004.7706422018</v>
      </c>
      <c r="O681" s="43" t="n">
        <v>2025</v>
      </c>
      <c r="P681" s="43" t="n">
        <v>11</v>
      </c>
      <c r="Q681" s="44" t="n">
        <v>27834</v>
      </c>
      <c r="R681" s="43" t="s">
        <v>646</v>
      </c>
      <c r="S681" s="43" t="s">
        <v>83</v>
      </c>
      <c r="T681" s="43" t="s">
        <v>641</v>
      </c>
      <c r="U681" s="43" t="s">
        <v>647</v>
      </c>
      <c r="V681" s="43" t="n">
        <v>8</v>
      </c>
      <c r="W681" s="43" t="n">
        <v>57</v>
      </c>
      <c r="X681" s="43" t="n">
        <v>65</v>
      </c>
      <c r="Y681" s="43" t="s">
        <v>635</v>
      </c>
      <c r="Z681" s="43" t="s">
        <v>636</v>
      </c>
    </row>
    <row r="682" customFormat="false" ht="15" hidden="false" customHeight="false" outlineLevel="0" collapsed="false">
      <c r="A682" s="43" t="n">
        <v>680</v>
      </c>
      <c r="B682" s="43"/>
      <c r="C682" s="43" t="s">
        <v>1062</v>
      </c>
      <c r="D682" s="43" t="s">
        <v>1062</v>
      </c>
      <c r="E682" s="43" t="s">
        <v>1063</v>
      </c>
      <c r="F682" s="43" t="s">
        <v>48</v>
      </c>
      <c r="G682" s="43" t="n">
        <v>2025</v>
      </c>
      <c r="H682" s="44" t="n">
        <v>0</v>
      </c>
      <c r="I682" s="43" t="n">
        <v>2025</v>
      </c>
      <c r="J682" s="43" t="n">
        <v>9</v>
      </c>
      <c r="K682" s="44" t="n">
        <v>22182</v>
      </c>
      <c r="L682" s="43" t="n">
        <v>2025</v>
      </c>
      <c r="M682" s="43" t="n">
        <v>9</v>
      </c>
      <c r="N682" s="44" t="n">
        <v>22182</v>
      </c>
      <c r="O682" s="43" t="n">
        <v>2025</v>
      </c>
      <c r="P682" s="43" t="n">
        <v>11</v>
      </c>
      <c r="Q682" s="44" t="n">
        <v>22182</v>
      </c>
      <c r="R682" s="43"/>
      <c r="S682" s="43" t="s">
        <v>86</v>
      </c>
      <c r="T682" s="43" t="s">
        <v>633</v>
      </c>
      <c r="U682" s="43" t="s">
        <v>647</v>
      </c>
      <c r="V682" s="43" t="n">
        <v>0</v>
      </c>
      <c r="W682" s="43" t="n">
        <v>59</v>
      </c>
      <c r="X682" s="43" t="n">
        <v>59</v>
      </c>
      <c r="Y682" s="43" t="s">
        <v>635</v>
      </c>
      <c r="Z682" s="43" t="s">
        <v>636</v>
      </c>
    </row>
    <row r="683" customFormat="false" ht="15" hidden="false" customHeight="false" outlineLevel="0" collapsed="false">
      <c r="A683" s="43" t="n">
        <v>681</v>
      </c>
      <c r="B683" s="43" t="s">
        <v>1064</v>
      </c>
      <c r="C683" s="43" t="s">
        <v>1065</v>
      </c>
      <c r="D683" s="43" t="s">
        <v>1065</v>
      </c>
      <c r="E683" s="43" t="s">
        <v>164</v>
      </c>
      <c r="F683" s="43" t="s">
        <v>63</v>
      </c>
      <c r="G683" s="43" t="n">
        <v>2024</v>
      </c>
      <c r="H683" s="44" t="n">
        <v>0</v>
      </c>
      <c r="I683" s="43" t="n">
        <v>2024</v>
      </c>
      <c r="J683" s="43" t="n">
        <v>11</v>
      </c>
      <c r="K683" s="44" t="n">
        <v>28545</v>
      </c>
      <c r="L683" s="43" t="n">
        <v>2024</v>
      </c>
      <c r="M683" s="43" t="n">
        <v>11</v>
      </c>
      <c r="N683" s="44" t="n">
        <v>28545</v>
      </c>
      <c r="O683" s="43" t="n">
        <v>2025</v>
      </c>
      <c r="P683" s="43" t="n">
        <v>3</v>
      </c>
      <c r="Q683" s="44" t="n">
        <v>28545</v>
      </c>
      <c r="R683" s="43" t="s">
        <v>651</v>
      </c>
      <c r="S683" s="43" t="s">
        <v>85</v>
      </c>
      <c r="T683" s="43" t="s">
        <v>633</v>
      </c>
      <c r="U683" s="43" t="s">
        <v>647</v>
      </c>
      <c r="V683" s="43" t="n">
        <v>0</v>
      </c>
      <c r="W683" s="43" t="n">
        <v>116</v>
      </c>
      <c r="X683" s="43" t="n">
        <v>116</v>
      </c>
      <c r="Y683" s="43" t="s">
        <v>635</v>
      </c>
      <c r="Z683" s="43" t="s">
        <v>636</v>
      </c>
    </row>
    <row r="684" customFormat="false" ht="15" hidden="false" customHeight="false" outlineLevel="0" collapsed="false">
      <c r="A684" s="43" t="n">
        <v>682</v>
      </c>
      <c r="B684" s="43" t="s">
        <v>1064</v>
      </c>
      <c r="C684" s="43" t="s">
        <v>1065</v>
      </c>
      <c r="D684" s="43" t="s">
        <v>1065</v>
      </c>
      <c r="E684" s="43" t="s">
        <v>164</v>
      </c>
      <c r="F684" s="43" t="s">
        <v>63</v>
      </c>
      <c r="G684" s="43" t="n">
        <v>2025</v>
      </c>
      <c r="H684" s="44" t="n">
        <v>0</v>
      </c>
      <c r="I684" s="43" t="n">
        <v>2025</v>
      </c>
      <c r="J684" s="43" t="n">
        <v>5</v>
      </c>
      <c r="K684" s="44" t="n">
        <v>74100</v>
      </c>
      <c r="L684" s="43" t="n">
        <v>2025</v>
      </c>
      <c r="M684" s="43" t="n">
        <v>6</v>
      </c>
      <c r="N684" s="44" t="n">
        <v>74100</v>
      </c>
      <c r="O684" s="43" t="n">
        <v>2026</v>
      </c>
      <c r="P684" s="43" t="n">
        <v>1</v>
      </c>
      <c r="Q684" s="44" t="n">
        <v>74100</v>
      </c>
      <c r="R684" s="43" t="s">
        <v>651</v>
      </c>
      <c r="S684" s="43" t="s">
        <v>85</v>
      </c>
      <c r="T684" s="43" t="s">
        <v>633</v>
      </c>
      <c r="U684" s="43" t="s">
        <v>647</v>
      </c>
      <c r="V684" s="43" t="n">
        <v>7</v>
      </c>
      <c r="W684" s="43" t="n">
        <v>235</v>
      </c>
      <c r="X684" s="43" t="n">
        <v>242</v>
      </c>
      <c r="Y684" s="43" t="s">
        <v>635</v>
      </c>
      <c r="Z684" s="43" t="s">
        <v>636</v>
      </c>
    </row>
    <row r="685" customFormat="false" ht="15" hidden="false" customHeight="false" outlineLevel="0" collapsed="false">
      <c r="A685" s="43" t="n">
        <v>683</v>
      </c>
      <c r="B685" s="43" t="s">
        <v>1064</v>
      </c>
      <c r="C685" s="43" t="s">
        <v>1065</v>
      </c>
      <c r="D685" s="43" t="s">
        <v>1065</v>
      </c>
      <c r="E685" s="43" t="s">
        <v>164</v>
      </c>
      <c r="F685" s="43" t="s">
        <v>63</v>
      </c>
      <c r="G685" s="43" t="n">
        <v>2025</v>
      </c>
      <c r="H685" s="44" t="n">
        <v>0</v>
      </c>
      <c r="I685" s="43" t="n">
        <v>2025</v>
      </c>
      <c r="J685" s="43" t="n">
        <v>6</v>
      </c>
      <c r="K685" s="44" t="n">
        <v>129000</v>
      </c>
      <c r="L685" s="43" t="n">
        <v>2025</v>
      </c>
      <c r="M685" s="43" t="n">
        <v>6</v>
      </c>
      <c r="N685" s="44" t="n">
        <v>129000</v>
      </c>
      <c r="O685" s="43" t="n">
        <v>2026</v>
      </c>
      <c r="P685" s="43" t="n">
        <v>1</v>
      </c>
      <c r="Q685" s="44" t="n">
        <v>129000</v>
      </c>
      <c r="R685" s="43" t="s">
        <v>651</v>
      </c>
      <c r="S685" s="43" t="s">
        <v>85</v>
      </c>
      <c r="T685" s="43" t="s">
        <v>633</v>
      </c>
      <c r="U685" s="43" t="s">
        <v>647</v>
      </c>
      <c r="V685" s="43" t="n">
        <v>0</v>
      </c>
      <c r="W685" s="43" t="n">
        <v>215</v>
      </c>
      <c r="X685" s="43" t="n">
        <v>215</v>
      </c>
      <c r="Y685" s="43" t="s">
        <v>635</v>
      </c>
      <c r="Z685" s="43" t="s">
        <v>636</v>
      </c>
    </row>
    <row r="686" customFormat="false" ht="15" hidden="false" customHeight="false" outlineLevel="0" collapsed="false">
      <c r="A686" s="43" t="n">
        <v>684</v>
      </c>
      <c r="B686" s="43" t="s">
        <v>1064</v>
      </c>
      <c r="C686" s="43" t="s">
        <v>1065</v>
      </c>
      <c r="D686" s="43" t="s">
        <v>1065</v>
      </c>
      <c r="E686" s="43" t="s">
        <v>164</v>
      </c>
      <c r="F686" s="43" t="s">
        <v>63</v>
      </c>
      <c r="G686" s="43" t="n">
        <v>2025</v>
      </c>
      <c r="H686" s="44" t="n">
        <v>0</v>
      </c>
      <c r="I686" s="43" t="n">
        <v>2025</v>
      </c>
      <c r="J686" s="43" t="n">
        <v>7</v>
      </c>
      <c r="K686" s="44" t="n">
        <v>114100</v>
      </c>
      <c r="L686" s="43" t="n">
        <v>2025</v>
      </c>
      <c r="M686" s="43" t="n">
        <v>8</v>
      </c>
      <c r="N686" s="44" t="n">
        <v>114100</v>
      </c>
      <c r="O686" s="43" t="n">
        <v>2026</v>
      </c>
      <c r="P686" s="43" t="n">
        <v>1</v>
      </c>
      <c r="Q686" s="44" t="n">
        <v>114100</v>
      </c>
      <c r="R686" s="43" t="s">
        <v>651</v>
      </c>
      <c r="S686" s="43" t="s">
        <v>85</v>
      </c>
      <c r="T686" s="43" t="s">
        <v>633</v>
      </c>
      <c r="U686" s="43" t="s">
        <v>647</v>
      </c>
      <c r="V686" s="43" t="n">
        <v>10</v>
      </c>
      <c r="W686" s="43" t="n">
        <v>175</v>
      </c>
      <c r="X686" s="43" t="n">
        <v>185</v>
      </c>
      <c r="Y686" s="43" t="s">
        <v>635</v>
      </c>
      <c r="Z686" s="43" t="s">
        <v>636</v>
      </c>
    </row>
    <row r="687" customFormat="false" ht="15" hidden="false" customHeight="false" outlineLevel="0" collapsed="false">
      <c r="A687" s="43" t="n">
        <v>685</v>
      </c>
      <c r="B687" s="43" t="s">
        <v>1064</v>
      </c>
      <c r="C687" s="43" t="s">
        <v>1065</v>
      </c>
      <c r="D687" s="43" t="s">
        <v>1065</v>
      </c>
      <c r="E687" s="43" t="s">
        <v>164</v>
      </c>
      <c r="F687" s="43" t="s">
        <v>63</v>
      </c>
      <c r="G687" s="43" t="n">
        <v>2025</v>
      </c>
      <c r="H687" s="44" t="n">
        <v>0</v>
      </c>
      <c r="I687" s="43" t="n">
        <v>2025</v>
      </c>
      <c r="J687" s="43" t="n">
        <v>8</v>
      </c>
      <c r="K687" s="44" t="n">
        <v>150000</v>
      </c>
      <c r="L687" s="43" t="n">
        <v>2025</v>
      </c>
      <c r="M687" s="43" t="n">
        <v>10</v>
      </c>
      <c r="N687" s="44" t="n">
        <v>150000</v>
      </c>
      <c r="O687" s="43" t="n">
        <v>2026</v>
      </c>
      <c r="P687" s="43" t="n">
        <v>1</v>
      </c>
      <c r="Q687" s="44" t="n">
        <v>150000</v>
      </c>
      <c r="R687" s="43" t="s">
        <v>651</v>
      </c>
      <c r="S687" s="43" t="s">
        <v>85</v>
      </c>
      <c r="T687" s="43" t="s">
        <v>633</v>
      </c>
      <c r="U687" s="43" t="s">
        <v>647</v>
      </c>
      <c r="V687" s="43" t="n">
        <v>50</v>
      </c>
      <c r="W687" s="43" t="n">
        <v>99</v>
      </c>
      <c r="X687" s="43" t="n">
        <v>149</v>
      </c>
      <c r="Y687" s="43" t="s">
        <v>635</v>
      </c>
      <c r="Z687" s="43" t="s">
        <v>636</v>
      </c>
    </row>
    <row r="688" customFormat="false" ht="15" hidden="false" customHeight="false" outlineLevel="0" collapsed="false">
      <c r="A688" s="43" t="n">
        <v>686</v>
      </c>
      <c r="B688" s="43" t="s">
        <v>1064</v>
      </c>
      <c r="C688" s="43" t="s">
        <v>1065</v>
      </c>
      <c r="D688" s="43" t="s">
        <v>1065</v>
      </c>
      <c r="E688" s="43" t="s">
        <v>164</v>
      </c>
      <c r="F688" s="43" t="s">
        <v>63</v>
      </c>
      <c r="G688" s="43" t="n">
        <v>2025</v>
      </c>
      <c r="H688" s="44" t="n">
        <v>0</v>
      </c>
      <c r="I688" s="43" t="n">
        <v>2025</v>
      </c>
      <c r="J688" s="43" t="n">
        <v>9</v>
      </c>
      <c r="K688" s="44" t="n">
        <v>178500</v>
      </c>
      <c r="L688" s="43" t="n">
        <v>2025</v>
      </c>
      <c r="M688" s="43" t="n">
        <v>10</v>
      </c>
      <c r="N688" s="44" t="n">
        <v>178500</v>
      </c>
      <c r="O688" s="43" t="n">
        <v>2026</v>
      </c>
      <c r="P688" s="43" t="n">
        <v>1</v>
      </c>
      <c r="Q688" s="44" t="n">
        <v>178500</v>
      </c>
      <c r="R688" s="43" t="s">
        <v>651</v>
      </c>
      <c r="S688" s="43" t="s">
        <v>85</v>
      </c>
      <c r="T688" s="43" t="s">
        <v>633</v>
      </c>
      <c r="U688" s="43" t="s">
        <v>647</v>
      </c>
      <c r="V688" s="43" t="n">
        <v>20</v>
      </c>
      <c r="W688" s="43" t="n">
        <v>99</v>
      </c>
      <c r="X688" s="43" t="n">
        <v>119</v>
      </c>
      <c r="Y688" s="43" t="s">
        <v>635</v>
      </c>
      <c r="Z688" s="43" t="s">
        <v>636</v>
      </c>
    </row>
    <row r="689" customFormat="false" ht="15" hidden="false" customHeight="false" outlineLevel="0" collapsed="false">
      <c r="A689" s="43" t="n">
        <v>687</v>
      </c>
      <c r="B689" s="43" t="s">
        <v>1064</v>
      </c>
      <c r="C689" s="43" t="s">
        <v>1065</v>
      </c>
      <c r="D689" s="43" t="s">
        <v>1065</v>
      </c>
      <c r="E689" s="43" t="s">
        <v>164</v>
      </c>
      <c r="F689" s="43" t="s">
        <v>63</v>
      </c>
      <c r="G689" s="43" t="n">
        <v>2025</v>
      </c>
      <c r="H689" s="44" t="n">
        <v>0</v>
      </c>
      <c r="I689" s="43"/>
      <c r="J689" s="43"/>
      <c r="K689" s="44" t="n">
        <v>0</v>
      </c>
      <c r="L689" s="43"/>
      <c r="M689" s="43"/>
      <c r="N689" s="44" t="n">
        <v>0</v>
      </c>
      <c r="O689" s="43" t="n">
        <v>2026</v>
      </c>
      <c r="P689" s="43" t="n">
        <v>5</v>
      </c>
      <c r="Q689" s="44" t="n">
        <v>31720</v>
      </c>
      <c r="R689" s="43" t="s">
        <v>651</v>
      </c>
      <c r="S689" s="43" t="s">
        <v>85</v>
      </c>
      <c r="T689" s="43" t="s">
        <v>633</v>
      </c>
      <c r="U689" s="43" t="s">
        <v>647</v>
      </c>
      <c r="V689" s="43"/>
      <c r="W689" s="43"/>
      <c r="X689" s="43"/>
      <c r="Y689" s="43" t="s">
        <v>635</v>
      </c>
      <c r="Z689" s="43" t="s">
        <v>636</v>
      </c>
    </row>
    <row r="690" customFormat="false" ht="15" hidden="false" customHeight="false" outlineLevel="0" collapsed="false">
      <c r="A690" s="43" t="n">
        <v>688</v>
      </c>
      <c r="B690" s="43" t="s">
        <v>1066</v>
      </c>
      <c r="C690" s="43" t="s">
        <v>1067</v>
      </c>
      <c r="D690" s="43" t="s">
        <v>1067</v>
      </c>
      <c r="E690" s="43" t="s">
        <v>166</v>
      </c>
      <c r="F690" s="43" t="s">
        <v>63</v>
      </c>
      <c r="G690" s="43" t="n">
        <v>2024</v>
      </c>
      <c r="H690" s="44" t="n">
        <v>0</v>
      </c>
      <c r="I690" s="43" t="n">
        <v>2024</v>
      </c>
      <c r="J690" s="43" t="n">
        <v>11</v>
      </c>
      <c r="K690" s="44" t="n">
        <v>51319</v>
      </c>
      <c r="L690" s="43" t="n">
        <v>2025</v>
      </c>
      <c r="M690" s="43" t="n">
        <v>1</v>
      </c>
      <c r="N690" s="44" t="n">
        <v>51319</v>
      </c>
      <c r="O690" s="43" t="n">
        <v>2025</v>
      </c>
      <c r="P690" s="43" t="n">
        <v>1</v>
      </c>
      <c r="Q690" s="44" t="n">
        <v>51319</v>
      </c>
      <c r="R690" s="43" t="s">
        <v>646</v>
      </c>
      <c r="S690" s="43" t="s">
        <v>83</v>
      </c>
      <c r="T690" s="43" t="s">
        <v>641</v>
      </c>
      <c r="U690" s="43" t="s">
        <v>642</v>
      </c>
      <c r="V690" s="43" t="n">
        <v>45</v>
      </c>
      <c r="W690" s="43" t="n">
        <v>22</v>
      </c>
      <c r="X690" s="43" t="n">
        <v>67</v>
      </c>
      <c r="Y690" s="43" t="s">
        <v>635</v>
      </c>
      <c r="Z690" s="43" t="s">
        <v>636</v>
      </c>
    </row>
    <row r="691" customFormat="false" ht="15" hidden="false" customHeight="false" outlineLevel="0" collapsed="false">
      <c r="A691" s="43" t="n">
        <v>689</v>
      </c>
      <c r="B691" s="43" t="s">
        <v>1066</v>
      </c>
      <c r="C691" s="43" t="s">
        <v>1067</v>
      </c>
      <c r="D691" s="43" t="s">
        <v>1067</v>
      </c>
      <c r="E691" s="43" t="s">
        <v>166</v>
      </c>
      <c r="F691" s="43" t="s">
        <v>63</v>
      </c>
      <c r="G691" s="43" t="n">
        <v>2024</v>
      </c>
      <c r="H691" s="44" t="n">
        <v>0</v>
      </c>
      <c r="I691" s="43" t="n">
        <v>2024</v>
      </c>
      <c r="J691" s="43" t="n">
        <v>12</v>
      </c>
      <c r="K691" s="44" t="n">
        <v>61422</v>
      </c>
      <c r="L691" s="43" t="n">
        <v>2025</v>
      </c>
      <c r="M691" s="43" t="n">
        <v>1</v>
      </c>
      <c r="N691" s="44" t="n">
        <v>61422</v>
      </c>
      <c r="O691" s="43" t="n">
        <v>2025</v>
      </c>
      <c r="P691" s="43" t="n">
        <v>1</v>
      </c>
      <c r="Q691" s="44" t="n">
        <v>61422</v>
      </c>
      <c r="R691" s="43" t="s">
        <v>646</v>
      </c>
      <c r="S691" s="43" t="s">
        <v>83</v>
      </c>
      <c r="T691" s="43" t="s">
        <v>641</v>
      </c>
      <c r="U691" s="43" t="s">
        <v>642</v>
      </c>
      <c r="V691" s="43" t="n">
        <v>15</v>
      </c>
      <c r="W691" s="43" t="n">
        <v>22</v>
      </c>
      <c r="X691" s="43" t="n">
        <v>37</v>
      </c>
      <c r="Y691" s="43" t="s">
        <v>635</v>
      </c>
      <c r="Z691" s="43" t="s">
        <v>636</v>
      </c>
    </row>
    <row r="692" customFormat="false" ht="15" hidden="false" customHeight="false" outlineLevel="0" collapsed="false">
      <c r="A692" s="43" t="n">
        <v>690</v>
      </c>
      <c r="B692" s="43" t="s">
        <v>1066</v>
      </c>
      <c r="C692" s="43" t="s">
        <v>1067</v>
      </c>
      <c r="D692" s="43" t="s">
        <v>1067</v>
      </c>
      <c r="E692" s="43" t="s">
        <v>166</v>
      </c>
      <c r="F692" s="43" t="s">
        <v>63</v>
      </c>
      <c r="G692" s="43" t="n">
        <v>2025</v>
      </c>
      <c r="H692" s="44" t="n">
        <v>0</v>
      </c>
      <c r="I692" s="43" t="n">
        <v>2025</v>
      </c>
      <c r="J692" s="43" t="n">
        <v>1</v>
      </c>
      <c r="K692" s="44" t="n">
        <v>80209</v>
      </c>
      <c r="L692" s="43" t="n">
        <v>2025</v>
      </c>
      <c r="M692" s="43" t="n">
        <v>1</v>
      </c>
      <c r="N692" s="44" t="n">
        <v>80209</v>
      </c>
      <c r="O692" s="43" t="n">
        <v>2025</v>
      </c>
      <c r="P692" s="43" t="n">
        <v>2</v>
      </c>
      <c r="Q692" s="44" t="n">
        <v>80209</v>
      </c>
      <c r="R692" s="43" t="s">
        <v>646</v>
      </c>
      <c r="S692" s="43" t="s">
        <v>83</v>
      </c>
      <c r="T692" s="43" t="s">
        <v>641</v>
      </c>
      <c r="U692" s="43" t="s">
        <v>642</v>
      </c>
      <c r="V692" s="43" t="n">
        <v>2</v>
      </c>
      <c r="W692" s="43" t="n">
        <v>29</v>
      </c>
      <c r="X692" s="43" t="n">
        <v>31</v>
      </c>
      <c r="Y692" s="43" t="s">
        <v>635</v>
      </c>
      <c r="Z692" s="43" t="s">
        <v>636</v>
      </c>
    </row>
    <row r="693" customFormat="false" ht="15" hidden="false" customHeight="false" outlineLevel="0" collapsed="false">
      <c r="A693" s="43" t="n">
        <v>691</v>
      </c>
      <c r="B693" s="43" t="s">
        <v>1066</v>
      </c>
      <c r="C693" s="43" t="s">
        <v>1067</v>
      </c>
      <c r="D693" s="43" t="s">
        <v>1067</v>
      </c>
      <c r="E693" s="43" t="s">
        <v>166</v>
      </c>
      <c r="F693" s="43" t="s">
        <v>63</v>
      </c>
      <c r="G693" s="43" t="n">
        <v>2025</v>
      </c>
      <c r="H693" s="44" t="n">
        <v>0</v>
      </c>
      <c r="I693" s="43" t="n">
        <v>2025</v>
      </c>
      <c r="J693" s="43" t="n">
        <v>2</v>
      </c>
      <c r="K693" s="44" t="n">
        <v>112980.7</v>
      </c>
      <c r="L693" s="43" t="n">
        <v>2025</v>
      </c>
      <c r="M693" s="43" t="n">
        <v>3</v>
      </c>
      <c r="N693" s="44" t="n">
        <v>112981</v>
      </c>
      <c r="O693" s="43" t="n">
        <v>2025</v>
      </c>
      <c r="P693" s="43" t="n">
        <v>3</v>
      </c>
      <c r="Q693" s="44" t="n">
        <v>112980</v>
      </c>
      <c r="R693" s="43" t="s">
        <v>646</v>
      </c>
      <c r="S693" s="43" t="s">
        <v>83</v>
      </c>
      <c r="T693" s="43" t="s">
        <v>641</v>
      </c>
      <c r="U693" s="43" t="s">
        <v>642</v>
      </c>
      <c r="V693" s="43" t="n">
        <v>8</v>
      </c>
      <c r="W693" s="43" t="n">
        <v>21</v>
      </c>
      <c r="X693" s="43" t="n">
        <v>29</v>
      </c>
      <c r="Y693" s="43" t="s">
        <v>635</v>
      </c>
      <c r="Z693" s="43" t="s">
        <v>636</v>
      </c>
    </row>
    <row r="694" customFormat="false" ht="15" hidden="false" customHeight="false" outlineLevel="0" collapsed="false">
      <c r="A694" s="43" t="n">
        <v>692</v>
      </c>
      <c r="B694" s="43" t="s">
        <v>1066</v>
      </c>
      <c r="C694" s="43" t="s">
        <v>1067</v>
      </c>
      <c r="D694" s="43" t="s">
        <v>1067</v>
      </c>
      <c r="E694" s="43" t="s">
        <v>166</v>
      </c>
      <c r="F694" s="43" t="s">
        <v>63</v>
      </c>
      <c r="G694" s="43" t="n">
        <v>2025</v>
      </c>
      <c r="H694" s="44" t="n">
        <v>0</v>
      </c>
      <c r="I694" s="43" t="n">
        <v>2025</v>
      </c>
      <c r="J694" s="43" t="n">
        <v>4</v>
      </c>
      <c r="K694" s="44" t="n">
        <v>101319.4</v>
      </c>
      <c r="L694" s="43" t="n">
        <v>2025</v>
      </c>
      <c r="M694" s="43" t="n">
        <v>4</v>
      </c>
      <c r="N694" s="44" t="n">
        <v>101319.4</v>
      </c>
      <c r="O694" s="43" t="n">
        <v>2025</v>
      </c>
      <c r="P694" s="43" t="n">
        <v>5</v>
      </c>
      <c r="Q694" s="44" t="n">
        <v>101319</v>
      </c>
      <c r="R694" s="43" t="s">
        <v>646</v>
      </c>
      <c r="S694" s="43" t="s">
        <v>83</v>
      </c>
      <c r="T694" s="43" t="s">
        <v>641</v>
      </c>
      <c r="U694" s="43" t="s">
        <v>642</v>
      </c>
      <c r="V694" s="43" t="n">
        <v>0</v>
      </c>
      <c r="W694" s="43" t="n">
        <v>56</v>
      </c>
      <c r="X694" s="43" t="n">
        <v>56</v>
      </c>
      <c r="Y694" s="43" t="s">
        <v>635</v>
      </c>
      <c r="Z694" s="43" t="s">
        <v>636</v>
      </c>
    </row>
    <row r="695" customFormat="false" ht="15" hidden="false" customHeight="false" outlineLevel="0" collapsed="false">
      <c r="A695" s="43" t="n">
        <v>693</v>
      </c>
      <c r="B695" s="43" t="s">
        <v>1066</v>
      </c>
      <c r="C695" s="43" t="s">
        <v>1067</v>
      </c>
      <c r="D695" s="43" t="s">
        <v>1067</v>
      </c>
      <c r="E695" s="43" t="s">
        <v>166</v>
      </c>
      <c r="F695" s="43" t="s">
        <v>63</v>
      </c>
      <c r="G695" s="43" t="n">
        <v>2025</v>
      </c>
      <c r="H695" s="44" t="n">
        <v>0</v>
      </c>
      <c r="I695" s="43" t="n">
        <v>2025</v>
      </c>
      <c r="J695" s="43" t="n">
        <v>4</v>
      </c>
      <c r="K695" s="44" t="n">
        <v>60296</v>
      </c>
      <c r="L695" s="43" t="n">
        <v>2025</v>
      </c>
      <c r="M695" s="43" t="n">
        <v>4</v>
      </c>
      <c r="N695" s="44" t="n">
        <v>60269</v>
      </c>
      <c r="O695" s="43" t="n">
        <v>2025</v>
      </c>
      <c r="P695" s="43" t="n">
        <v>5</v>
      </c>
      <c r="Q695" s="44" t="n">
        <v>60269</v>
      </c>
      <c r="R695" s="43" t="s">
        <v>646</v>
      </c>
      <c r="S695" s="43" t="s">
        <v>83</v>
      </c>
      <c r="T695" s="43" t="s">
        <v>641</v>
      </c>
      <c r="U695" s="43" t="s">
        <v>642</v>
      </c>
      <c r="V695" s="43" t="n">
        <v>0</v>
      </c>
      <c r="W695" s="43" t="n">
        <v>30</v>
      </c>
      <c r="X695" s="43" t="n">
        <v>30</v>
      </c>
      <c r="Y695" s="43" t="s">
        <v>635</v>
      </c>
      <c r="Z695" s="43" t="s">
        <v>636</v>
      </c>
    </row>
    <row r="696" customFormat="false" ht="15" hidden="false" customHeight="false" outlineLevel="0" collapsed="false">
      <c r="A696" s="43" t="n">
        <v>694</v>
      </c>
      <c r="B696" s="43" t="s">
        <v>1066</v>
      </c>
      <c r="C696" s="43" t="s">
        <v>1067</v>
      </c>
      <c r="D696" s="43" t="s">
        <v>1067</v>
      </c>
      <c r="E696" s="43" t="s">
        <v>166</v>
      </c>
      <c r="F696" s="43" t="s">
        <v>63</v>
      </c>
      <c r="G696" s="43" t="n">
        <v>2025</v>
      </c>
      <c r="H696" s="44" t="n">
        <v>0</v>
      </c>
      <c r="I696" s="43" t="n">
        <v>2025</v>
      </c>
      <c r="J696" s="43" t="n">
        <v>5</v>
      </c>
      <c r="K696" s="44" t="n">
        <v>13995</v>
      </c>
      <c r="L696" s="43" t="n">
        <v>2025</v>
      </c>
      <c r="M696" s="43" t="n">
        <v>6</v>
      </c>
      <c r="N696" s="44" t="n">
        <v>13995</v>
      </c>
      <c r="O696" s="43" t="n">
        <v>2025</v>
      </c>
      <c r="P696" s="43" t="n">
        <v>6</v>
      </c>
      <c r="Q696" s="44" t="n">
        <v>13995</v>
      </c>
      <c r="R696" s="43" t="s">
        <v>646</v>
      </c>
      <c r="S696" s="43" t="s">
        <v>83</v>
      </c>
      <c r="T696" s="43" t="s">
        <v>641</v>
      </c>
      <c r="U696" s="43" t="s">
        <v>642</v>
      </c>
      <c r="V696" s="43" t="n">
        <v>4</v>
      </c>
      <c r="W696" s="43" t="n">
        <v>23</v>
      </c>
      <c r="X696" s="43" t="n">
        <v>27</v>
      </c>
      <c r="Y696" s="43" t="s">
        <v>635</v>
      </c>
      <c r="Z696" s="43" t="s">
        <v>636</v>
      </c>
    </row>
    <row r="697" customFormat="false" ht="15" hidden="false" customHeight="false" outlineLevel="0" collapsed="false">
      <c r="A697" s="43" t="n">
        <v>695</v>
      </c>
      <c r="B697" s="43" t="s">
        <v>1068</v>
      </c>
      <c r="C697" s="43" t="s">
        <v>1069</v>
      </c>
      <c r="D697" s="43" t="s">
        <v>1069</v>
      </c>
      <c r="E697" s="43" t="s">
        <v>166</v>
      </c>
      <c r="F697" s="43" t="s">
        <v>63</v>
      </c>
      <c r="G697" s="43" t="n">
        <v>2025</v>
      </c>
      <c r="H697" s="44" t="n">
        <v>0</v>
      </c>
      <c r="I697" s="43" t="n">
        <v>2025</v>
      </c>
      <c r="J697" s="43" t="n">
        <v>3</v>
      </c>
      <c r="K697" s="44" t="n">
        <v>84225</v>
      </c>
      <c r="L697" s="43" t="n">
        <v>2025</v>
      </c>
      <c r="M697" s="43" t="n">
        <v>4</v>
      </c>
      <c r="N697" s="44" t="n">
        <v>84225</v>
      </c>
      <c r="O697" s="43" t="n">
        <v>2025</v>
      </c>
      <c r="P697" s="43" t="n">
        <v>4</v>
      </c>
      <c r="Q697" s="44" t="n">
        <v>84225</v>
      </c>
      <c r="R697" s="43" t="s">
        <v>646</v>
      </c>
      <c r="S697" s="43" t="s">
        <v>83</v>
      </c>
      <c r="T697" s="43" t="s">
        <v>641</v>
      </c>
      <c r="U697" s="43" t="s">
        <v>647</v>
      </c>
      <c r="V697" s="43" t="n">
        <v>1</v>
      </c>
      <c r="W697" s="43" t="n">
        <v>29</v>
      </c>
      <c r="X697" s="43" t="n">
        <v>30</v>
      </c>
      <c r="Y697" s="43" t="s">
        <v>635</v>
      </c>
      <c r="Z697" s="43" t="s">
        <v>636</v>
      </c>
    </row>
    <row r="698" customFormat="false" ht="15" hidden="false" customHeight="false" outlineLevel="0" collapsed="false">
      <c r="A698" s="43" t="n">
        <v>696</v>
      </c>
      <c r="B698" s="43" t="s">
        <v>1070</v>
      </c>
      <c r="C698" s="43" t="s">
        <v>1071</v>
      </c>
      <c r="D698" s="43" t="s">
        <v>1071</v>
      </c>
      <c r="E698" s="43" t="s">
        <v>1072</v>
      </c>
      <c r="F698" s="43" t="s">
        <v>61</v>
      </c>
      <c r="G698" s="43" t="n">
        <v>2025</v>
      </c>
      <c r="H698" s="44" t="n">
        <v>0</v>
      </c>
      <c r="I698" s="43" t="n">
        <v>2025</v>
      </c>
      <c r="J698" s="43" t="n">
        <v>8</v>
      </c>
      <c r="K698" s="44" t="n">
        <v>34388</v>
      </c>
      <c r="L698" s="43" t="n">
        <v>2025</v>
      </c>
      <c r="M698" s="43" t="n">
        <v>10</v>
      </c>
      <c r="N698" s="44" t="n">
        <v>34388</v>
      </c>
      <c r="O698" s="43" t="n">
        <v>2025</v>
      </c>
      <c r="P698" s="43" t="n">
        <v>10</v>
      </c>
      <c r="Q698" s="44" t="n">
        <v>34388</v>
      </c>
      <c r="R698" s="43" t="s">
        <v>646</v>
      </c>
      <c r="S698" s="43" t="s">
        <v>83</v>
      </c>
      <c r="T698" s="43" t="s">
        <v>641</v>
      </c>
      <c r="U698" s="43" t="s">
        <v>660</v>
      </c>
      <c r="V698" s="43" t="n">
        <v>39</v>
      </c>
      <c r="W698" s="43" t="n">
        <v>8</v>
      </c>
      <c r="X698" s="43" t="n">
        <v>47</v>
      </c>
      <c r="Y698" s="43" t="s">
        <v>635</v>
      </c>
      <c r="Z698" s="43" t="s">
        <v>636</v>
      </c>
    </row>
    <row r="699" customFormat="false" ht="15" hidden="false" customHeight="false" outlineLevel="0" collapsed="false">
      <c r="A699" s="43" t="n">
        <v>697</v>
      </c>
      <c r="B699" s="43" t="s">
        <v>1070</v>
      </c>
      <c r="C699" s="43" t="s">
        <v>1071</v>
      </c>
      <c r="D699" s="43" t="s">
        <v>1071</v>
      </c>
      <c r="E699" s="43" t="s">
        <v>1072</v>
      </c>
      <c r="F699" s="43" t="s">
        <v>61</v>
      </c>
      <c r="G699" s="43" t="n">
        <v>2025</v>
      </c>
      <c r="H699" s="44" t="n">
        <v>0</v>
      </c>
      <c r="I699" s="43" t="n">
        <v>2025</v>
      </c>
      <c r="J699" s="43" t="n">
        <v>10</v>
      </c>
      <c r="K699" s="44" t="n">
        <v>3821</v>
      </c>
      <c r="L699" s="43" t="n">
        <v>2025</v>
      </c>
      <c r="M699" s="43" t="n">
        <v>10</v>
      </c>
      <c r="N699" s="44" t="n">
        <v>3821</v>
      </c>
      <c r="O699" s="43" t="n">
        <v>2025</v>
      </c>
      <c r="P699" s="43" t="n">
        <v>12</v>
      </c>
      <c r="Q699" s="44" t="n">
        <v>3821</v>
      </c>
      <c r="R699" s="43" t="s">
        <v>646</v>
      </c>
      <c r="S699" s="43" t="s">
        <v>83</v>
      </c>
      <c r="T699" s="43" t="s">
        <v>641</v>
      </c>
      <c r="U699" s="43" t="s">
        <v>660</v>
      </c>
      <c r="V699" s="43" t="n">
        <v>4</v>
      </c>
      <c r="W699" s="43" t="n">
        <v>64</v>
      </c>
      <c r="X699" s="43" t="n">
        <v>68</v>
      </c>
      <c r="Y699" s="43" t="s">
        <v>635</v>
      </c>
      <c r="Z699" s="43" t="s">
        <v>636</v>
      </c>
    </row>
    <row r="700" customFormat="false" ht="15" hidden="false" customHeight="false" outlineLevel="0" collapsed="false">
      <c r="A700" s="43" t="n">
        <v>698</v>
      </c>
      <c r="B700" s="43"/>
      <c r="C700" s="43" t="s">
        <v>1073</v>
      </c>
      <c r="D700" s="43" t="s">
        <v>1073</v>
      </c>
      <c r="E700" s="43" t="s">
        <v>131</v>
      </c>
      <c r="F700" s="43" t="s">
        <v>48</v>
      </c>
      <c r="G700" s="43" t="n">
        <v>2024</v>
      </c>
      <c r="H700" s="44" t="n">
        <v>0</v>
      </c>
      <c r="I700" s="43" t="n">
        <v>2024</v>
      </c>
      <c r="J700" s="43" t="n">
        <v>7</v>
      </c>
      <c r="K700" s="44" t="n">
        <v>0</v>
      </c>
      <c r="L700" s="43" t="n">
        <v>2024</v>
      </c>
      <c r="M700" s="43" t="n">
        <v>7</v>
      </c>
      <c r="N700" s="44" t="n">
        <v>0</v>
      </c>
      <c r="O700" s="43" t="n">
        <v>2024</v>
      </c>
      <c r="P700" s="43" t="n">
        <v>7</v>
      </c>
      <c r="Q700" s="44" t="n">
        <v>43052.5997887603</v>
      </c>
      <c r="R700" s="43"/>
      <c r="S700" s="43" t="s">
        <v>86</v>
      </c>
      <c r="T700" s="43" t="s">
        <v>633</v>
      </c>
      <c r="U700" s="43" t="s">
        <v>642</v>
      </c>
      <c r="V700" s="43" t="n">
        <v>0</v>
      </c>
      <c r="W700" s="43" t="n">
        <v>0</v>
      </c>
      <c r="X700" s="43" t="n">
        <v>0</v>
      </c>
      <c r="Y700" s="43" t="s">
        <v>635</v>
      </c>
      <c r="Z700" s="43" t="s">
        <v>636</v>
      </c>
    </row>
    <row r="701" customFormat="false" ht="15" hidden="false" customHeight="false" outlineLevel="0" collapsed="false">
      <c r="A701" s="43" t="n">
        <v>699</v>
      </c>
      <c r="B701" s="43"/>
      <c r="C701" s="43" t="s">
        <v>1074</v>
      </c>
      <c r="D701" s="43" t="s">
        <v>1074</v>
      </c>
      <c r="E701" s="43" t="s">
        <v>131</v>
      </c>
      <c r="F701" s="43" t="s">
        <v>48</v>
      </c>
      <c r="G701" s="43" t="n">
        <v>2025</v>
      </c>
      <c r="H701" s="44" t="n">
        <v>0</v>
      </c>
      <c r="I701" s="43" t="n">
        <v>2025</v>
      </c>
      <c r="J701" s="43" t="n">
        <v>11</v>
      </c>
      <c r="K701" s="44" t="n">
        <v>0</v>
      </c>
      <c r="L701" s="43" t="n">
        <v>2025</v>
      </c>
      <c r="M701" s="43" t="n">
        <v>11</v>
      </c>
      <c r="N701" s="44" t="n">
        <v>0</v>
      </c>
      <c r="O701" s="43" t="n">
        <v>2025</v>
      </c>
      <c r="P701" s="43" t="n">
        <v>11</v>
      </c>
      <c r="Q701" s="44" t="n">
        <v>50646</v>
      </c>
      <c r="R701" s="43"/>
      <c r="S701" s="43" t="s">
        <v>86</v>
      </c>
      <c r="T701" s="43" t="s">
        <v>633</v>
      </c>
      <c r="U701" s="43" t="s">
        <v>642</v>
      </c>
      <c r="V701" s="43" t="n">
        <v>0</v>
      </c>
      <c r="W701" s="43" t="n">
        <v>0</v>
      </c>
      <c r="X701" s="43" t="n">
        <v>0</v>
      </c>
      <c r="Y701" s="43" t="s">
        <v>635</v>
      </c>
      <c r="Z701" s="43" t="s">
        <v>636</v>
      </c>
    </row>
    <row r="702" customFormat="false" ht="15" hidden="false" customHeight="false" outlineLevel="0" collapsed="false">
      <c r="A702" s="43" t="n">
        <v>700</v>
      </c>
      <c r="B702" s="43"/>
      <c r="C702" s="43" t="s">
        <v>1075</v>
      </c>
      <c r="D702" s="43" t="s">
        <v>1075</v>
      </c>
      <c r="E702" s="43" t="s">
        <v>131</v>
      </c>
      <c r="F702" s="43" t="s">
        <v>48</v>
      </c>
      <c r="G702" s="43" t="n">
        <v>2025</v>
      </c>
      <c r="H702" s="44" t="n">
        <v>0</v>
      </c>
      <c r="I702" s="43" t="n">
        <v>2025</v>
      </c>
      <c r="J702" s="43" t="n">
        <v>10</v>
      </c>
      <c r="K702" s="44" t="n">
        <v>0</v>
      </c>
      <c r="L702" s="43" t="n">
        <v>2025</v>
      </c>
      <c r="M702" s="43" t="n">
        <v>10</v>
      </c>
      <c r="N702" s="44" t="n">
        <v>0</v>
      </c>
      <c r="O702" s="43" t="n">
        <v>2025</v>
      </c>
      <c r="P702" s="43" t="n">
        <v>10</v>
      </c>
      <c r="Q702" s="44" t="n">
        <v>12155</v>
      </c>
      <c r="R702" s="43"/>
      <c r="S702" s="43" t="s">
        <v>86</v>
      </c>
      <c r="T702" s="43" t="s">
        <v>633</v>
      </c>
      <c r="U702" s="43" t="s">
        <v>647</v>
      </c>
      <c r="V702" s="43" t="n">
        <v>0</v>
      </c>
      <c r="W702" s="43" t="n">
        <v>0</v>
      </c>
      <c r="X702" s="43" t="n">
        <v>0</v>
      </c>
      <c r="Y702" s="43" t="s">
        <v>635</v>
      </c>
      <c r="Z702" s="43" t="s">
        <v>636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4" min="1" style="0" width="9"/>
    <col collapsed="false" customWidth="true" hidden="false" outlineLevel="0" max="5" min="5" style="0" width="16"/>
    <col collapsed="false" customWidth="true" hidden="false" outlineLevel="0" max="6" min="6" style="0" width="12"/>
    <col collapsed="false" customWidth="true" hidden="false" outlineLevel="0" max="7" min="7" style="0" width="40"/>
    <col collapsed="false" customWidth="true" hidden="false" outlineLevel="0" max="8" min="8" style="0" width="20"/>
  </cols>
  <sheetData>
    <row r="1" customFormat="false" ht="15" hidden="false" customHeight="false" outlineLevel="0" collapsed="false">
      <c r="A1" s="41" t="s">
        <v>1076</v>
      </c>
    </row>
    <row r="2" customFormat="false" ht="15" hidden="false" customHeight="false" outlineLevel="0" collapsed="false">
      <c r="A2" s="42" t="s">
        <v>508</v>
      </c>
      <c r="B2" s="42" t="s">
        <v>509</v>
      </c>
      <c r="C2" s="42" t="s">
        <v>43</v>
      </c>
      <c r="D2" s="42" t="s">
        <v>510</v>
      </c>
      <c r="E2" s="42" t="s">
        <v>1077</v>
      </c>
      <c r="F2" s="42" t="s">
        <v>511</v>
      </c>
      <c r="G2" s="42" t="s">
        <v>512</v>
      </c>
      <c r="H2" s="42" t="s">
        <v>513</v>
      </c>
    </row>
    <row r="3" customFormat="false" ht="15" hidden="false" customHeight="false" outlineLevel="0" collapsed="false">
      <c r="A3" s="43" t="s">
        <v>48</v>
      </c>
      <c r="B3" s="43" t="n">
        <v>2025</v>
      </c>
      <c r="C3" s="43" t="n">
        <v>1</v>
      </c>
      <c r="D3" s="43" t="s">
        <v>49</v>
      </c>
      <c r="E3" s="43" t="s">
        <v>214</v>
      </c>
      <c r="F3" s="44" t="n">
        <v>52257.14</v>
      </c>
      <c r="G3" s="43" t="s">
        <v>515</v>
      </c>
      <c r="H3" s="43" t="s">
        <v>1078</v>
      </c>
    </row>
    <row r="4" customFormat="false" ht="15" hidden="false" customHeight="false" outlineLevel="0" collapsed="false">
      <c r="A4" s="43" t="s">
        <v>48</v>
      </c>
      <c r="B4" s="43" t="n">
        <v>2025</v>
      </c>
      <c r="C4" s="43" t="n">
        <v>2</v>
      </c>
      <c r="D4" s="43" t="s">
        <v>50</v>
      </c>
      <c r="E4" s="43" t="s">
        <v>214</v>
      </c>
      <c r="F4" s="44" t="n">
        <v>170652.7</v>
      </c>
      <c r="G4" s="43" t="s">
        <v>515</v>
      </c>
      <c r="H4" s="43" t="s">
        <v>1078</v>
      </c>
    </row>
    <row r="5" customFormat="false" ht="15" hidden="false" customHeight="false" outlineLevel="0" collapsed="false">
      <c r="A5" s="43" t="s">
        <v>48</v>
      </c>
      <c r="B5" s="43" t="n">
        <v>2025</v>
      </c>
      <c r="C5" s="43" t="n">
        <v>3</v>
      </c>
      <c r="D5" s="43" t="s">
        <v>51</v>
      </c>
      <c r="E5" s="43" t="s">
        <v>214</v>
      </c>
      <c r="F5" s="44" t="n">
        <v>303814.87</v>
      </c>
      <c r="G5" s="43" t="s">
        <v>515</v>
      </c>
      <c r="H5" s="43" t="s">
        <v>1078</v>
      </c>
    </row>
    <row r="6" customFormat="false" ht="15" hidden="false" customHeight="false" outlineLevel="0" collapsed="false">
      <c r="A6" s="43" t="s">
        <v>48</v>
      </c>
      <c r="B6" s="43" t="n">
        <v>2025</v>
      </c>
      <c r="C6" s="43" t="n">
        <v>4</v>
      </c>
      <c r="D6" s="43" t="s">
        <v>52</v>
      </c>
      <c r="E6" s="43" t="s">
        <v>214</v>
      </c>
      <c r="F6" s="44" t="n">
        <v>233924.45</v>
      </c>
      <c r="G6" s="43" t="s">
        <v>515</v>
      </c>
      <c r="H6" s="43" t="s">
        <v>1078</v>
      </c>
    </row>
    <row r="7" customFormat="false" ht="15" hidden="false" customHeight="false" outlineLevel="0" collapsed="false">
      <c r="A7" s="43" t="s">
        <v>48</v>
      </c>
      <c r="B7" s="43" t="n">
        <v>2025</v>
      </c>
      <c r="C7" s="43" t="n">
        <v>5</v>
      </c>
      <c r="D7" s="43" t="s">
        <v>53</v>
      </c>
      <c r="E7" s="43" t="s">
        <v>214</v>
      </c>
      <c r="F7" s="44" t="n">
        <v>120723.72</v>
      </c>
      <c r="G7" s="43" t="s">
        <v>515</v>
      </c>
      <c r="H7" s="43" t="s">
        <v>1078</v>
      </c>
    </row>
    <row r="8" customFormat="false" ht="15" hidden="false" customHeight="false" outlineLevel="0" collapsed="false">
      <c r="A8" s="43" t="s">
        <v>48</v>
      </c>
      <c r="B8" s="43" t="n">
        <v>2025</v>
      </c>
      <c r="C8" s="43" t="n">
        <v>6</v>
      </c>
      <c r="D8" s="43" t="s">
        <v>54</v>
      </c>
      <c r="E8" s="43" t="s">
        <v>214</v>
      </c>
      <c r="F8" s="44" t="n">
        <v>79958.16</v>
      </c>
      <c r="G8" s="43" t="s">
        <v>515</v>
      </c>
      <c r="H8" s="43" t="s">
        <v>1078</v>
      </c>
    </row>
    <row r="9" customFormat="false" ht="15" hidden="false" customHeight="false" outlineLevel="0" collapsed="false">
      <c r="A9" s="43" t="s">
        <v>48</v>
      </c>
      <c r="B9" s="43" t="n">
        <v>2025</v>
      </c>
      <c r="C9" s="43" t="n">
        <v>7</v>
      </c>
      <c r="D9" s="43" t="s">
        <v>55</v>
      </c>
      <c r="E9" s="43" t="s">
        <v>214</v>
      </c>
      <c r="F9" s="44" t="n">
        <v>31896.49</v>
      </c>
      <c r="G9" s="43" t="s">
        <v>515</v>
      </c>
      <c r="H9" s="43" t="s">
        <v>1078</v>
      </c>
    </row>
    <row r="10" customFormat="false" ht="15" hidden="false" customHeight="false" outlineLevel="0" collapsed="false">
      <c r="A10" s="43" t="s">
        <v>48</v>
      </c>
      <c r="B10" s="43" t="n">
        <v>2025</v>
      </c>
      <c r="C10" s="43" t="n">
        <v>8</v>
      </c>
      <c r="D10" s="43" t="s">
        <v>56</v>
      </c>
      <c r="E10" s="43" t="s">
        <v>214</v>
      </c>
      <c r="F10" s="44" t="n">
        <v>223662.84</v>
      </c>
      <c r="G10" s="43" t="s">
        <v>515</v>
      </c>
      <c r="H10" s="43" t="s">
        <v>1078</v>
      </c>
    </row>
    <row r="11" customFormat="false" ht="15" hidden="false" customHeight="false" outlineLevel="0" collapsed="false">
      <c r="A11" s="43" t="s">
        <v>48</v>
      </c>
      <c r="B11" s="43" t="n">
        <v>2025</v>
      </c>
      <c r="C11" s="43" t="n">
        <v>9</v>
      </c>
      <c r="D11" s="43" t="s">
        <v>57</v>
      </c>
      <c r="E11" s="43" t="s">
        <v>214</v>
      </c>
      <c r="F11" s="44" t="n">
        <v>357917.35</v>
      </c>
      <c r="G11" s="43" t="s">
        <v>515</v>
      </c>
      <c r="H11" s="43" t="s">
        <v>1078</v>
      </c>
    </row>
    <row r="12" customFormat="false" ht="15" hidden="false" customHeight="false" outlineLevel="0" collapsed="false">
      <c r="A12" s="43" t="s">
        <v>48</v>
      </c>
      <c r="B12" s="43" t="n">
        <v>2025</v>
      </c>
      <c r="C12" s="43" t="n">
        <v>10</v>
      </c>
      <c r="D12" s="43" t="s">
        <v>58</v>
      </c>
      <c r="E12" s="43" t="s">
        <v>214</v>
      </c>
      <c r="F12" s="44" t="n">
        <v>201391.46</v>
      </c>
      <c r="G12" s="43" t="s">
        <v>515</v>
      </c>
      <c r="H12" s="43" t="s">
        <v>1078</v>
      </c>
    </row>
    <row r="13" customFormat="false" ht="15" hidden="false" customHeight="false" outlineLevel="0" collapsed="false">
      <c r="A13" s="43" t="s">
        <v>48</v>
      </c>
      <c r="B13" s="43" t="n">
        <v>2025</v>
      </c>
      <c r="C13" s="43" t="n">
        <v>11</v>
      </c>
      <c r="D13" s="43" t="s">
        <v>59</v>
      </c>
      <c r="E13" s="43" t="s">
        <v>214</v>
      </c>
      <c r="F13" s="44" t="n">
        <v>55700.81</v>
      </c>
      <c r="G13" s="43" t="s">
        <v>515</v>
      </c>
      <c r="H13" s="43" t="s">
        <v>1078</v>
      </c>
    </row>
    <row r="14" customFormat="false" ht="15" hidden="false" customHeight="false" outlineLevel="0" collapsed="false">
      <c r="A14" s="43" t="s">
        <v>48</v>
      </c>
      <c r="B14" s="43" t="n">
        <v>2025</v>
      </c>
      <c r="C14" s="43" t="n">
        <v>12</v>
      </c>
      <c r="D14" s="43" t="s">
        <v>60</v>
      </c>
      <c r="E14" s="43" t="s">
        <v>214</v>
      </c>
      <c r="F14" s="44" t="n">
        <v>20054.38</v>
      </c>
      <c r="G14" s="43" t="s">
        <v>515</v>
      </c>
      <c r="H14" s="43" t="s">
        <v>1078</v>
      </c>
    </row>
    <row r="15" customFormat="false" ht="15" hidden="false" customHeight="false" outlineLevel="0" collapsed="false">
      <c r="A15" s="43" t="s">
        <v>48</v>
      </c>
      <c r="B15" s="43" t="n">
        <v>2025</v>
      </c>
      <c r="C15" s="43" t="n">
        <v>1</v>
      </c>
      <c r="D15" s="43" t="s">
        <v>49</v>
      </c>
      <c r="E15" s="43" t="s">
        <v>1079</v>
      </c>
      <c r="F15" s="44" t="n">
        <v>362362.73</v>
      </c>
      <c r="G15" s="43" t="s">
        <v>515</v>
      </c>
      <c r="H15" s="43" t="s">
        <v>1078</v>
      </c>
    </row>
    <row r="16" customFormat="false" ht="15" hidden="false" customHeight="false" outlineLevel="0" collapsed="false">
      <c r="A16" s="43" t="s">
        <v>48</v>
      </c>
      <c r="B16" s="43" t="n">
        <v>2025</v>
      </c>
      <c r="C16" s="43" t="n">
        <v>2</v>
      </c>
      <c r="D16" s="43" t="s">
        <v>50</v>
      </c>
      <c r="E16" s="43" t="s">
        <v>1079</v>
      </c>
      <c r="F16" s="44" t="n">
        <v>547310.62</v>
      </c>
      <c r="G16" s="43" t="s">
        <v>515</v>
      </c>
      <c r="H16" s="43" t="s">
        <v>1078</v>
      </c>
    </row>
    <row r="17" customFormat="false" ht="15" hidden="false" customHeight="false" outlineLevel="0" collapsed="false">
      <c r="A17" s="43" t="s">
        <v>48</v>
      </c>
      <c r="B17" s="43" t="n">
        <v>2025</v>
      </c>
      <c r="C17" s="43" t="n">
        <v>3</v>
      </c>
      <c r="D17" s="43" t="s">
        <v>51</v>
      </c>
      <c r="E17" s="43" t="s">
        <v>1079</v>
      </c>
      <c r="F17" s="44" t="n">
        <v>389727.46</v>
      </c>
      <c r="G17" s="43" t="s">
        <v>515</v>
      </c>
      <c r="H17" s="43" t="s">
        <v>1078</v>
      </c>
    </row>
    <row r="18" customFormat="false" ht="15" hidden="false" customHeight="false" outlineLevel="0" collapsed="false">
      <c r="A18" s="43" t="s">
        <v>48</v>
      </c>
      <c r="B18" s="43" t="n">
        <v>2025</v>
      </c>
      <c r="C18" s="43" t="n">
        <v>4</v>
      </c>
      <c r="D18" s="43" t="s">
        <v>52</v>
      </c>
      <c r="E18" s="43" t="s">
        <v>1079</v>
      </c>
      <c r="F18" s="44" t="n">
        <v>237434.48</v>
      </c>
      <c r="G18" s="43" t="s">
        <v>515</v>
      </c>
      <c r="H18" s="43" t="s">
        <v>1078</v>
      </c>
    </row>
    <row r="19" customFormat="false" ht="15" hidden="false" customHeight="false" outlineLevel="0" collapsed="false">
      <c r="A19" s="43" t="s">
        <v>48</v>
      </c>
      <c r="B19" s="43" t="n">
        <v>2025</v>
      </c>
      <c r="C19" s="43" t="n">
        <v>5</v>
      </c>
      <c r="D19" s="43" t="s">
        <v>53</v>
      </c>
      <c r="E19" s="43" t="s">
        <v>1079</v>
      </c>
      <c r="F19" s="44" t="n">
        <v>272631.08</v>
      </c>
      <c r="G19" s="43" t="s">
        <v>515</v>
      </c>
      <c r="H19" s="43" t="s">
        <v>1078</v>
      </c>
    </row>
    <row r="20" customFormat="false" ht="15" hidden="false" customHeight="false" outlineLevel="0" collapsed="false">
      <c r="A20" s="43" t="s">
        <v>48</v>
      </c>
      <c r="B20" s="43" t="n">
        <v>2025</v>
      </c>
      <c r="C20" s="43" t="n">
        <v>6</v>
      </c>
      <c r="D20" s="43" t="s">
        <v>54</v>
      </c>
      <c r="E20" s="43" t="s">
        <v>1079</v>
      </c>
      <c r="F20" s="44" t="n">
        <v>277419.07</v>
      </c>
      <c r="G20" s="43" t="s">
        <v>515</v>
      </c>
      <c r="H20" s="43" t="s">
        <v>1078</v>
      </c>
    </row>
    <row r="21" customFormat="false" ht="15" hidden="false" customHeight="false" outlineLevel="0" collapsed="false">
      <c r="A21" s="43" t="s">
        <v>48</v>
      </c>
      <c r="B21" s="43" t="n">
        <v>2025</v>
      </c>
      <c r="C21" s="43" t="n">
        <v>7</v>
      </c>
      <c r="D21" s="43" t="s">
        <v>55</v>
      </c>
      <c r="E21" s="43" t="s">
        <v>1079</v>
      </c>
      <c r="F21" s="44" t="n">
        <v>475570.75</v>
      </c>
      <c r="G21" s="43" t="s">
        <v>515</v>
      </c>
      <c r="H21" s="43" t="s">
        <v>1078</v>
      </c>
    </row>
    <row r="22" customFormat="false" ht="15" hidden="false" customHeight="false" outlineLevel="0" collapsed="false">
      <c r="A22" s="43" t="s">
        <v>48</v>
      </c>
      <c r="B22" s="43" t="n">
        <v>2025</v>
      </c>
      <c r="C22" s="43" t="n">
        <v>8</v>
      </c>
      <c r="D22" s="43" t="s">
        <v>56</v>
      </c>
      <c r="E22" s="43" t="s">
        <v>1079</v>
      </c>
      <c r="F22" s="44" t="n">
        <v>151482.74</v>
      </c>
      <c r="G22" s="43" t="s">
        <v>515</v>
      </c>
      <c r="H22" s="43" t="s">
        <v>1078</v>
      </c>
    </row>
    <row r="23" customFormat="false" ht="15" hidden="false" customHeight="false" outlineLevel="0" collapsed="false">
      <c r="A23" s="43" t="s">
        <v>48</v>
      </c>
      <c r="B23" s="43" t="n">
        <v>2025</v>
      </c>
      <c r="C23" s="43" t="n">
        <v>9</v>
      </c>
      <c r="D23" s="43" t="s">
        <v>57</v>
      </c>
      <c r="E23" s="43" t="s">
        <v>1079</v>
      </c>
      <c r="F23" s="44" t="n">
        <v>297925.05</v>
      </c>
      <c r="G23" s="43" t="s">
        <v>515</v>
      </c>
      <c r="H23" s="43" t="s">
        <v>1078</v>
      </c>
    </row>
    <row r="24" customFormat="false" ht="15" hidden="false" customHeight="false" outlineLevel="0" collapsed="false">
      <c r="A24" s="43" t="s">
        <v>48</v>
      </c>
      <c r="B24" s="43" t="n">
        <v>2025</v>
      </c>
      <c r="C24" s="43" t="n">
        <v>10</v>
      </c>
      <c r="D24" s="43" t="s">
        <v>58</v>
      </c>
      <c r="E24" s="43" t="s">
        <v>1079</v>
      </c>
      <c r="F24" s="44" t="n">
        <v>158266.46</v>
      </c>
      <c r="G24" s="43" t="s">
        <v>515</v>
      </c>
      <c r="H24" s="43" t="s">
        <v>1078</v>
      </c>
    </row>
    <row r="25" customFormat="false" ht="15" hidden="false" customHeight="false" outlineLevel="0" collapsed="false">
      <c r="A25" s="43" t="s">
        <v>48</v>
      </c>
      <c r="B25" s="43" t="n">
        <v>2025</v>
      </c>
      <c r="C25" s="43" t="n">
        <v>11</v>
      </c>
      <c r="D25" s="43" t="s">
        <v>59</v>
      </c>
      <c r="E25" s="43" t="s">
        <v>1079</v>
      </c>
      <c r="F25" s="44" t="n">
        <v>248788.93</v>
      </c>
      <c r="G25" s="43" t="s">
        <v>515</v>
      </c>
      <c r="H25" s="43" t="s">
        <v>1078</v>
      </c>
    </row>
    <row r="26" customFormat="false" ht="15" hidden="false" customHeight="false" outlineLevel="0" collapsed="false">
      <c r="A26" s="43" t="s">
        <v>48</v>
      </c>
      <c r="B26" s="43" t="n">
        <v>2025</v>
      </c>
      <c r="C26" s="43" t="n">
        <v>12</v>
      </c>
      <c r="D26" s="43" t="s">
        <v>60</v>
      </c>
      <c r="E26" s="43" t="s">
        <v>1079</v>
      </c>
      <c r="F26" s="44" t="n">
        <v>173207.55</v>
      </c>
      <c r="G26" s="43" t="s">
        <v>515</v>
      </c>
      <c r="H26" s="43" t="s">
        <v>1078</v>
      </c>
    </row>
    <row r="27" customFormat="false" ht="15" hidden="false" customHeight="false" outlineLevel="0" collapsed="false">
      <c r="A27" s="43" t="s">
        <v>48</v>
      </c>
      <c r="B27" s="43" t="n">
        <v>2025</v>
      </c>
      <c r="C27" s="43" t="n">
        <v>1</v>
      </c>
      <c r="D27" s="43" t="s">
        <v>49</v>
      </c>
      <c r="E27" s="43" t="s">
        <v>1080</v>
      </c>
      <c r="F27" s="44" t="n">
        <v>261276.81</v>
      </c>
      <c r="G27" s="43" t="s">
        <v>515</v>
      </c>
      <c r="H27" s="43" t="s">
        <v>1078</v>
      </c>
    </row>
    <row r="28" customFormat="false" ht="15" hidden="false" customHeight="false" outlineLevel="0" collapsed="false">
      <c r="A28" s="43" t="s">
        <v>48</v>
      </c>
      <c r="B28" s="43" t="n">
        <v>2025</v>
      </c>
      <c r="C28" s="43" t="n">
        <v>2</v>
      </c>
      <c r="D28" s="43" t="s">
        <v>50</v>
      </c>
      <c r="E28" s="43" t="s">
        <v>1080</v>
      </c>
      <c r="F28" s="44" t="n">
        <v>228735.41</v>
      </c>
      <c r="G28" s="43" t="s">
        <v>515</v>
      </c>
      <c r="H28" s="43" t="s">
        <v>1078</v>
      </c>
    </row>
    <row r="29" customFormat="false" ht="15" hidden="false" customHeight="false" outlineLevel="0" collapsed="false">
      <c r="A29" s="43" t="s">
        <v>48</v>
      </c>
      <c r="B29" s="43" t="n">
        <v>2025</v>
      </c>
      <c r="C29" s="43" t="n">
        <v>3</v>
      </c>
      <c r="D29" s="43" t="s">
        <v>51</v>
      </c>
      <c r="E29" s="43" t="s">
        <v>1080</v>
      </c>
      <c r="F29" s="44" t="n">
        <v>100290.12</v>
      </c>
      <c r="G29" s="43" t="s">
        <v>515</v>
      </c>
      <c r="H29" s="43" t="s">
        <v>1078</v>
      </c>
    </row>
    <row r="30" customFormat="false" ht="15" hidden="false" customHeight="false" outlineLevel="0" collapsed="false">
      <c r="A30" s="43" t="s">
        <v>48</v>
      </c>
      <c r="B30" s="43" t="n">
        <v>2025</v>
      </c>
      <c r="C30" s="43" t="n">
        <v>4</v>
      </c>
      <c r="D30" s="43" t="s">
        <v>52</v>
      </c>
      <c r="E30" s="43" t="s">
        <v>1080</v>
      </c>
      <c r="F30" s="44" t="n">
        <v>263680.81</v>
      </c>
      <c r="G30" s="43" t="s">
        <v>515</v>
      </c>
      <c r="H30" s="43" t="s">
        <v>1078</v>
      </c>
    </row>
    <row r="31" customFormat="false" ht="15" hidden="false" customHeight="false" outlineLevel="0" collapsed="false">
      <c r="A31" s="43" t="s">
        <v>48</v>
      </c>
      <c r="B31" s="43" t="n">
        <v>2025</v>
      </c>
      <c r="C31" s="43" t="n">
        <v>5</v>
      </c>
      <c r="D31" s="43" t="s">
        <v>53</v>
      </c>
      <c r="E31" s="43" t="s">
        <v>1080</v>
      </c>
      <c r="F31" s="44" t="n">
        <v>159986.49</v>
      </c>
      <c r="G31" s="43" t="s">
        <v>515</v>
      </c>
      <c r="H31" s="43" t="s">
        <v>1078</v>
      </c>
    </row>
    <row r="32" customFormat="false" ht="15" hidden="false" customHeight="false" outlineLevel="0" collapsed="false">
      <c r="A32" s="43" t="s">
        <v>48</v>
      </c>
      <c r="B32" s="43" t="n">
        <v>2025</v>
      </c>
      <c r="C32" s="43" t="n">
        <v>6</v>
      </c>
      <c r="D32" s="43" t="s">
        <v>54</v>
      </c>
      <c r="E32" s="43" t="s">
        <v>1080</v>
      </c>
      <c r="F32" s="44" t="n">
        <v>143573.25</v>
      </c>
      <c r="G32" s="43" t="s">
        <v>515</v>
      </c>
      <c r="H32" s="43" t="s">
        <v>1078</v>
      </c>
    </row>
    <row r="33" customFormat="false" ht="15" hidden="false" customHeight="false" outlineLevel="0" collapsed="false">
      <c r="A33" s="43" t="s">
        <v>48</v>
      </c>
      <c r="B33" s="43" t="n">
        <v>2025</v>
      </c>
      <c r="C33" s="43" t="n">
        <v>7</v>
      </c>
      <c r="D33" s="43" t="s">
        <v>55</v>
      </c>
      <c r="E33" s="43" t="s">
        <v>1080</v>
      </c>
      <c r="F33" s="44" t="n">
        <v>219018.81</v>
      </c>
      <c r="G33" s="43" t="s">
        <v>515</v>
      </c>
      <c r="H33" s="43" t="s">
        <v>1078</v>
      </c>
    </row>
    <row r="34" customFormat="false" ht="15" hidden="false" customHeight="false" outlineLevel="0" collapsed="false">
      <c r="A34" s="43" t="s">
        <v>48</v>
      </c>
      <c r="B34" s="43" t="n">
        <v>2025</v>
      </c>
      <c r="C34" s="43" t="n">
        <v>8</v>
      </c>
      <c r="D34" s="43" t="s">
        <v>56</v>
      </c>
      <c r="E34" s="43" t="s">
        <v>1080</v>
      </c>
      <c r="F34" s="44" t="n">
        <v>532771.51</v>
      </c>
      <c r="G34" s="43" t="s">
        <v>515</v>
      </c>
      <c r="H34" s="43" t="s">
        <v>1078</v>
      </c>
    </row>
    <row r="35" customFormat="false" ht="15" hidden="false" customHeight="false" outlineLevel="0" collapsed="false">
      <c r="A35" s="43" t="s">
        <v>48</v>
      </c>
      <c r="B35" s="43" t="n">
        <v>2025</v>
      </c>
      <c r="C35" s="43" t="n">
        <v>9</v>
      </c>
      <c r="D35" s="43" t="s">
        <v>57</v>
      </c>
      <c r="E35" s="43" t="s">
        <v>1080</v>
      </c>
      <c r="F35" s="44" t="n">
        <v>88565.14</v>
      </c>
      <c r="G35" s="43" t="s">
        <v>515</v>
      </c>
      <c r="H35" s="43" t="s">
        <v>1078</v>
      </c>
    </row>
    <row r="36" customFormat="false" ht="15" hidden="false" customHeight="false" outlineLevel="0" collapsed="false">
      <c r="A36" s="43" t="s">
        <v>48</v>
      </c>
      <c r="B36" s="43" t="n">
        <v>2025</v>
      </c>
      <c r="C36" s="43" t="n">
        <v>10</v>
      </c>
      <c r="D36" s="43" t="s">
        <v>58</v>
      </c>
      <c r="E36" s="43" t="s">
        <v>1080</v>
      </c>
      <c r="F36" s="44" t="n">
        <v>291398.15</v>
      </c>
      <c r="G36" s="43" t="s">
        <v>515</v>
      </c>
      <c r="H36" s="43" t="s">
        <v>1078</v>
      </c>
    </row>
    <row r="37" customFormat="false" ht="15" hidden="false" customHeight="false" outlineLevel="0" collapsed="false">
      <c r="A37" s="43" t="s">
        <v>48</v>
      </c>
      <c r="B37" s="43" t="n">
        <v>2025</v>
      </c>
      <c r="C37" s="43" t="n">
        <v>11</v>
      </c>
      <c r="D37" s="43" t="s">
        <v>59</v>
      </c>
      <c r="E37" s="43" t="s">
        <v>1080</v>
      </c>
      <c r="F37" s="44" t="n">
        <v>185282.84</v>
      </c>
      <c r="G37" s="43" t="s">
        <v>515</v>
      </c>
      <c r="H37" s="43" t="s">
        <v>1078</v>
      </c>
    </row>
    <row r="38" customFormat="false" ht="15" hidden="false" customHeight="false" outlineLevel="0" collapsed="false">
      <c r="A38" s="43" t="s">
        <v>48</v>
      </c>
      <c r="B38" s="43" t="n">
        <v>2025</v>
      </c>
      <c r="C38" s="43" t="n">
        <v>12</v>
      </c>
      <c r="D38" s="43" t="s">
        <v>60</v>
      </c>
      <c r="E38" s="43" t="s">
        <v>1080</v>
      </c>
      <c r="F38" s="44" t="n">
        <v>428858.88</v>
      </c>
      <c r="G38" s="43" t="s">
        <v>515</v>
      </c>
      <c r="H38" s="43" t="s">
        <v>1078</v>
      </c>
    </row>
    <row r="39" customFormat="false" ht="15" hidden="false" customHeight="false" outlineLevel="0" collapsed="false">
      <c r="A39" s="43" t="s">
        <v>48</v>
      </c>
      <c r="B39" s="43" t="n">
        <v>2025</v>
      </c>
      <c r="C39" s="43" t="n">
        <v>1</v>
      </c>
      <c r="D39" s="43" t="s">
        <v>49</v>
      </c>
      <c r="E39" s="43" t="s">
        <v>1081</v>
      </c>
      <c r="F39" s="44" t="n">
        <v>375316.06</v>
      </c>
      <c r="G39" s="43" t="s">
        <v>515</v>
      </c>
      <c r="H39" s="43" t="s">
        <v>1078</v>
      </c>
    </row>
    <row r="40" customFormat="false" ht="15" hidden="false" customHeight="false" outlineLevel="0" collapsed="false">
      <c r="A40" s="43" t="s">
        <v>48</v>
      </c>
      <c r="B40" s="43" t="n">
        <v>2025</v>
      </c>
      <c r="C40" s="43" t="n">
        <v>2</v>
      </c>
      <c r="D40" s="43" t="s">
        <v>50</v>
      </c>
      <c r="E40" s="43" t="s">
        <v>1081</v>
      </c>
      <c r="F40" s="44" t="n">
        <v>353962.27</v>
      </c>
      <c r="G40" s="43" t="s">
        <v>515</v>
      </c>
      <c r="H40" s="43" t="s">
        <v>1078</v>
      </c>
    </row>
    <row r="41" customFormat="false" ht="15" hidden="false" customHeight="false" outlineLevel="0" collapsed="false">
      <c r="A41" s="43" t="s">
        <v>48</v>
      </c>
      <c r="B41" s="43" t="n">
        <v>2025</v>
      </c>
      <c r="C41" s="43" t="n">
        <v>3</v>
      </c>
      <c r="D41" s="43" t="s">
        <v>51</v>
      </c>
      <c r="E41" s="43" t="s">
        <v>1081</v>
      </c>
      <c r="F41" s="44" t="n">
        <v>383533.12</v>
      </c>
      <c r="G41" s="43" t="s">
        <v>515</v>
      </c>
      <c r="H41" s="43" t="s">
        <v>1078</v>
      </c>
    </row>
    <row r="42" customFormat="false" ht="15" hidden="false" customHeight="false" outlineLevel="0" collapsed="false">
      <c r="A42" s="43" t="s">
        <v>48</v>
      </c>
      <c r="B42" s="43" t="n">
        <v>2025</v>
      </c>
      <c r="C42" s="43" t="n">
        <v>4</v>
      </c>
      <c r="D42" s="43" t="s">
        <v>52</v>
      </c>
      <c r="E42" s="43" t="s">
        <v>1081</v>
      </c>
      <c r="F42" s="44" t="n">
        <v>279982.6</v>
      </c>
      <c r="G42" s="43" t="s">
        <v>515</v>
      </c>
      <c r="H42" s="43" t="s">
        <v>1078</v>
      </c>
    </row>
    <row r="43" customFormat="false" ht="15" hidden="false" customHeight="false" outlineLevel="0" collapsed="false">
      <c r="A43" s="43" t="s">
        <v>48</v>
      </c>
      <c r="B43" s="43" t="n">
        <v>2025</v>
      </c>
      <c r="C43" s="43" t="n">
        <v>5</v>
      </c>
      <c r="D43" s="43" t="s">
        <v>53</v>
      </c>
      <c r="E43" s="43" t="s">
        <v>1081</v>
      </c>
      <c r="F43" s="44" t="n">
        <v>280420.28</v>
      </c>
      <c r="G43" s="43" t="s">
        <v>515</v>
      </c>
      <c r="H43" s="43" t="s">
        <v>1078</v>
      </c>
    </row>
    <row r="44" customFormat="false" ht="15" hidden="false" customHeight="false" outlineLevel="0" collapsed="false">
      <c r="A44" s="43" t="s">
        <v>48</v>
      </c>
      <c r="B44" s="43" t="n">
        <v>2025</v>
      </c>
      <c r="C44" s="43" t="n">
        <v>6</v>
      </c>
      <c r="D44" s="43" t="s">
        <v>54</v>
      </c>
      <c r="E44" s="43" t="s">
        <v>1081</v>
      </c>
      <c r="F44" s="44" t="n">
        <v>324512.38</v>
      </c>
      <c r="G44" s="43" t="s">
        <v>515</v>
      </c>
      <c r="H44" s="43" t="s">
        <v>1078</v>
      </c>
    </row>
    <row r="45" customFormat="false" ht="15" hidden="false" customHeight="false" outlineLevel="0" collapsed="false">
      <c r="A45" s="43" t="s">
        <v>48</v>
      </c>
      <c r="B45" s="43" t="n">
        <v>2025</v>
      </c>
      <c r="C45" s="43" t="n">
        <v>7</v>
      </c>
      <c r="D45" s="43" t="s">
        <v>55</v>
      </c>
      <c r="E45" s="43" t="s">
        <v>1081</v>
      </c>
      <c r="F45" s="44" t="n">
        <v>335167.25</v>
      </c>
      <c r="G45" s="43" t="s">
        <v>515</v>
      </c>
      <c r="H45" s="43" t="s">
        <v>1078</v>
      </c>
    </row>
    <row r="46" customFormat="false" ht="15" hidden="false" customHeight="false" outlineLevel="0" collapsed="false">
      <c r="A46" s="43" t="s">
        <v>48</v>
      </c>
      <c r="B46" s="43" t="n">
        <v>2025</v>
      </c>
      <c r="C46" s="43" t="n">
        <v>8</v>
      </c>
      <c r="D46" s="43" t="s">
        <v>56</v>
      </c>
      <c r="E46" s="43" t="s">
        <v>1081</v>
      </c>
      <c r="F46" s="44" t="n">
        <v>353844.55</v>
      </c>
      <c r="G46" s="43" t="s">
        <v>515</v>
      </c>
      <c r="H46" s="43" t="s">
        <v>1078</v>
      </c>
    </row>
    <row r="47" customFormat="false" ht="15" hidden="false" customHeight="false" outlineLevel="0" collapsed="false">
      <c r="A47" s="43" t="s">
        <v>48</v>
      </c>
      <c r="B47" s="43" t="n">
        <v>2025</v>
      </c>
      <c r="C47" s="43" t="n">
        <v>9</v>
      </c>
      <c r="D47" s="43" t="s">
        <v>57</v>
      </c>
      <c r="E47" s="43" t="s">
        <v>1081</v>
      </c>
      <c r="F47" s="44" t="n">
        <v>397283.18</v>
      </c>
      <c r="G47" s="43" t="s">
        <v>515</v>
      </c>
      <c r="H47" s="43" t="s">
        <v>1078</v>
      </c>
    </row>
    <row r="48" customFormat="false" ht="15" hidden="false" customHeight="false" outlineLevel="0" collapsed="false">
      <c r="A48" s="43" t="s">
        <v>48</v>
      </c>
      <c r="B48" s="43" t="n">
        <v>2025</v>
      </c>
      <c r="C48" s="43" t="n">
        <v>10</v>
      </c>
      <c r="D48" s="43" t="s">
        <v>58</v>
      </c>
      <c r="E48" s="43" t="s">
        <v>1081</v>
      </c>
      <c r="F48" s="44" t="n">
        <v>460643.97</v>
      </c>
      <c r="G48" s="43" t="s">
        <v>515</v>
      </c>
      <c r="H48" s="43" t="s">
        <v>1078</v>
      </c>
    </row>
    <row r="49" customFormat="false" ht="15" hidden="false" customHeight="false" outlineLevel="0" collapsed="false">
      <c r="A49" s="43" t="s">
        <v>48</v>
      </c>
      <c r="B49" s="43" t="n">
        <v>2025</v>
      </c>
      <c r="C49" s="43" t="n">
        <v>11</v>
      </c>
      <c r="D49" s="43" t="s">
        <v>59</v>
      </c>
      <c r="E49" s="43" t="s">
        <v>1081</v>
      </c>
      <c r="F49" s="44" t="n">
        <v>352491.47</v>
      </c>
      <c r="G49" s="43" t="s">
        <v>515</v>
      </c>
      <c r="H49" s="43" t="s">
        <v>1078</v>
      </c>
    </row>
    <row r="50" customFormat="false" ht="15" hidden="false" customHeight="false" outlineLevel="0" collapsed="false">
      <c r="A50" s="43" t="s">
        <v>48</v>
      </c>
      <c r="B50" s="43" t="n">
        <v>2025</v>
      </c>
      <c r="C50" s="43" t="n">
        <v>12</v>
      </c>
      <c r="D50" s="43" t="s">
        <v>60</v>
      </c>
      <c r="E50" s="43" t="s">
        <v>1081</v>
      </c>
      <c r="F50" s="44" t="n">
        <v>437522.45</v>
      </c>
      <c r="G50" s="43" t="s">
        <v>515</v>
      </c>
      <c r="H50" s="43" t="s">
        <v>1078</v>
      </c>
    </row>
    <row r="51" customFormat="false" ht="15" hidden="false" customHeight="false" outlineLevel="0" collapsed="false">
      <c r="A51" s="43" t="s">
        <v>48</v>
      </c>
      <c r="B51" s="43" t="n">
        <v>2025</v>
      </c>
      <c r="C51" s="43" t="n">
        <v>1</v>
      </c>
      <c r="D51" s="43" t="s">
        <v>49</v>
      </c>
      <c r="E51" s="43" t="s">
        <v>1082</v>
      </c>
      <c r="F51" s="44" t="n">
        <v>18437.1</v>
      </c>
      <c r="G51" s="43" t="s">
        <v>515</v>
      </c>
      <c r="H51" s="43" t="s">
        <v>1078</v>
      </c>
    </row>
    <row r="52" customFormat="false" ht="15" hidden="false" customHeight="false" outlineLevel="0" collapsed="false">
      <c r="A52" s="43" t="s">
        <v>48</v>
      </c>
      <c r="B52" s="43" t="n">
        <v>2025</v>
      </c>
      <c r="C52" s="43" t="n">
        <v>2</v>
      </c>
      <c r="D52" s="43" t="s">
        <v>50</v>
      </c>
      <c r="E52" s="43" t="s">
        <v>1082</v>
      </c>
      <c r="F52" s="44" t="n">
        <v>68164.37</v>
      </c>
      <c r="G52" s="43" t="s">
        <v>515</v>
      </c>
      <c r="H52" s="43" t="s">
        <v>1078</v>
      </c>
    </row>
    <row r="53" customFormat="false" ht="15" hidden="false" customHeight="false" outlineLevel="0" collapsed="false">
      <c r="A53" s="43" t="s">
        <v>48</v>
      </c>
      <c r="B53" s="43" t="n">
        <v>2025</v>
      </c>
      <c r="C53" s="43" t="n">
        <v>3</v>
      </c>
      <c r="D53" s="43" t="s">
        <v>51</v>
      </c>
      <c r="E53" s="43" t="s">
        <v>1082</v>
      </c>
      <c r="F53" s="44" t="n">
        <v>56366.06</v>
      </c>
      <c r="G53" s="43" t="s">
        <v>515</v>
      </c>
      <c r="H53" s="43" t="s">
        <v>1078</v>
      </c>
    </row>
    <row r="54" customFormat="false" ht="15" hidden="false" customHeight="false" outlineLevel="0" collapsed="false">
      <c r="A54" s="43" t="s">
        <v>48</v>
      </c>
      <c r="B54" s="43" t="n">
        <v>2025</v>
      </c>
      <c r="C54" s="43" t="n">
        <v>4</v>
      </c>
      <c r="D54" s="43" t="s">
        <v>52</v>
      </c>
      <c r="E54" s="43" t="s">
        <v>1082</v>
      </c>
      <c r="F54" s="44" t="n">
        <v>61524.74</v>
      </c>
      <c r="G54" s="43" t="s">
        <v>515</v>
      </c>
      <c r="H54" s="43" t="s">
        <v>1078</v>
      </c>
    </row>
    <row r="55" customFormat="false" ht="15" hidden="false" customHeight="false" outlineLevel="0" collapsed="false">
      <c r="A55" s="43" t="s">
        <v>48</v>
      </c>
      <c r="B55" s="43" t="n">
        <v>2025</v>
      </c>
      <c r="C55" s="43" t="n">
        <v>5</v>
      </c>
      <c r="D55" s="43" t="s">
        <v>53</v>
      </c>
      <c r="E55" s="43" t="s">
        <v>1082</v>
      </c>
      <c r="F55" s="44" t="n">
        <v>50095.21</v>
      </c>
      <c r="G55" s="43" t="s">
        <v>515</v>
      </c>
      <c r="H55" s="43" t="s">
        <v>1078</v>
      </c>
    </row>
    <row r="56" customFormat="false" ht="15" hidden="false" customHeight="false" outlineLevel="0" collapsed="false">
      <c r="A56" s="43" t="s">
        <v>48</v>
      </c>
      <c r="B56" s="43" t="n">
        <v>2025</v>
      </c>
      <c r="C56" s="43" t="n">
        <v>6</v>
      </c>
      <c r="D56" s="43" t="s">
        <v>54</v>
      </c>
      <c r="E56" s="43" t="s">
        <v>1082</v>
      </c>
      <c r="F56" s="44" t="n">
        <v>56053.79</v>
      </c>
      <c r="G56" s="43" t="s">
        <v>515</v>
      </c>
      <c r="H56" s="43" t="s">
        <v>1078</v>
      </c>
    </row>
    <row r="57" customFormat="false" ht="15" hidden="false" customHeight="false" outlineLevel="0" collapsed="false">
      <c r="A57" s="43" t="s">
        <v>48</v>
      </c>
      <c r="B57" s="43" t="n">
        <v>2025</v>
      </c>
      <c r="C57" s="43" t="n">
        <v>7</v>
      </c>
      <c r="D57" s="43" t="s">
        <v>55</v>
      </c>
      <c r="E57" s="43" t="s">
        <v>1082</v>
      </c>
      <c r="F57" s="44" t="n">
        <v>60559.93</v>
      </c>
      <c r="G57" s="43" t="s">
        <v>515</v>
      </c>
      <c r="H57" s="43" t="s">
        <v>1078</v>
      </c>
    </row>
    <row r="58" customFormat="false" ht="15" hidden="false" customHeight="false" outlineLevel="0" collapsed="false">
      <c r="A58" s="43" t="s">
        <v>48</v>
      </c>
      <c r="B58" s="43" t="n">
        <v>2025</v>
      </c>
      <c r="C58" s="43" t="n">
        <v>8</v>
      </c>
      <c r="D58" s="43" t="s">
        <v>56</v>
      </c>
      <c r="E58" s="43" t="s">
        <v>1082</v>
      </c>
      <c r="F58" s="44" t="n">
        <v>62493.47</v>
      </c>
      <c r="G58" s="43" t="s">
        <v>515</v>
      </c>
      <c r="H58" s="43" t="s">
        <v>1078</v>
      </c>
    </row>
    <row r="59" customFormat="false" ht="15" hidden="false" customHeight="false" outlineLevel="0" collapsed="false">
      <c r="A59" s="43" t="s">
        <v>48</v>
      </c>
      <c r="B59" s="43" t="n">
        <v>2025</v>
      </c>
      <c r="C59" s="43" t="n">
        <v>9</v>
      </c>
      <c r="D59" s="43" t="s">
        <v>57</v>
      </c>
      <c r="E59" s="43" t="s">
        <v>1082</v>
      </c>
      <c r="F59" s="44" t="n">
        <v>58588.15</v>
      </c>
      <c r="G59" s="43" t="s">
        <v>515</v>
      </c>
      <c r="H59" s="43" t="s">
        <v>1078</v>
      </c>
    </row>
    <row r="60" customFormat="false" ht="15" hidden="false" customHeight="false" outlineLevel="0" collapsed="false">
      <c r="A60" s="43" t="s">
        <v>48</v>
      </c>
      <c r="B60" s="43" t="n">
        <v>2025</v>
      </c>
      <c r="C60" s="43" t="n">
        <v>10</v>
      </c>
      <c r="D60" s="43" t="s">
        <v>58</v>
      </c>
      <c r="E60" s="43" t="s">
        <v>1082</v>
      </c>
      <c r="F60" s="44" t="n">
        <v>52541.69</v>
      </c>
      <c r="G60" s="43" t="s">
        <v>515</v>
      </c>
      <c r="H60" s="43" t="s">
        <v>1078</v>
      </c>
    </row>
    <row r="61" customFormat="false" ht="15" hidden="false" customHeight="false" outlineLevel="0" collapsed="false">
      <c r="A61" s="43" t="s">
        <v>48</v>
      </c>
      <c r="B61" s="43" t="n">
        <v>2025</v>
      </c>
      <c r="C61" s="43" t="n">
        <v>11</v>
      </c>
      <c r="D61" s="43" t="s">
        <v>59</v>
      </c>
      <c r="E61" s="43" t="s">
        <v>1082</v>
      </c>
      <c r="F61" s="44" t="n">
        <v>39726.64</v>
      </c>
      <c r="G61" s="43" t="s">
        <v>515</v>
      </c>
      <c r="H61" s="43" t="s">
        <v>1078</v>
      </c>
    </row>
    <row r="62" customFormat="false" ht="15" hidden="false" customHeight="false" outlineLevel="0" collapsed="false">
      <c r="A62" s="43" t="s">
        <v>48</v>
      </c>
      <c r="B62" s="43" t="n">
        <v>2025</v>
      </c>
      <c r="C62" s="43" t="n">
        <v>12</v>
      </c>
      <c r="D62" s="43" t="s">
        <v>60</v>
      </c>
      <c r="E62" s="43" t="s">
        <v>1082</v>
      </c>
      <c r="F62" s="44" t="n">
        <v>57983.09</v>
      </c>
      <c r="G62" s="43" t="s">
        <v>515</v>
      </c>
      <c r="H62" s="43" t="s">
        <v>1078</v>
      </c>
    </row>
    <row r="63" customFormat="false" ht="15" hidden="false" customHeight="false" outlineLevel="0" collapsed="false">
      <c r="A63" s="43" t="s">
        <v>48</v>
      </c>
      <c r="B63" s="43" t="n">
        <v>2025</v>
      </c>
      <c r="C63" s="43" t="n">
        <v>1</v>
      </c>
      <c r="D63" s="43" t="s">
        <v>49</v>
      </c>
      <c r="E63" s="43" t="s">
        <v>1083</v>
      </c>
      <c r="F63" s="44" t="n">
        <v>3523.49</v>
      </c>
      <c r="G63" s="43" t="s">
        <v>515</v>
      </c>
      <c r="H63" s="43" t="s">
        <v>1078</v>
      </c>
    </row>
    <row r="64" customFormat="false" ht="15" hidden="false" customHeight="false" outlineLevel="0" collapsed="false">
      <c r="A64" s="43" t="s">
        <v>48</v>
      </c>
      <c r="B64" s="43" t="n">
        <v>2025</v>
      </c>
      <c r="C64" s="43" t="n">
        <v>2</v>
      </c>
      <c r="D64" s="43" t="s">
        <v>50</v>
      </c>
      <c r="E64" s="43" t="s">
        <v>1083</v>
      </c>
      <c r="F64" s="44" t="n">
        <v>0</v>
      </c>
      <c r="G64" s="43" t="s">
        <v>515</v>
      </c>
      <c r="H64" s="43" t="s">
        <v>1078</v>
      </c>
    </row>
    <row r="65" customFormat="false" ht="15" hidden="false" customHeight="false" outlineLevel="0" collapsed="false">
      <c r="A65" s="43" t="s">
        <v>48</v>
      </c>
      <c r="B65" s="43" t="n">
        <v>2025</v>
      </c>
      <c r="C65" s="43" t="n">
        <v>3</v>
      </c>
      <c r="D65" s="43" t="s">
        <v>51</v>
      </c>
      <c r="E65" s="43" t="s">
        <v>1083</v>
      </c>
      <c r="F65" s="44" t="n">
        <v>0</v>
      </c>
      <c r="G65" s="43" t="s">
        <v>515</v>
      </c>
      <c r="H65" s="43" t="s">
        <v>1078</v>
      </c>
    </row>
    <row r="66" customFormat="false" ht="15" hidden="false" customHeight="false" outlineLevel="0" collapsed="false">
      <c r="A66" s="43" t="s">
        <v>48</v>
      </c>
      <c r="B66" s="43" t="n">
        <v>2025</v>
      </c>
      <c r="C66" s="43" t="n">
        <v>4</v>
      </c>
      <c r="D66" s="43" t="s">
        <v>52</v>
      </c>
      <c r="E66" s="43" t="s">
        <v>1083</v>
      </c>
      <c r="F66" s="44" t="n">
        <v>0</v>
      </c>
      <c r="G66" s="43" t="s">
        <v>515</v>
      </c>
      <c r="H66" s="43" t="s">
        <v>1078</v>
      </c>
    </row>
    <row r="67" customFormat="false" ht="15" hidden="false" customHeight="false" outlineLevel="0" collapsed="false">
      <c r="A67" s="43" t="s">
        <v>48</v>
      </c>
      <c r="B67" s="43" t="n">
        <v>2025</v>
      </c>
      <c r="C67" s="43" t="n">
        <v>5</v>
      </c>
      <c r="D67" s="43" t="s">
        <v>53</v>
      </c>
      <c r="E67" s="43" t="s">
        <v>1083</v>
      </c>
      <c r="F67" s="44" t="n">
        <v>9619.31</v>
      </c>
      <c r="G67" s="43" t="s">
        <v>515</v>
      </c>
      <c r="H67" s="43" t="s">
        <v>1078</v>
      </c>
    </row>
    <row r="68" customFormat="false" ht="15" hidden="false" customHeight="false" outlineLevel="0" collapsed="false">
      <c r="A68" s="43" t="s">
        <v>48</v>
      </c>
      <c r="B68" s="43" t="n">
        <v>2025</v>
      </c>
      <c r="C68" s="43" t="n">
        <v>6</v>
      </c>
      <c r="D68" s="43" t="s">
        <v>54</v>
      </c>
      <c r="E68" s="43" t="s">
        <v>1083</v>
      </c>
      <c r="F68" s="44" t="n">
        <v>0</v>
      </c>
      <c r="G68" s="43" t="s">
        <v>515</v>
      </c>
      <c r="H68" s="43" t="s">
        <v>1078</v>
      </c>
    </row>
    <row r="69" customFormat="false" ht="15" hidden="false" customHeight="false" outlineLevel="0" collapsed="false">
      <c r="A69" s="43" t="s">
        <v>48</v>
      </c>
      <c r="B69" s="43" t="n">
        <v>2025</v>
      </c>
      <c r="C69" s="43" t="n">
        <v>7</v>
      </c>
      <c r="D69" s="43" t="s">
        <v>55</v>
      </c>
      <c r="E69" s="43" t="s">
        <v>1083</v>
      </c>
      <c r="F69" s="44" t="n">
        <v>0</v>
      </c>
      <c r="G69" s="43" t="s">
        <v>515</v>
      </c>
      <c r="H69" s="43" t="s">
        <v>1078</v>
      </c>
    </row>
    <row r="70" customFormat="false" ht="15" hidden="false" customHeight="false" outlineLevel="0" collapsed="false">
      <c r="A70" s="43" t="s">
        <v>48</v>
      </c>
      <c r="B70" s="43" t="n">
        <v>2025</v>
      </c>
      <c r="C70" s="43" t="n">
        <v>8</v>
      </c>
      <c r="D70" s="43" t="s">
        <v>56</v>
      </c>
      <c r="E70" s="43" t="s">
        <v>1083</v>
      </c>
      <c r="F70" s="44" t="n">
        <v>8910.88</v>
      </c>
      <c r="G70" s="43" t="s">
        <v>515</v>
      </c>
      <c r="H70" s="43" t="s">
        <v>1078</v>
      </c>
    </row>
    <row r="71" customFormat="false" ht="15" hidden="false" customHeight="false" outlineLevel="0" collapsed="false">
      <c r="A71" s="43" t="s">
        <v>48</v>
      </c>
      <c r="B71" s="43" t="n">
        <v>2025</v>
      </c>
      <c r="C71" s="43" t="n">
        <v>9</v>
      </c>
      <c r="D71" s="43" t="s">
        <v>57</v>
      </c>
      <c r="E71" s="43" t="s">
        <v>1083</v>
      </c>
      <c r="F71" s="44" t="n">
        <v>0</v>
      </c>
      <c r="G71" s="43" t="s">
        <v>515</v>
      </c>
      <c r="H71" s="43" t="s">
        <v>1078</v>
      </c>
    </row>
    <row r="72" customFormat="false" ht="15" hidden="false" customHeight="false" outlineLevel="0" collapsed="false">
      <c r="A72" s="43" t="s">
        <v>48</v>
      </c>
      <c r="B72" s="43" t="n">
        <v>2025</v>
      </c>
      <c r="C72" s="43" t="n">
        <v>10</v>
      </c>
      <c r="D72" s="43" t="s">
        <v>58</v>
      </c>
      <c r="E72" s="43" t="s">
        <v>1083</v>
      </c>
      <c r="F72" s="44" t="n">
        <v>0</v>
      </c>
      <c r="G72" s="43" t="s">
        <v>515</v>
      </c>
      <c r="H72" s="43" t="s">
        <v>1078</v>
      </c>
    </row>
    <row r="73" customFormat="false" ht="15" hidden="false" customHeight="false" outlineLevel="0" collapsed="false">
      <c r="A73" s="43" t="s">
        <v>48</v>
      </c>
      <c r="B73" s="43" t="n">
        <v>2025</v>
      </c>
      <c r="C73" s="43" t="n">
        <v>11</v>
      </c>
      <c r="D73" s="43" t="s">
        <v>59</v>
      </c>
      <c r="E73" s="43" t="s">
        <v>1083</v>
      </c>
      <c r="F73" s="44" t="n">
        <v>0</v>
      </c>
      <c r="G73" s="43" t="s">
        <v>515</v>
      </c>
      <c r="H73" s="43" t="s">
        <v>1078</v>
      </c>
    </row>
    <row r="74" customFormat="false" ht="15" hidden="false" customHeight="false" outlineLevel="0" collapsed="false">
      <c r="A74" s="43" t="s">
        <v>48</v>
      </c>
      <c r="B74" s="43" t="n">
        <v>2025</v>
      </c>
      <c r="C74" s="43" t="n">
        <v>12</v>
      </c>
      <c r="D74" s="43" t="s">
        <v>60</v>
      </c>
      <c r="E74" s="43" t="s">
        <v>1083</v>
      </c>
      <c r="F74" s="44" t="n">
        <v>0</v>
      </c>
      <c r="G74" s="43" t="s">
        <v>515</v>
      </c>
      <c r="H74" s="43" t="s">
        <v>1078</v>
      </c>
    </row>
    <row r="75" customFormat="false" ht="15" hidden="false" customHeight="false" outlineLevel="0" collapsed="false">
      <c r="A75" s="43" t="s">
        <v>48</v>
      </c>
      <c r="B75" s="43" t="n">
        <v>2025</v>
      </c>
      <c r="C75" s="43" t="n">
        <v>1</v>
      </c>
      <c r="D75" s="43" t="s">
        <v>49</v>
      </c>
      <c r="E75" s="43" t="s">
        <v>1084</v>
      </c>
      <c r="F75" s="44" t="n">
        <v>62578.87</v>
      </c>
      <c r="G75" s="43" t="s">
        <v>515</v>
      </c>
      <c r="H75" s="43" t="s">
        <v>1078</v>
      </c>
    </row>
    <row r="76" customFormat="false" ht="15" hidden="false" customHeight="false" outlineLevel="0" collapsed="false">
      <c r="A76" s="43" t="s">
        <v>48</v>
      </c>
      <c r="B76" s="43" t="n">
        <v>2025</v>
      </c>
      <c r="C76" s="43" t="n">
        <v>2</v>
      </c>
      <c r="D76" s="43" t="s">
        <v>50</v>
      </c>
      <c r="E76" s="43" t="s">
        <v>1084</v>
      </c>
      <c r="F76" s="44" t="n">
        <v>101897.73</v>
      </c>
      <c r="G76" s="43" t="s">
        <v>515</v>
      </c>
      <c r="H76" s="43" t="s">
        <v>1078</v>
      </c>
    </row>
    <row r="77" customFormat="false" ht="15" hidden="false" customHeight="false" outlineLevel="0" collapsed="false">
      <c r="A77" s="43" t="s">
        <v>48</v>
      </c>
      <c r="B77" s="43" t="n">
        <v>2025</v>
      </c>
      <c r="C77" s="43" t="n">
        <v>3</v>
      </c>
      <c r="D77" s="43" t="s">
        <v>51</v>
      </c>
      <c r="E77" s="43" t="s">
        <v>1084</v>
      </c>
      <c r="F77" s="44" t="n">
        <v>42633.07</v>
      </c>
      <c r="G77" s="43" t="s">
        <v>515</v>
      </c>
      <c r="H77" s="43" t="s">
        <v>1078</v>
      </c>
    </row>
    <row r="78" customFormat="false" ht="15" hidden="false" customHeight="false" outlineLevel="0" collapsed="false">
      <c r="A78" s="43" t="s">
        <v>48</v>
      </c>
      <c r="B78" s="43" t="n">
        <v>2025</v>
      </c>
      <c r="C78" s="43" t="n">
        <v>4</v>
      </c>
      <c r="D78" s="43" t="s">
        <v>52</v>
      </c>
      <c r="E78" s="43" t="s">
        <v>1084</v>
      </c>
      <c r="F78" s="44" t="n">
        <v>63533.22</v>
      </c>
      <c r="G78" s="43" t="s">
        <v>515</v>
      </c>
      <c r="H78" s="43" t="s">
        <v>1078</v>
      </c>
    </row>
    <row r="79" customFormat="false" ht="15" hidden="false" customHeight="false" outlineLevel="0" collapsed="false">
      <c r="A79" s="43" t="s">
        <v>48</v>
      </c>
      <c r="B79" s="43" t="n">
        <v>2025</v>
      </c>
      <c r="C79" s="43" t="n">
        <v>5</v>
      </c>
      <c r="D79" s="43" t="s">
        <v>53</v>
      </c>
      <c r="E79" s="43" t="s">
        <v>1084</v>
      </c>
      <c r="F79" s="44" t="n">
        <v>98547.38</v>
      </c>
      <c r="G79" s="43" t="s">
        <v>515</v>
      </c>
      <c r="H79" s="43" t="s">
        <v>1078</v>
      </c>
    </row>
    <row r="80" customFormat="false" ht="15" hidden="false" customHeight="false" outlineLevel="0" collapsed="false">
      <c r="A80" s="43" t="s">
        <v>48</v>
      </c>
      <c r="B80" s="43" t="n">
        <v>2025</v>
      </c>
      <c r="C80" s="43" t="n">
        <v>6</v>
      </c>
      <c r="D80" s="43" t="s">
        <v>54</v>
      </c>
      <c r="E80" s="43" t="s">
        <v>1084</v>
      </c>
      <c r="F80" s="44" t="n">
        <v>69174.52</v>
      </c>
      <c r="G80" s="43" t="s">
        <v>515</v>
      </c>
      <c r="H80" s="43" t="s">
        <v>1078</v>
      </c>
    </row>
    <row r="81" customFormat="false" ht="15" hidden="false" customHeight="false" outlineLevel="0" collapsed="false">
      <c r="A81" s="43" t="s">
        <v>48</v>
      </c>
      <c r="B81" s="43" t="n">
        <v>2025</v>
      </c>
      <c r="C81" s="43" t="n">
        <v>7</v>
      </c>
      <c r="D81" s="43" t="s">
        <v>55</v>
      </c>
      <c r="E81" s="43" t="s">
        <v>1084</v>
      </c>
      <c r="F81" s="44" t="n">
        <v>40766.87</v>
      </c>
      <c r="G81" s="43" t="s">
        <v>515</v>
      </c>
      <c r="H81" s="43" t="s">
        <v>1078</v>
      </c>
    </row>
    <row r="82" customFormat="false" ht="15" hidden="false" customHeight="false" outlineLevel="0" collapsed="false">
      <c r="A82" s="43" t="s">
        <v>48</v>
      </c>
      <c r="B82" s="43" t="n">
        <v>2025</v>
      </c>
      <c r="C82" s="43" t="n">
        <v>8</v>
      </c>
      <c r="D82" s="43" t="s">
        <v>56</v>
      </c>
      <c r="E82" s="43" t="s">
        <v>1084</v>
      </c>
      <c r="F82" s="44" t="n">
        <v>117105.22</v>
      </c>
      <c r="G82" s="43" t="s">
        <v>515</v>
      </c>
      <c r="H82" s="43" t="s">
        <v>1078</v>
      </c>
    </row>
    <row r="83" customFormat="false" ht="15" hidden="false" customHeight="false" outlineLevel="0" collapsed="false">
      <c r="A83" s="43" t="s">
        <v>48</v>
      </c>
      <c r="B83" s="43" t="n">
        <v>2025</v>
      </c>
      <c r="C83" s="43" t="n">
        <v>9</v>
      </c>
      <c r="D83" s="43" t="s">
        <v>57</v>
      </c>
      <c r="E83" s="43" t="s">
        <v>1084</v>
      </c>
      <c r="F83" s="44" t="n">
        <v>56940.07</v>
      </c>
      <c r="G83" s="43" t="s">
        <v>515</v>
      </c>
      <c r="H83" s="43" t="s">
        <v>1078</v>
      </c>
    </row>
    <row r="84" customFormat="false" ht="15" hidden="false" customHeight="false" outlineLevel="0" collapsed="false">
      <c r="A84" s="43" t="s">
        <v>48</v>
      </c>
      <c r="B84" s="43" t="n">
        <v>2025</v>
      </c>
      <c r="C84" s="43" t="n">
        <v>10</v>
      </c>
      <c r="D84" s="43" t="s">
        <v>58</v>
      </c>
      <c r="E84" s="43" t="s">
        <v>1084</v>
      </c>
      <c r="F84" s="44" t="n">
        <v>79787</v>
      </c>
      <c r="G84" s="43" t="s">
        <v>515</v>
      </c>
      <c r="H84" s="43" t="s">
        <v>1078</v>
      </c>
    </row>
    <row r="85" customFormat="false" ht="15" hidden="false" customHeight="false" outlineLevel="0" collapsed="false">
      <c r="A85" s="43" t="s">
        <v>48</v>
      </c>
      <c r="B85" s="43" t="n">
        <v>2025</v>
      </c>
      <c r="C85" s="43" t="n">
        <v>11</v>
      </c>
      <c r="D85" s="43" t="s">
        <v>59</v>
      </c>
      <c r="E85" s="43" t="s">
        <v>1084</v>
      </c>
      <c r="F85" s="44" t="n">
        <v>74868.19</v>
      </c>
      <c r="G85" s="43" t="s">
        <v>515</v>
      </c>
      <c r="H85" s="43" t="s">
        <v>1078</v>
      </c>
    </row>
    <row r="86" customFormat="false" ht="15" hidden="false" customHeight="false" outlineLevel="0" collapsed="false">
      <c r="A86" s="43" t="s">
        <v>48</v>
      </c>
      <c r="B86" s="43" t="n">
        <v>2025</v>
      </c>
      <c r="C86" s="43" t="n">
        <v>12</v>
      </c>
      <c r="D86" s="43" t="s">
        <v>60</v>
      </c>
      <c r="E86" s="43" t="s">
        <v>1084</v>
      </c>
      <c r="F86" s="44" t="n">
        <v>55037.74</v>
      </c>
      <c r="G86" s="43" t="s">
        <v>515</v>
      </c>
      <c r="H86" s="43" t="s">
        <v>1078</v>
      </c>
    </row>
    <row r="87" customFormat="false" ht="15" hidden="false" customHeight="false" outlineLevel="0" collapsed="false">
      <c r="A87" s="43" t="s">
        <v>48</v>
      </c>
      <c r="B87" s="43" t="n">
        <v>2025</v>
      </c>
      <c r="C87" s="43" t="n">
        <v>1</v>
      </c>
      <c r="D87" s="43" t="s">
        <v>49</v>
      </c>
      <c r="E87" s="43" t="s">
        <v>1085</v>
      </c>
      <c r="F87" s="44" t="n">
        <v>45388.47</v>
      </c>
      <c r="G87" s="43" t="s">
        <v>515</v>
      </c>
      <c r="H87" s="43" t="s">
        <v>1078</v>
      </c>
    </row>
    <row r="88" customFormat="false" ht="15" hidden="false" customHeight="false" outlineLevel="0" collapsed="false">
      <c r="A88" s="43" t="s">
        <v>48</v>
      </c>
      <c r="B88" s="43" t="n">
        <v>2025</v>
      </c>
      <c r="C88" s="43" t="n">
        <v>2</v>
      </c>
      <c r="D88" s="43" t="s">
        <v>50</v>
      </c>
      <c r="E88" s="43" t="s">
        <v>1085</v>
      </c>
      <c r="F88" s="44" t="n">
        <v>118859.49</v>
      </c>
      <c r="G88" s="43" t="s">
        <v>515</v>
      </c>
      <c r="H88" s="43" t="s">
        <v>1078</v>
      </c>
    </row>
    <row r="89" customFormat="false" ht="15" hidden="false" customHeight="false" outlineLevel="0" collapsed="false">
      <c r="A89" s="43" t="s">
        <v>48</v>
      </c>
      <c r="B89" s="43" t="n">
        <v>2025</v>
      </c>
      <c r="C89" s="43" t="n">
        <v>3</v>
      </c>
      <c r="D89" s="43" t="s">
        <v>51</v>
      </c>
      <c r="E89" s="43" t="s">
        <v>1085</v>
      </c>
      <c r="F89" s="44" t="n">
        <v>77375.74</v>
      </c>
      <c r="G89" s="43" t="s">
        <v>515</v>
      </c>
      <c r="H89" s="43" t="s">
        <v>1078</v>
      </c>
    </row>
    <row r="90" customFormat="false" ht="15" hidden="false" customHeight="false" outlineLevel="0" collapsed="false">
      <c r="A90" s="43" t="s">
        <v>48</v>
      </c>
      <c r="B90" s="43" t="n">
        <v>2025</v>
      </c>
      <c r="C90" s="43" t="n">
        <v>4</v>
      </c>
      <c r="D90" s="43" t="s">
        <v>52</v>
      </c>
      <c r="E90" s="43" t="s">
        <v>1085</v>
      </c>
      <c r="F90" s="44" t="n">
        <v>209275.46</v>
      </c>
      <c r="G90" s="43" t="s">
        <v>515</v>
      </c>
      <c r="H90" s="43" t="s">
        <v>1078</v>
      </c>
    </row>
    <row r="91" customFormat="false" ht="15" hidden="false" customHeight="false" outlineLevel="0" collapsed="false">
      <c r="A91" s="43" t="s">
        <v>48</v>
      </c>
      <c r="B91" s="43" t="n">
        <v>2025</v>
      </c>
      <c r="C91" s="43" t="n">
        <v>5</v>
      </c>
      <c r="D91" s="43" t="s">
        <v>53</v>
      </c>
      <c r="E91" s="43" t="s">
        <v>1085</v>
      </c>
      <c r="F91" s="44" t="n">
        <v>34700.95</v>
      </c>
      <c r="G91" s="43" t="s">
        <v>515</v>
      </c>
      <c r="H91" s="43" t="s">
        <v>1078</v>
      </c>
    </row>
    <row r="92" customFormat="false" ht="15" hidden="false" customHeight="false" outlineLevel="0" collapsed="false">
      <c r="A92" s="43" t="s">
        <v>48</v>
      </c>
      <c r="B92" s="43" t="n">
        <v>2025</v>
      </c>
      <c r="C92" s="43" t="n">
        <v>6</v>
      </c>
      <c r="D92" s="43" t="s">
        <v>54</v>
      </c>
      <c r="E92" s="43" t="s">
        <v>1085</v>
      </c>
      <c r="F92" s="44" t="n">
        <v>19313.3</v>
      </c>
      <c r="G92" s="43" t="s">
        <v>515</v>
      </c>
      <c r="H92" s="43" t="s">
        <v>1078</v>
      </c>
    </row>
    <row r="93" customFormat="false" ht="15" hidden="false" customHeight="false" outlineLevel="0" collapsed="false">
      <c r="A93" s="43" t="s">
        <v>48</v>
      </c>
      <c r="B93" s="43" t="n">
        <v>2025</v>
      </c>
      <c r="C93" s="43" t="n">
        <v>7</v>
      </c>
      <c r="D93" s="43" t="s">
        <v>55</v>
      </c>
      <c r="E93" s="43" t="s">
        <v>1085</v>
      </c>
      <c r="F93" s="44" t="n">
        <v>66329.14</v>
      </c>
      <c r="G93" s="43" t="s">
        <v>515</v>
      </c>
      <c r="H93" s="43" t="s">
        <v>1078</v>
      </c>
    </row>
    <row r="94" customFormat="false" ht="15" hidden="false" customHeight="false" outlineLevel="0" collapsed="false">
      <c r="A94" s="43" t="s">
        <v>48</v>
      </c>
      <c r="B94" s="43" t="n">
        <v>2025</v>
      </c>
      <c r="C94" s="43" t="n">
        <v>8</v>
      </c>
      <c r="D94" s="43" t="s">
        <v>56</v>
      </c>
      <c r="E94" s="43" t="s">
        <v>1085</v>
      </c>
      <c r="F94" s="44" t="n">
        <v>7645.62</v>
      </c>
      <c r="G94" s="43" t="s">
        <v>515</v>
      </c>
      <c r="H94" s="43" t="s">
        <v>1078</v>
      </c>
    </row>
    <row r="95" customFormat="false" ht="15" hidden="false" customHeight="false" outlineLevel="0" collapsed="false">
      <c r="A95" s="43" t="s">
        <v>48</v>
      </c>
      <c r="B95" s="43" t="n">
        <v>2025</v>
      </c>
      <c r="C95" s="43" t="n">
        <v>9</v>
      </c>
      <c r="D95" s="43" t="s">
        <v>57</v>
      </c>
      <c r="E95" s="43" t="s">
        <v>1085</v>
      </c>
      <c r="F95" s="44" t="n">
        <v>30204.69</v>
      </c>
      <c r="G95" s="43" t="s">
        <v>515</v>
      </c>
      <c r="H95" s="43" t="s">
        <v>1078</v>
      </c>
    </row>
    <row r="96" customFormat="false" ht="15" hidden="false" customHeight="false" outlineLevel="0" collapsed="false">
      <c r="A96" s="43" t="s">
        <v>48</v>
      </c>
      <c r="B96" s="43" t="n">
        <v>2025</v>
      </c>
      <c r="C96" s="43" t="n">
        <v>10</v>
      </c>
      <c r="D96" s="43" t="s">
        <v>58</v>
      </c>
      <c r="E96" s="43" t="s">
        <v>1085</v>
      </c>
      <c r="F96" s="44" t="n">
        <v>2382.6</v>
      </c>
      <c r="G96" s="43" t="s">
        <v>515</v>
      </c>
      <c r="H96" s="43" t="s">
        <v>1078</v>
      </c>
    </row>
    <row r="97" customFormat="false" ht="15" hidden="false" customHeight="false" outlineLevel="0" collapsed="false">
      <c r="A97" s="43" t="s">
        <v>48</v>
      </c>
      <c r="B97" s="43" t="n">
        <v>2025</v>
      </c>
      <c r="C97" s="43" t="n">
        <v>11</v>
      </c>
      <c r="D97" s="43" t="s">
        <v>59</v>
      </c>
      <c r="E97" s="43" t="s">
        <v>1085</v>
      </c>
      <c r="F97" s="44" t="n">
        <v>2631.9</v>
      </c>
      <c r="G97" s="43" t="s">
        <v>515</v>
      </c>
      <c r="H97" s="43" t="s">
        <v>1078</v>
      </c>
    </row>
    <row r="98" customFormat="false" ht="15" hidden="false" customHeight="false" outlineLevel="0" collapsed="false">
      <c r="A98" s="43" t="s">
        <v>48</v>
      </c>
      <c r="B98" s="43" t="n">
        <v>2025</v>
      </c>
      <c r="C98" s="43" t="n">
        <v>12</v>
      </c>
      <c r="D98" s="43" t="s">
        <v>60</v>
      </c>
      <c r="E98" s="43" t="s">
        <v>1085</v>
      </c>
      <c r="F98" s="44" t="n">
        <v>48293.47</v>
      </c>
      <c r="G98" s="43" t="s">
        <v>515</v>
      </c>
      <c r="H98" s="43" t="s">
        <v>1078</v>
      </c>
    </row>
    <row r="99" customFormat="false" ht="15" hidden="false" customHeight="false" outlineLevel="0" collapsed="false">
      <c r="A99" s="43" t="s">
        <v>48</v>
      </c>
      <c r="B99" s="43" t="n">
        <v>2025</v>
      </c>
      <c r="C99" s="43" t="n">
        <v>1</v>
      </c>
      <c r="D99" s="43" t="s">
        <v>49</v>
      </c>
      <c r="E99" s="43" t="s">
        <v>1086</v>
      </c>
      <c r="F99" s="44" t="n">
        <v>118395.56</v>
      </c>
      <c r="G99" s="43" t="s">
        <v>515</v>
      </c>
      <c r="H99" s="43" t="s">
        <v>1078</v>
      </c>
    </row>
    <row r="100" customFormat="false" ht="15" hidden="false" customHeight="false" outlineLevel="0" collapsed="false">
      <c r="A100" s="43" t="s">
        <v>48</v>
      </c>
      <c r="B100" s="43" t="n">
        <v>2025</v>
      </c>
      <c r="C100" s="43" t="n">
        <v>2</v>
      </c>
      <c r="D100" s="43" t="s">
        <v>50</v>
      </c>
      <c r="E100" s="43" t="s">
        <v>1086</v>
      </c>
      <c r="F100" s="44" t="n">
        <v>133162.17</v>
      </c>
      <c r="G100" s="43" t="s">
        <v>515</v>
      </c>
      <c r="H100" s="43" t="s">
        <v>1078</v>
      </c>
    </row>
    <row r="101" customFormat="false" ht="15" hidden="false" customHeight="false" outlineLevel="0" collapsed="false">
      <c r="A101" s="43" t="s">
        <v>48</v>
      </c>
      <c r="B101" s="43" t="n">
        <v>2025</v>
      </c>
      <c r="C101" s="43" t="n">
        <v>3</v>
      </c>
      <c r="D101" s="43" t="s">
        <v>51</v>
      </c>
      <c r="E101" s="43" t="s">
        <v>1086</v>
      </c>
      <c r="F101" s="44" t="n">
        <v>-69890.42</v>
      </c>
      <c r="G101" s="43" t="s">
        <v>515</v>
      </c>
      <c r="H101" s="43" t="s">
        <v>1078</v>
      </c>
    </row>
    <row r="102" customFormat="false" ht="15" hidden="false" customHeight="false" outlineLevel="0" collapsed="false">
      <c r="A102" s="43" t="s">
        <v>48</v>
      </c>
      <c r="B102" s="43" t="n">
        <v>2025</v>
      </c>
      <c r="C102" s="43" t="n">
        <v>4</v>
      </c>
      <c r="D102" s="43" t="s">
        <v>52</v>
      </c>
      <c r="E102" s="43" t="s">
        <v>1086</v>
      </c>
      <c r="F102" s="44" t="n">
        <v>-113200.73</v>
      </c>
      <c r="G102" s="43" t="s">
        <v>515</v>
      </c>
      <c r="H102" s="43" t="s">
        <v>1078</v>
      </c>
    </row>
    <row r="103" customFormat="false" ht="15" hidden="false" customHeight="false" outlineLevel="0" collapsed="false">
      <c r="A103" s="43" t="s">
        <v>48</v>
      </c>
      <c r="B103" s="43" t="n">
        <v>2025</v>
      </c>
      <c r="C103" s="43" t="n">
        <v>5</v>
      </c>
      <c r="D103" s="43" t="s">
        <v>53</v>
      </c>
      <c r="E103" s="43" t="s">
        <v>1086</v>
      </c>
      <c r="F103" s="44" t="n">
        <v>-40765.56</v>
      </c>
      <c r="G103" s="43" t="s">
        <v>515</v>
      </c>
      <c r="H103" s="43" t="s">
        <v>1078</v>
      </c>
    </row>
    <row r="104" customFormat="false" ht="15" hidden="false" customHeight="false" outlineLevel="0" collapsed="false">
      <c r="A104" s="43" t="s">
        <v>48</v>
      </c>
      <c r="B104" s="43" t="n">
        <v>2025</v>
      </c>
      <c r="C104" s="43" t="n">
        <v>6</v>
      </c>
      <c r="D104" s="43" t="s">
        <v>54</v>
      </c>
      <c r="E104" s="43" t="s">
        <v>1086</v>
      </c>
      <c r="F104" s="44" t="n">
        <v>-48061.67</v>
      </c>
      <c r="G104" s="43" t="s">
        <v>515</v>
      </c>
      <c r="H104" s="43" t="s">
        <v>1078</v>
      </c>
    </row>
    <row r="105" customFormat="false" ht="15" hidden="false" customHeight="false" outlineLevel="0" collapsed="false">
      <c r="A105" s="43" t="s">
        <v>48</v>
      </c>
      <c r="B105" s="43" t="n">
        <v>2025</v>
      </c>
      <c r="C105" s="43" t="n">
        <v>7</v>
      </c>
      <c r="D105" s="43" t="s">
        <v>55</v>
      </c>
      <c r="E105" s="43" t="s">
        <v>1086</v>
      </c>
      <c r="F105" s="44" t="n">
        <v>191766.35</v>
      </c>
      <c r="G105" s="43" t="s">
        <v>515</v>
      </c>
      <c r="H105" s="43" t="s">
        <v>1078</v>
      </c>
    </row>
    <row r="106" customFormat="false" ht="15" hidden="false" customHeight="false" outlineLevel="0" collapsed="false">
      <c r="A106" s="43" t="s">
        <v>48</v>
      </c>
      <c r="B106" s="43" t="n">
        <v>2025</v>
      </c>
      <c r="C106" s="43" t="n">
        <v>8</v>
      </c>
      <c r="D106" s="43" t="s">
        <v>56</v>
      </c>
      <c r="E106" s="43" t="s">
        <v>1086</v>
      </c>
      <c r="F106" s="44" t="n">
        <v>134254.5</v>
      </c>
      <c r="G106" s="43" t="s">
        <v>515</v>
      </c>
      <c r="H106" s="43" t="s">
        <v>1078</v>
      </c>
    </row>
    <row r="107" customFormat="false" ht="15" hidden="false" customHeight="false" outlineLevel="0" collapsed="false">
      <c r="A107" s="43" t="s">
        <v>48</v>
      </c>
      <c r="B107" s="43" t="n">
        <v>2025</v>
      </c>
      <c r="C107" s="43" t="n">
        <v>9</v>
      </c>
      <c r="D107" s="43" t="s">
        <v>57</v>
      </c>
      <c r="E107" s="43" t="s">
        <v>1086</v>
      </c>
      <c r="F107" s="44" t="n">
        <v>-156525.89</v>
      </c>
      <c r="G107" s="43" t="s">
        <v>515</v>
      </c>
      <c r="H107" s="43" t="s">
        <v>1078</v>
      </c>
    </row>
    <row r="108" customFormat="false" ht="15" hidden="false" customHeight="false" outlineLevel="0" collapsed="false">
      <c r="A108" s="43" t="s">
        <v>48</v>
      </c>
      <c r="B108" s="43" t="n">
        <v>2025</v>
      </c>
      <c r="C108" s="43" t="n">
        <v>10</v>
      </c>
      <c r="D108" s="43" t="s">
        <v>58</v>
      </c>
      <c r="E108" s="43" t="s">
        <v>1086</v>
      </c>
      <c r="F108" s="44" t="n">
        <v>-145690.65</v>
      </c>
      <c r="G108" s="43" t="s">
        <v>515</v>
      </c>
      <c r="H108" s="43" t="s">
        <v>1078</v>
      </c>
    </row>
    <row r="109" customFormat="false" ht="15" hidden="false" customHeight="false" outlineLevel="0" collapsed="false">
      <c r="A109" s="43" t="s">
        <v>48</v>
      </c>
      <c r="B109" s="43" t="n">
        <v>2025</v>
      </c>
      <c r="C109" s="43" t="n">
        <v>11</v>
      </c>
      <c r="D109" s="43" t="s">
        <v>59</v>
      </c>
      <c r="E109" s="43" t="s">
        <v>1086</v>
      </c>
      <c r="F109" s="44" t="n">
        <v>-35646.43</v>
      </c>
      <c r="G109" s="43" t="s">
        <v>515</v>
      </c>
      <c r="H109" s="43" t="s">
        <v>1078</v>
      </c>
    </row>
    <row r="110" customFormat="false" ht="15" hidden="false" customHeight="false" outlineLevel="0" collapsed="false">
      <c r="A110" s="43" t="s">
        <v>48</v>
      </c>
      <c r="B110" s="43" t="n">
        <v>2025</v>
      </c>
      <c r="C110" s="43" t="n">
        <v>12</v>
      </c>
      <c r="D110" s="43" t="s">
        <v>60</v>
      </c>
      <c r="E110" s="43" t="s">
        <v>1086</v>
      </c>
      <c r="F110" s="44" t="n">
        <v>3229.68</v>
      </c>
      <c r="G110" s="43" t="s">
        <v>515</v>
      </c>
      <c r="H110" s="43" t="s">
        <v>1078</v>
      </c>
    </row>
    <row r="111" customFormat="false" ht="15" hidden="false" customHeight="false" outlineLevel="0" collapsed="false">
      <c r="A111" s="43" t="s">
        <v>61</v>
      </c>
      <c r="B111" s="43" t="n">
        <v>2025</v>
      </c>
      <c r="C111" s="43" t="n">
        <v>1</v>
      </c>
      <c r="D111" s="43" t="s">
        <v>49</v>
      </c>
      <c r="E111" s="43" t="s">
        <v>214</v>
      </c>
      <c r="F111" s="44" t="n">
        <v>136767.69</v>
      </c>
      <c r="G111" s="43" t="s">
        <v>515</v>
      </c>
      <c r="H111" s="43" t="s">
        <v>1087</v>
      </c>
    </row>
    <row r="112" customFormat="false" ht="15" hidden="false" customHeight="false" outlineLevel="0" collapsed="false">
      <c r="A112" s="43" t="s">
        <v>61</v>
      </c>
      <c r="B112" s="43" t="n">
        <v>2025</v>
      </c>
      <c r="C112" s="43" t="n">
        <v>2</v>
      </c>
      <c r="D112" s="43" t="s">
        <v>50</v>
      </c>
      <c r="E112" s="43" t="s">
        <v>214</v>
      </c>
      <c r="F112" s="44" t="n">
        <v>140565.84</v>
      </c>
      <c r="G112" s="43" t="s">
        <v>515</v>
      </c>
      <c r="H112" s="43" t="s">
        <v>1087</v>
      </c>
    </row>
    <row r="113" customFormat="false" ht="15" hidden="false" customHeight="false" outlineLevel="0" collapsed="false">
      <c r="A113" s="43" t="s">
        <v>61</v>
      </c>
      <c r="B113" s="43" t="n">
        <v>2025</v>
      </c>
      <c r="C113" s="43" t="n">
        <v>3</v>
      </c>
      <c r="D113" s="43" t="s">
        <v>51</v>
      </c>
      <c r="E113" s="43" t="s">
        <v>214</v>
      </c>
      <c r="F113" s="44" t="n">
        <v>137922.84</v>
      </c>
      <c r="G113" s="43" t="s">
        <v>515</v>
      </c>
      <c r="H113" s="43" t="s">
        <v>1087</v>
      </c>
    </row>
    <row r="114" customFormat="false" ht="15" hidden="false" customHeight="false" outlineLevel="0" collapsed="false">
      <c r="A114" s="43" t="s">
        <v>61</v>
      </c>
      <c r="B114" s="43" t="n">
        <v>2025</v>
      </c>
      <c r="C114" s="43" t="n">
        <v>4</v>
      </c>
      <c r="D114" s="43" t="s">
        <v>52</v>
      </c>
      <c r="E114" s="43" t="s">
        <v>214</v>
      </c>
      <c r="F114" s="44" t="n">
        <v>203057.84</v>
      </c>
      <c r="G114" s="43" t="s">
        <v>515</v>
      </c>
      <c r="H114" s="43" t="s">
        <v>1087</v>
      </c>
    </row>
    <row r="115" customFormat="false" ht="15" hidden="false" customHeight="false" outlineLevel="0" collapsed="false">
      <c r="A115" s="43" t="s">
        <v>61</v>
      </c>
      <c r="B115" s="43" t="n">
        <v>2025</v>
      </c>
      <c r="C115" s="43" t="n">
        <v>5</v>
      </c>
      <c r="D115" s="43" t="s">
        <v>53</v>
      </c>
      <c r="E115" s="43" t="s">
        <v>214</v>
      </c>
      <c r="F115" s="44" t="n">
        <v>201993.54</v>
      </c>
      <c r="G115" s="43" t="s">
        <v>515</v>
      </c>
      <c r="H115" s="43" t="s">
        <v>1087</v>
      </c>
    </row>
    <row r="116" customFormat="false" ht="15" hidden="false" customHeight="false" outlineLevel="0" collapsed="false">
      <c r="A116" s="43" t="s">
        <v>61</v>
      </c>
      <c r="B116" s="43" t="n">
        <v>2025</v>
      </c>
      <c r="C116" s="43" t="n">
        <v>6</v>
      </c>
      <c r="D116" s="43" t="s">
        <v>54</v>
      </c>
      <c r="E116" s="43" t="s">
        <v>214</v>
      </c>
      <c r="F116" s="44" t="n">
        <v>196994.54</v>
      </c>
      <c r="G116" s="43" t="s">
        <v>515</v>
      </c>
      <c r="H116" s="43" t="s">
        <v>1087</v>
      </c>
    </row>
    <row r="117" customFormat="false" ht="15" hidden="false" customHeight="false" outlineLevel="0" collapsed="false">
      <c r="A117" s="43" t="s">
        <v>61</v>
      </c>
      <c r="B117" s="43" t="n">
        <v>2025</v>
      </c>
      <c r="C117" s="43" t="n">
        <v>7</v>
      </c>
      <c r="D117" s="43" t="s">
        <v>55</v>
      </c>
      <c r="E117" s="43" t="s">
        <v>214</v>
      </c>
      <c r="F117" s="44" t="n">
        <v>239089.54</v>
      </c>
      <c r="G117" s="43" t="s">
        <v>515</v>
      </c>
      <c r="H117" s="43" t="s">
        <v>1087</v>
      </c>
    </row>
    <row r="118" customFormat="false" ht="15" hidden="false" customHeight="false" outlineLevel="0" collapsed="false">
      <c r="A118" s="43" t="s">
        <v>61</v>
      </c>
      <c r="B118" s="43" t="n">
        <v>2025</v>
      </c>
      <c r="C118" s="43" t="n">
        <v>8</v>
      </c>
      <c r="D118" s="43" t="s">
        <v>56</v>
      </c>
      <c r="E118" s="43" t="s">
        <v>214</v>
      </c>
      <c r="F118" s="44" t="n">
        <v>287968.54</v>
      </c>
      <c r="G118" s="43" t="s">
        <v>515</v>
      </c>
      <c r="H118" s="43" t="s">
        <v>1087</v>
      </c>
    </row>
    <row r="119" customFormat="false" ht="15" hidden="false" customHeight="false" outlineLevel="0" collapsed="false">
      <c r="A119" s="43" t="s">
        <v>61</v>
      </c>
      <c r="B119" s="43" t="n">
        <v>2025</v>
      </c>
      <c r="C119" s="43" t="n">
        <v>9</v>
      </c>
      <c r="D119" s="43" t="s">
        <v>57</v>
      </c>
      <c r="E119" s="43" t="s">
        <v>214</v>
      </c>
      <c r="F119" s="44" t="n">
        <v>255462.54</v>
      </c>
      <c r="G119" s="43" t="s">
        <v>515</v>
      </c>
      <c r="H119" s="43" t="s">
        <v>1087</v>
      </c>
    </row>
    <row r="120" customFormat="false" ht="15" hidden="false" customHeight="false" outlineLevel="0" collapsed="false">
      <c r="A120" s="43" t="s">
        <v>61</v>
      </c>
      <c r="B120" s="43" t="n">
        <v>2025</v>
      </c>
      <c r="C120" s="43" t="n">
        <v>10</v>
      </c>
      <c r="D120" s="43" t="s">
        <v>58</v>
      </c>
      <c r="E120" s="43" t="s">
        <v>214</v>
      </c>
      <c r="F120" s="44" t="n">
        <v>216759.54</v>
      </c>
      <c r="G120" s="43" t="s">
        <v>515</v>
      </c>
      <c r="H120" s="43" t="s">
        <v>1087</v>
      </c>
    </row>
    <row r="121" customFormat="false" ht="15" hidden="false" customHeight="false" outlineLevel="0" collapsed="false">
      <c r="A121" s="43" t="s">
        <v>61</v>
      </c>
      <c r="B121" s="43" t="n">
        <v>2025</v>
      </c>
      <c r="C121" s="43" t="n">
        <v>11</v>
      </c>
      <c r="D121" s="43" t="s">
        <v>59</v>
      </c>
      <c r="E121" s="43" t="s">
        <v>214</v>
      </c>
      <c r="F121" s="44" t="n">
        <v>230112.54</v>
      </c>
      <c r="G121" s="43" t="s">
        <v>515</v>
      </c>
      <c r="H121" s="43" t="s">
        <v>1087</v>
      </c>
    </row>
    <row r="122" customFormat="false" ht="15" hidden="false" customHeight="false" outlineLevel="0" collapsed="false">
      <c r="A122" s="43" t="s">
        <v>61</v>
      </c>
      <c r="B122" s="43" t="n">
        <v>2025</v>
      </c>
      <c r="C122" s="43" t="n">
        <v>12</v>
      </c>
      <c r="D122" s="43" t="s">
        <v>60</v>
      </c>
      <c r="E122" s="43" t="s">
        <v>214</v>
      </c>
      <c r="F122" s="44" t="n">
        <v>106114.9</v>
      </c>
      <c r="G122" s="43" t="s">
        <v>515</v>
      </c>
      <c r="H122" s="43" t="s">
        <v>1087</v>
      </c>
    </row>
    <row r="123" customFormat="false" ht="15" hidden="false" customHeight="false" outlineLevel="0" collapsed="false">
      <c r="A123" s="43" t="s">
        <v>61</v>
      </c>
      <c r="B123" s="43" t="n">
        <v>2025</v>
      </c>
      <c r="C123" s="43" t="n">
        <v>1</v>
      </c>
      <c r="D123" s="43" t="s">
        <v>49</v>
      </c>
      <c r="E123" s="43" t="s">
        <v>1079</v>
      </c>
      <c r="F123" s="44" t="n">
        <v>123848</v>
      </c>
      <c r="G123" s="43" t="s">
        <v>515</v>
      </c>
      <c r="H123" s="43" t="s">
        <v>1087</v>
      </c>
    </row>
    <row r="124" customFormat="false" ht="15" hidden="false" customHeight="false" outlineLevel="0" collapsed="false">
      <c r="A124" s="43" t="s">
        <v>61</v>
      </c>
      <c r="B124" s="43" t="n">
        <v>2025</v>
      </c>
      <c r="C124" s="43" t="n">
        <v>2</v>
      </c>
      <c r="D124" s="43" t="s">
        <v>50</v>
      </c>
      <c r="E124" s="43" t="s">
        <v>1079</v>
      </c>
      <c r="F124" s="44" t="n">
        <v>62454</v>
      </c>
      <c r="G124" s="43" t="s">
        <v>515</v>
      </c>
      <c r="H124" s="43" t="s">
        <v>1087</v>
      </c>
    </row>
    <row r="125" customFormat="false" ht="15" hidden="false" customHeight="false" outlineLevel="0" collapsed="false">
      <c r="A125" s="43" t="s">
        <v>61</v>
      </c>
      <c r="B125" s="43" t="n">
        <v>2025</v>
      </c>
      <c r="C125" s="43" t="n">
        <v>3</v>
      </c>
      <c r="D125" s="43" t="s">
        <v>51</v>
      </c>
      <c r="E125" s="43" t="s">
        <v>1079</v>
      </c>
      <c r="F125" s="44" t="n">
        <v>105377</v>
      </c>
      <c r="G125" s="43" t="s">
        <v>515</v>
      </c>
      <c r="H125" s="43" t="s">
        <v>1087</v>
      </c>
    </row>
    <row r="126" customFormat="false" ht="15" hidden="false" customHeight="false" outlineLevel="0" collapsed="false">
      <c r="A126" s="43" t="s">
        <v>61</v>
      </c>
      <c r="B126" s="43" t="n">
        <v>2025</v>
      </c>
      <c r="C126" s="43" t="n">
        <v>4</v>
      </c>
      <c r="D126" s="43" t="s">
        <v>52</v>
      </c>
      <c r="E126" s="43" t="s">
        <v>1079</v>
      </c>
      <c r="F126" s="44" t="n">
        <v>110077</v>
      </c>
      <c r="G126" s="43" t="s">
        <v>515</v>
      </c>
      <c r="H126" s="43" t="s">
        <v>1087</v>
      </c>
    </row>
    <row r="127" customFormat="false" ht="15" hidden="false" customHeight="false" outlineLevel="0" collapsed="false">
      <c r="A127" s="43" t="s">
        <v>61</v>
      </c>
      <c r="B127" s="43" t="n">
        <v>2025</v>
      </c>
      <c r="C127" s="43" t="n">
        <v>5</v>
      </c>
      <c r="D127" s="43" t="s">
        <v>53</v>
      </c>
      <c r="E127" s="43" t="s">
        <v>1079</v>
      </c>
      <c r="F127" s="44" t="n">
        <v>142610</v>
      </c>
      <c r="G127" s="43" t="s">
        <v>515</v>
      </c>
      <c r="H127" s="43" t="s">
        <v>1087</v>
      </c>
    </row>
    <row r="128" customFormat="false" ht="15" hidden="false" customHeight="false" outlineLevel="0" collapsed="false">
      <c r="A128" s="43" t="s">
        <v>61</v>
      </c>
      <c r="B128" s="43" t="n">
        <v>2025</v>
      </c>
      <c r="C128" s="43" t="n">
        <v>6</v>
      </c>
      <c r="D128" s="43" t="s">
        <v>54</v>
      </c>
      <c r="E128" s="43" t="s">
        <v>1079</v>
      </c>
      <c r="F128" s="44" t="n">
        <v>229588</v>
      </c>
      <c r="G128" s="43" t="s">
        <v>515</v>
      </c>
      <c r="H128" s="43" t="s">
        <v>1087</v>
      </c>
    </row>
    <row r="129" customFormat="false" ht="15" hidden="false" customHeight="false" outlineLevel="0" collapsed="false">
      <c r="A129" s="43" t="s">
        <v>61</v>
      </c>
      <c r="B129" s="43" t="n">
        <v>2025</v>
      </c>
      <c r="C129" s="43" t="n">
        <v>7</v>
      </c>
      <c r="D129" s="43" t="s">
        <v>55</v>
      </c>
      <c r="E129" s="43" t="s">
        <v>1079</v>
      </c>
      <c r="F129" s="44" t="n">
        <v>251702</v>
      </c>
      <c r="G129" s="43" t="s">
        <v>515</v>
      </c>
      <c r="H129" s="43" t="s">
        <v>1087</v>
      </c>
    </row>
    <row r="130" customFormat="false" ht="15" hidden="false" customHeight="false" outlineLevel="0" collapsed="false">
      <c r="A130" s="43" t="s">
        <v>61</v>
      </c>
      <c r="B130" s="43" t="n">
        <v>2025</v>
      </c>
      <c r="C130" s="43" t="n">
        <v>8</v>
      </c>
      <c r="D130" s="43" t="s">
        <v>56</v>
      </c>
      <c r="E130" s="43" t="s">
        <v>1079</v>
      </c>
      <c r="F130" s="44" t="n">
        <v>641573</v>
      </c>
      <c r="G130" s="43" t="s">
        <v>515</v>
      </c>
      <c r="H130" s="43" t="s">
        <v>1087</v>
      </c>
    </row>
    <row r="131" customFormat="false" ht="15" hidden="false" customHeight="false" outlineLevel="0" collapsed="false">
      <c r="A131" s="43" t="s">
        <v>61</v>
      </c>
      <c r="B131" s="43" t="n">
        <v>2025</v>
      </c>
      <c r="C131" s="43" t="n">
        <v>9</v>
      </c>
      <c r="D131" s="43" t="s">
        <v>57</v>
      </c>
      <c r="E131" s="43" t="s">
        <v>1079</v>
      </c>
      <c r="F131" s="44" t="n">
        <v>119133</v>
      </c>
      <c r="G131" s="43" t="s">
        <v>515</v>
      </c>
      <c r="H131" s="43" t="s">
        <v>1087</v>
      </c>
    </row>
    <row r="132" customFormat="false" ht="15" hidden="false" customHeight="false" outlineLevel="0" collapsed="false">
      <c r="A132" s="43" t="s">
        <v>61</v>
      </c>
      <c r="B132" s="43" t="n">
        <v>2025</v>
      </c>
      <c r="C132" s="43" t="n">
        <v>10</v>
      </c>
      <c r="D132" s="43" t="s">
        <v>58</v>
      </c>
      <c r="E132" s="43" t="s">
        <v>1079</v>
      </c>
      <c r="F132" s="44" t="n">
        <v>265449</v>
      </c>
      <c r="G132" s="43" t="s">
        <v>515</v>
      </c>
      <c r="H132" s="43" t="s">
        <v>1087</v>
      </c>
    </row>
    <row r="133" customFormat="false" ht="15" hidden="false" customHeight="false" outlineLevel="0" collapsed="false">
      <c r="A133" s="43" t="s">
        <v>61</v>
      </c>
      <c r="B133" s="43" t="n">
        <v>2025</v>
      </c>
      <c r="C133" s="43" t="n">
        <v>11</v>
      </c>
      <c r="D133" s="43" t="s">
        <v>59</v>
      </c>
      <c r="E133" s="43" t="s">
        <v>1079</v>
      </c>
      <c r="F133" s="44" t="n">
        <v>96110</v>
      </c>
      <c r="G133" s="43" t="s">
        <v>515</v>
      </c>
      <c r="H133" s="43" t="s">
        <v>1087</v>
      </c>
    </row>
    <row r="134" customFormat="false" ht="15" hidden="false" customHeight="false" outlineLevel="0" collapsed="false">
      <c r="A134" s="43" t="s">
        <v>61</v>
      </c>
      <c r="B134" s="43" t="n">
        <v>2025</v>
      </c>
      <c r="C134" s="43" t="n">
        <v>12</v>
      </c>
      <c r="D134" s="43" t="s">
        <v>60</v>
      </c>
      <c r="E134" s="43" t="s">
        <v>1079</v>
      </c>
      <c r="F134" s="44" t="n">
        <v>269432</v>
      </c>
      <c r="G134" s="43" t="s">
        <v>515</v>
      </c>
      <c r="H134" s="43" t="s">
        <v>1087</v>
      </c>
    </row>
    <row r="135" customFormat="false" ht="15" hidden="false" customHeight="false" outlineLevel="0" collapsed="false">
      <c r="A135" s="43" t="s">
        <v>61</v>
      </c>
      <c r="B135" s="43" t="n">
        <v>2025</v>
      </c>
      <c r="C135" s="43" t="n">
        <v>1</v>
      </c>
      <c r="D135" s="43" t="s">
        <v>49</v>
      </c>
      <c r="E135" s="43" t="s">
        <v>1080</v>
      </c>
      <c r="F135" s="44" t="n">
        <v>11907</v>
      </c>
      <c r="G135" s="43" t="s">
        <v>515</v>
      </c>
      <c r="H135" s="43" t="s">
        <v>1087</v>
      </c>
    </row>
    <row r="136" customFormat="false" ht="15" hidden="false" customHeight="false" outlineLevel="0" collapsed="false">
      <c r="A136" s="43" t="s">
        <v>61</v>
      </c>
      <c r="B136" s="43" t="n">
        <v>2025</v>
      </c>
      <c r="C136" s="43" t="n">
        <v>2</v>
      </c>
      <c r="D136" s="43" t="s">
        <v>50</v>
      </c>
      <c r="E136" s="43" t="s">
        <v>1080</v>
      </c>
      <c r="F136" s="44" t="n">
        <v>16500</v>
      </c>
      <c r="G136" s="43" t="s">
        <v>515</v>
      </c>
      <c r="H136" s="43" t="s">
        <v>1087</v>
      </c>
    </row>
    <row r="137" customFormat="false" ht="15" hidden="false" customHeight="false" outlineLevel="0" collapsed="false">
      <c r="A137" s="43" t="s">
        <v>61</v>
      </c>
      <c r="B137" s="43" t="n">
        <v>2025</v>
      </c>
      <c r="C137" s="43" t="n">
        <v>3</v>
      </c>
      <c r="D137" s="43" t="s">
        <v>51</v>
      </c>
      <c r="E137" s="43" t="s">
        <v>1080</v>
      </c>
      <c r="F137" s="44" t="n">
        <v>71961</v>
      </c>
      <c r="G137" s="43" t="s">
        <v>515</v>
      </c>
      <c r="H137" s="43" t="s">
        <v>1087</v>
      </c>
    </row>
    <row r="138" customFormat="false" ht="15" hidden="false" customHeight="false" outlineLevel="0" collapsed="false">
      <c r="A138" s="43" t="s">
        <v>61</v>
      </c>
      <c r="B138" s="43" t="n">
        <v>2025</v>
      </c>
      <c r="C138" s="43" t="n">
        <v>4</v>
      </c>
      <c r="D138" s="43" t="s">
        <v>52</v>
      </c>
      <c r="E138" s="43" t="s">
        <v>1080</v>
      </c>
      <c r="F138" s="44" t="n">
        <v>28529</v>
      </c>
      <c r="G138" s="43" t="s">
        <v>515</v>
      </c>
      <c r="H138" s="43" t="s">
        <v>1087</v>
      </c>
    </row>
    <row r="139" customFormat="false" ht="15" hidden="false" customHeight="false" outlineLevel="0" collapsed="false">
      <c r="A139" s="43" t="s">
        <v>61</v>
      </c>
      <c r="B139" s="43" t="n">
        <v>2025</v>
      </c>
      <c r="C139" s="43" t="n">
        <v>5</v>
      </c>
      <c r="D139" s="43" t="s">
        <v>53</v>
      </c>
      <c r="E139" s="43" t="s">
        <v>1080</v>
      </c>
      <c r="F139" s="44" t="n">
        <v>31304</v>
      </c>
      <c r="G139" s="43" t="s">
        <v>515</v>
      </c>
      <c r="H139" s="43" t="s">
        <v>1087</v>
      </c>
    </row>
    <row r="140" customFormat="false" ht="15" hidden="false" customHeight="false" outlineLevel="0" collapsed="false">
      <c r="A140" s="43" t="s">
        <v>61</v>
      </c>
      <c r="B140" s="43" t="n">
        <v>2025</v>
      </c>
      <c r="C140" s="43" t="n">
        <v>6</v>
      </c>
      <c r="D140" s="43" t="s">
        <v>54</v>
      </c>
      <c r="E140" s="43" t="s">
        <v>1080</v>
      </c>
      <c r="F140" s="44" t="n">
        <v>36127</v>
      </c>
      <c r="G140" s="43" t="s">
        <v>515</v>
      </c>
      <c r="H140" s="43" t="s">
        <v>1087</v>
      </c>
    </row>
    <row r="141" customFormat="false" ht="15" hidden="false" customHeight="false" outlineLevel="0" collapsed="false">
      <c r="A141" s="43" t="s">
        <v>61</v>
      </c>
      <c r="B141" s="43" t="n">
        <v>2025</v>
      </c>
      <c r="C141" s="43" t="n">
        <v>7</v>
      </c>
      <c r="D141" s="43" t="s">
        <v>55</v>
      </c>
      <c r="E141" s="43" t="s">
        <v>1080</v>
      </c>
      <c r="F141" s="44" t="n">
        <v>34183</v>
      </c>
      <c r="G141" s="43" t="s">
        <v>515</v>
      </c>
      <c r="H141" s="43" t="s">
        <v>1087</v>
      </c>
    </row>
    <row r="142" customFormat="false" ht="15" hidden="false" customHeight="false" outlineLevel="0" collapsed="false">
      <c r="A142" s="43" t="s">
        <v>61</v>
      </c>
      <c r="B142" s="43" t="n">
        <v>2025</v>
      </c>
      <c r="C142" s="43" t="n">
        <v>8</v>
      </c>
      <c r="D142" s="43" t="s">
        <v>56</v>
      </c>
      <c r="E142" s="43" t="s">
        <v>1080</v>
      </c>
      <c r="F142" s="44" t="n">
        <v>126435</v>
      </c>
      <c r="G142" s="43" t="s">
        <v>515</v>
      </c>
      <c r="H142" s="43" t="s">
        <v>1087</v>
      </c>
    </row>
    <row r="143" customFormat="false" ht="15" hidden="false" customHeight="false" outlineLevel="0" collapsed="false">
      <c r="A143" s="43" t="s">
        <v>61</v>
      </c>
      <c r="B143" s="43" t="n">
        <v>2025</v>
      </c>
      <c r="C143" s="43" t="n">
        <v>9</v>
      </c>
      <c r="D143" s="43" t="s">
        <v>57</v>
      </c>
      <c r="E143" s="43" t="s">
        <v>1080</v>
      </c>
      <c r="F143" s="44" t="n">
        <v>16037</v>
      </c>
      <c r="G143" s="43" t="s">
        <v>515</v>
      </c>
      <c r="H143" s="43" t="s">
        <v>1087</v>
      </c>
    </row>
    <row r="144" customFormat="false" ht="15" hidden="false" customHeight="false" outlineLevel="0" collapsed="false">
      <c r="A144" s="43" t="s">
        <v>61</v>
      </c>
      <c r="B144" s="43" t="n">
        <v>2025</v>
      </c>
      <c r="C144" s="43" t="n">
        <v>10</v>
      </c>
      <c r="D144" s="43" t="s">
        <v>58</v>
      </c>
      <c r="E144" s="43" t="s">
        <v>1080</v>
      </c>
      <c r="F144" s="44" t="n">
        <v>42117</v>
      </c>
      <c r="G144" s="43" t="s">
        <v>515</v>
      </c>
      <c r="H144" s="43" t="s">
        <v>1087</v>
      </c>
    </row>
    <row r="145" customFormat="false" ht="15" hidden="false" customHeight="false" outlineLevel="0" collapsed="false">
      <c r="A145" s="43" t="s">
        <v>61</v>
      </c>
      <c r="B145" s="43" t="n">
        <v>2025</v>
      </c>
      <c r="C145" s="43" t="n">
        <v>11</v>
      </c>
      <c r="D145" s="43" t="s">
        <v>59</v>
      </c>
      <c r="E145" s="43" t="s">
        <v>1080</v>
      </c>
      <c r="F145" s="44" t="n">
        <v>105093</v>
      </c>
      <c r="G145" s="43" t="s">
        <v>515</v>
      </c>
      <c r="H145" s="43" t="s">
        <v>1087</v>
      </c>
    </row>
    <row r="146" customFormat="false" ht="15" hidden="false" customHeight="false" outlineLevel="0" collapsed="false">
      <c r="A146" s="43" t="s">
        <v>61</v>
      </c>
      <c r="B146" s="43" t="n">
        <v>2025</v>
      </c>
      <c r="C146" s="43" t="n">
        <v>12</v>
      </c>
      <c r="D146" s="43" t="s">
        <v>60</v>
      </c>
      <c r="E146" s="43" t="s">
        <v>1080</v>
      </c>
      <c r="F146" s="44" t="n">
        <v>75885</v>
      </c>
      <c r="G146" s="43" t="s">
        <v>515</v>
      </c>
      <c r="H146" s="43" t="s">
        <v>1087</v>
      </c>
    </row>
    <row r="147" customFormat="false" ht="15" hidden="false" customHeight="false" outlineLevel="0" collapsed="false">
      <c r="A147" s="43" t="s">
        <v>61</v>
      </c>
      <c r="B147" s="43" t="n">
        <v>2025</v>
      </c>
      <c r="C147" s="43" t="n">
        <v>1</v>
      </c>
      <c r="D147" s="43" t="s">
        <v>49</v>
      </c>
      <c r="E147" s="43" t="s">
        <v>1081</v>
      </c>
      <c r="F147" s="44" t="n">
        <v>63675.85</v>
      </c>
      <c r="G147" s="43" t="s">
        <v>515</v>
      </c>
      <c r="H147" s="43" t="s">
        <v>1087</v>
      </c>
    </row>
    <row r="148" customFormat="false" ht="15" hidden="false" customHeight="false" outlineLevel="0" collapsed="false">
      <c r="A148" s="43" t="s">
        <v>61</v>
      </c>
      <c r="B148" s="43" t="n">
        <v>2025</v>
      </c>
      <c r="C148" s="43" t="n">
        <v>2</v>
      </c>
      <c r="D148" s="43" t="s">
        <v>50</v>
      </c>
      <c r="E148" s="43" t="s">
        <v>1081</v>
      </c>
      <c r="F148" s="44" t="n">
        <v>69498</v>
      </c>
      <c r="G148" s="43" t="s">
        <v>515</v>
      </c>
      <c r="H148" s="43" t="s">
        <v>1087</v>
      </c>
    </row>
    <row r="149" customFormat="false" ht="15" hidden="false" customHeight="false" outlineLevel="0" collapsed="false">
      <c r="A149" s="43" t="s">
        <v>61</v>
      </c>
      <c r="B149" s="43" t="n">
        <v>2025</v>
      </c>
      <c r="C149" s="43" t="n">
        <v>3</v>
      </c>
      <c r="D149" s="43" t="s">
        <v>51</v>
      </c>
      <c r="E149" s="43" t="s">
        <v>1081</v>
      </c>
      <c r="F149" s="44" t="n">
        <v>69958</v>
      </c>
      <c r="G149" s="43" t="s">
        <v>515</v>
      </c>
      <c r="H149" s="43" t="s">
        <v>1087</v>
      </c>
    </row>
    <row r="150" customFormat="false" ht="15" hidden="false" customHeight="false" outlineLevel="0" collapsed="false">
      <c r="A150" s="43" t="s">
        <v>61</v>
      </c>
      <c r="B150" s="43" t="n">
        <v>2025</v>
      </c>
      <c r="C150" s="43" t="n">
        <v>4</v>
      </c>
      <c r="D150" s="43" t="s">
        <v>52</v>
      </c>
      <c r="E150" s="43" t="s">
        <v>1081</v>
      </c>
      <c r="F150" s="44" t="n">
        <v>107194.3</v>
      </c>
      <c r="G150" s="43" t="s">
        <v>515</v>
      </c>
      <c r="H150" s="43" t="s">
        <v>1087</v>
      </c>
    </row>
    <row r="151" customFormat="false" ht="15" hidden="false" customHeight="false" outlineLevel="0" collapsed="false">
      <c r="A151" s="43" t="s">
        <v>61</v>
      </c>
      <c r="B151" s="43" t="n">
        <v>2025</v>
      </c>
      <c r="C151" s="43" t="n">
        <v>5</v>
      </c>
      <c r="D151" s="43" t="s">
        <v>53</v>
      </c>
      <c r="E151" s="43" t="s">
        <v>1081</v>
      </c>
      <c r="F151" s="44" t="n">
        <v>103630</v>
      </c>
      <c r="G151" s="43" t="s">
        <v>515</v>
      </c>
      <c r="H151" s="43" t="s">
        <v>1087</v>
      </c>
    </row>
    <row r="152" customFormat="false" ht="15" hidden="false" customHeight="false" outlineLevel="0" collapsed="false">
      <c r="A152" s="43" t="s">
        <v>61</v>
      </c>
      <c r="B152" s="43" t="n">
        <v>2025</v>
      </c>
      <c r="C152" s="43" t="n">
        <v>6</v>
      </c>
      <c r="D152" s="43" t="s">
        <v>54</v>
      </c>
      <c r="E152" s="43" t="s">
        <v>1081</v>
      </c>
      <c r="F152" s="44" t="n">
        <v>138484</v>
      </c>
      <c r="G152" s="43" t="s">
        <v>515</v>
      </c>
      <c r="H152" s="43" t="s">
        <v>1087</v>
      </c>
    </row>
    <row r="153" customFormat="false" ht="15" hidden="false" customHeight="false" outlineLevel="0" collapsed="false">
      <c r="A153" s="43" t="s">
        <v>61</v>
      </c>
      <c r="B153" s="43" t="n">
        <v>2025</v>
      </c>
      <c r="C153" s="43" t="n">
        <v>7</v>
      </c>
      <c r="D153" s="43" t="s">
        <v>55</v>
      </c>
      <c r="E153" s="43" t="s">
        <v>1081</v>
      </c>
      <c r="F153" s="44" t="n">
        <v>178250</v>
      </c>
      <c r="G153" s="43" t="s">
        <v>515</v>
      </c>
      <c r="H153" s="43" t="s">
        <v>1087</v>
      </c>
    </row>
    <row r="154" customFormat="false" ht="15" hidden="false" customHeight="false" outlineLevel="0" collapsed="false">
      <c r="A154" s="43" t="s">
        <v>61</v>
      </c>
      <c r="B154" s="43" t="n">
        <v>2025</v>
      </c>
      <c r="C154" s="43" t="n">
        <v>8</v>
      </c>
      <c r="D154" s="43" t="s">
        <v>56</v>
      </c>
      <c r="E154" s="43" t="s">
        <v>1081</v>
      </c>
      <c r="F154" s="44" t="n">
        <v>198226</v>
      </c>
      <c r="G154" s="43" t="s">
        <v>515</v>
      </c>
      <c r="H154" s="43" t="s">
        <v>1087</v>
      </c>
    </row>
    <row r="155" customFormat="false" ht="15" hidden="false" customHeight="false" outlineLevel="0" collapsed="false">
      <c r="A155" s="43" t="s">
        <v>61</v>
      </c>
      <c r="B155" s="43" t="n">
        <v>2025</v>
      </c>
      <c r="C155" s="43" t="n">
        <v>9</v>
      </c>
      <c r="D155" s="43" t="s">
        <v>57</v>
      </c>
      <c r="E155" s="43" t="s">
        <v>1081</v>
      </c>
      <c r="F155" s="44" t="n">
        <v>96716</v>
      </c>
      <c r="G155" s="43" t="s">
        <v>515</v>
      </c>
      <c r="H155" s="43" t="s">
        <v>1087</v>
      </c>
    </row>
    <row r="156" customFormat="false" ht="15" hidden="false" customHeight="false" outlineLevel="0" collapsed="false">
      <c r="A156" s="43" t="s">
        <v>61</v>
      </c>
      <c r="B156" s="43" t="n">
        <v>2025</v>
      </c>
      <c r="C156" s="43" t="n">
        <v>10</v>
      </c>
      <c r="D156" s="43" t="s">
        <v>58</v>
      </c>
      <c r="E156" s="43" t="s">
        <v>1081</v>
      </c>
      <c r="F156" s="44" t="n">
        <v>68505</v>
      </c>
      <c r="G156" s="43" t="s">
        <v>515</v>
      </c>
      <c r="H156" s="43" t="s">
        <v>1087</v>
      </c>
    </row>
    <row r="157" customFormat="false" ht="15" hidden="false" customHeight="false" outlineLevel="0" collapsed="false">
      <c r="A157" s="43" t="s">
        <v>61</v>
      </c>
      <c r="B157" s="43" t="n">
        <v>2025</v>
      </c>
      <c r="C157" s="43" t="n">
        <v>11</v>
      </c>
      <c r="D157" s="43" t="s">
        <v>59</v>
      </c>
      <c r="E157" s="43" t="s">
        <v>1081</v>
      </c>
      <c r="F157" s="44" t="n">
        <v>112572.64</v>
      </c>
      <c r="G157" s="43" t="s">
        <v>515</v>
      </c>
      <c r="H157" s="43" t="s">
        <v>1087</v>
      </c>
    </row>
    <row r="158" customFormat="false" ht="15" hidden="false" customHeight="false" outlineLevel="0" collapsed="false">
      <c r="A158" s="43" t="s">
        <v>61</v>
      </c>
      <c r="B158" s="43" t="n">
        <v>2025</v>
      </c>
      <c r="C158" s="43" t="n">
        <v>12</v>
      </c>
      <c r="D158" s="43" t="s">
        <v>60</v>
      </c>
      <c r="E158" s="43" t="s">
        <v>1081</v>
      </c>
      <c r="F158" s="44" t="n">
        <v>191262</v>
      </c>
      <c r="G158" s="43" t="s">
        <v>515</v>
      </c>
      <c r="H158" s="43" t="s">
        <v>1087</v>
      </c>
    </row>
    <row r="159" customFormat="false" ht="15" hidden="false" customHeight="false" outlineLevel="0" collapsed="false">
      <c r="A159" s="43" t="s">
        <v>61</v>
      </c>
      <c r="B159" s="43" t="n">
        <v>2025</v>
      </c>
      <c r="C159" s="43" t="n">
        <v>1</v>
      </c>
      <c r="D159" s="43" t="s">
        <v>49</v>
      </c>
      <c r="E159" s="43" t="s">
        <v>1082</v>
      </c>
      <c r="F159" s="44" t="n">
        <v>10833</v>
      </c>
      <c r="G159" s="43" t="s">
        <v>515</v>
      </c>
      <c r="H159" s="43" t="s">
        <v>1087</v>
      </c>
    </row>
    <row r="160" customFormat="false" ht="15" hidden="false" customHeight="false" outlineLevel="0" collapsed="false">
      <c r="A160" s="43" t="s">
        <v>61</v>
      </c>
      <c r="B160" s="43" t="n">
        <v>2025</v>
      </c>
      <c r="C160" s="43" t="n">
        <v>2</v>
      </c>
      <c r="D160" s="43" t="s">
        <v>50</v>
      </c>
      <c r="E160" s="43" t="s">
        <v>1082</v>
      </c>
      <c r="F160" s="44" t="n">
        <v>9388</v>
      </c>
      <c r="G160" s="43" t="s">
        <v>515</v>
      </c>
      <c r="H160" s="43" t="s">
        <v>1087</v>
      </c>
    </row>
    <row r="161" customFormat="false" ht="15" hidden="false" customHeight="false" outlineLevel="0" collapsed="false">
      <c r="A161" s="43" t="s">
        <v>61</v>
      </c>
      <c r="B161" s="43" t="n">
        <v>2025</v>
      </c>
      <c r="C161" s="43" t="n">
        <v>3</v>
      </c>
      <c r="D161" s="43" t="s">
        <v>51</v>
      </c>
      <c r="E161" s="43" t="s">
        <v>1082</v>
      </c>
      <c r="F161" s="44" t="n">
        <v>13122</v>
      </c>
      <c r="G161" s="43" t="s">
        <v>515</v>
      </c>
      <c r="H161" s="43" t="s">
        <v>1087</v>
      </c>
    </row>
    <row r="162" customFormat="false" ht="15" hidden="false" customHeight="false" outlineLevel="0" collapsed="false">
      <c r="A162" s="43" t="s">
        <v>61</v>
      </c>
      <c r="B162" s="43" t="n">
        <v>2025</v>
      </c>
      <c r="C162" s="43" t="n">
        <v>4</v>
      </c>
      <c r="D162" s="43" t="s">
        <v>52</v>
      </c>
      <c r="E162" s="43" t="s">
        <v>1082</v>
      </c>
      <c r="F162" s="44" t="n">
        <v>13095</v>
      </c>
      <c r="G162" s="43" t="s">
        <v>515</v>
      </c>
      <c r="H162" s="43" t="s">
        <v>1087</v>
      </c>
    </row>
    <row r="163" customFormat="false" ht="15" hidden="false" customHeight="false" outlineLevel="0" collapsed="false">
      <c r="A163" s="43" t="s">
        <v>61</v>
      </c>
      <c r="B163" s="43" t="n">
        <v>2025</v>
      </c>
      <c r="C163" s="43" t="n">
        <v>5</v>
      </c>
      <c r="D163" s="43" t="s">
        <v>53</v>
      </c>
      <c r="E163" s="43" t="s">
        <v>1082</v>
      </c>
      <c r="F163" s="44" t="n">
        <v>14238</v>
      </c>
      <c r="G163" s="43" t="s">
        <v>515</v>
      </c>
      <c r="H163" s="43" t="s">
        <v>1087</v>
      </c>
    </row>
    <row r="164" customFormat="false" ht="15" hidden="false" customHeight="false" outlineLevel="0" collapsed="false">
      <c r="A164" s="43" t="s">
        <v>61</v>
      </c>
      <c r="B164" s="43" t="n">
        <v>2025</v>
      </c>
      <c r="C164" s="43" t="n">
        <v>6</v>
      </c>
      <c r="D164" s="43" t="s">
        <v>54</v>
      </c>
      <c r="E164" s="43" t="s">
        <v>1082</v>
      </c>
      <c r="F164" s="44" t="n">
        <v>21058</v>
      </c>
      <c r="G164" s="43" t="s">
        <v>515</v>
      </c>
      <c r="H164" s="43" t="s">
        <v>1087</v>
      </c>
    </row>
    <row r="165" customFormat="false" ht="15" hidden="false" customHeight="false" outlineLevel="0" collapsed="false">
      <c r="A165" s="43" t="s">
        <v>61</v>
      </c>
      <c r="B165" s="43" t="n">
        <v>2025</v>
      </c>
      <c r="C165" s="43" t="n">
        <v>7</v>
      </c>
      <c r="D165" s="43" t="s">
        <v>55</v>
      </c>
      <c r="E165" s="43" t="s">
        <v>1082</v>
      </c>
      <c r="F165" s="44" t="n">
        <v>13297</v>
      </c>
      <c r="G165" s="43" t="s">
        <v>515</v>
      </c>
      <c r="H165" s="43" t="s">
        <v>1087</v>
      </c>
    </row>
    <row r="166" customFormat="false" ht="15" hidden="false" customHeight="false" outlineLevel="0" collapsed="false">
      <c r="A166" s="43" t="s">
        <v>61</v>
      </c>
      <c r="B166" s="43" t="n">
        <v>2025</v>
      </c>
      <c r="C166" s="43" t="n">
        <v>8</v>
      </c>
      <c r="D166" s="43" t="s">
        <v>56</v>
      </c>
      <c r="E166" s="43" t="s">
        <v>1082</v>
      </c>
      <c r="F166" s="44" t="n">
        <v>20882</v>
      </c>
      <c r="G166" s="43" t="s">
        <v>515</v>
      </c>
      <c r="H166" s="43" t="s">
        <v>1087</v>
      </c>
    </row>
    <row r="167" customFormat="false" ht="15" hidden="false" customHeight="false" outlineLevel="0" collapsed="false">
      <c r="A167" s="43" t="s">
        <v>61</v>
      </c>
      <c r="B167" s="43" t="n">
        <v>2025</v>
      </c>
      <c r="C167" s="43" t="n">
        <v>9</v>
      </c>
      <c r="D167" s="43" t="s">
        <v>57</v>
      </c>
      <c r="E167" s="43" t="s">
        <v>1082</v>
      </c>
      <c r="F167" s="44" t="n">
        <v>15045</v>
      </c>
      <c r="G167" s="43" t="s">
        <v>515</v>
      </c>
      <c r="H167" s="43" t="s">
        <v>1087</v>
      </c>
    </row>
    <row r="168" customFormat="false" ht="15" hidden="false" customHeight="false" outlineLevel="0" collapsed="false">
      <c r="A168" s="43" t="s">
        <v>61</v>
      </c>
      <c r="B168" s="43" t="n">
        <v>2025</v>
      </c>
      <c r="C168" s="43" t="n">
        <v>10</v>
      </c>
      <c r="D168" s="43" t="s">
        <v>58</v>
      </c>
      <c r="E168" s="43" t="s">
        <v>1082</v>
      </c>
      <c r="F168" s="44" t="n">
        <v>16352</v>
      </c>
      <c r="G168" s="43" t="s">
        <v>515</v>
      </c>
      <c r="H168" s="43" t="s">
        <v>1087</v>
      </c>
    </row>
    <row r="169" customFormat="false" ht="15" hidden="false" customHeight="false" outlineLevel="0" collapsed="false">
      <c r="A169" s="43" t="s">
        <v>61</v>
      </c>
      <c r="B169" s="43" t="n">
        <v>2025</v>
      </c>
      <c r="C169" s="43" t="n">
        <v>11</v>
      </c>
      <c r="D169" s="43" t="s">
        <v>59</v>
      </c>
      <c r="E169" s="43" t="s">
        <v>1082</v>
      </c>
      <c r="F169" s="44" t="n">
        <v>13240</v>
      </c>
      <c r="G169" s="43" t="s">
        <v>515</v>
      </c>
      <c r="H169" s="43" t="s">
        <v>1087</v>
      </c>
    </row>
    <row r="170" customFormat="false" ht="15" hidden="false" customHeight="false" outlineLevel="0" collapsed="false">
      <c r="A170" s="43" t="s">
        <v>61</v>
      </c>
      <c r="B170" s="43" t="n">
        <v>2025</v>
      </c>
      <c r="C170" s="43" t="n">
        <v>12</v>
      </c>
      <c r="D170" s="43" t="s">
        <v>60</v>
      </c>
      <c r="E170" s="43" t="s">
        <v>1082</v>
      </c>
      <c r="F170" s="44" t="n">
        <v>21232</v>
      </c>
      <c r="G170" s="43" t="s">
        <v>515</v>
      </c>
      <c r="H170" s="43" t="s">
        <v>1087</v>
      </c>
    </row>
    <row r="171" customFormat="false" ht="15" hidden="false" customHeight="false" outlineLevel="0" collapsed="false">
      <c r="A171" s="43" t="s">
        <v>61</v>
      </c>
      <c r="B171" s="43" t="n">
        <v>2025</v>
      </c>
      <c r="C171" s="43" t="n">
        <v>1</v>
      </c>
      <c r="D171" s="43" t="s">
        <v>49</v>
      </c>
      <c r="E171" s="43" t="s">
        <v>1083</v>
      </c>
      <c r="F171" s="44" t="n">
        <v>14954</v>
      </c>
      <c r="G171" s="43" t="s">
        <v>515</v>
      </c>
      <c r="H171" s="43" t="s">
        <v>1087</v>
      </c>
    </row>
    <row r="172" customFormat="false" ht="15" hidden="false" customHeight="false" outlineLevel="0" collapsed="false">
      <c r="A172" s="43" t="s">
        <v>61</v>
      </c>
      <c r="B172" s="43" t="n">
        <v>2025</v>
      </c>
      <c r="C172" s="43" t="n">
        <v>2</v>
      </c>
      <c r="D172" s="43" t="s">
        <v>50</v>
      </c>
      <c r="E172" s="43" t="s">
        <v>1083</v>
      </c>
      <c r="F172" s="44" t="n">
        <v>2711</v>
      </c>
      <c r="G172" s="43" t="s">
        <v>515</v>
      </c>
      <c r="H172" s="43" t="s">
        <v>1087</v>
      </c>
    </row>
    <row r="173" customFormat="false" ht="15" hidden="false" customHeight="false" outlineLevel="0" collapsed="false">
      <c r="A173" s="43" t="s">
        <v>61</v>
      </c>
      <c r="B173" s="43" t="n">
        <v>2025</v>
      </c>
      <c r="C173" s="43" t="n">
        <v>3</v>
      </c>
      <c r="D173" s="43" t="s">
        <v>51</v>
      </c>
      <c r="E173" s="43" t="s">
        <v>1083</v>
      </c>
      <c r="F173" s="44" t="n">
        <v>9675</v>
      </c>
      <c r="G173" s="43" t="s">
        <v>515</v>
      </c>
      <c r="H173" s="43" t="s">
        <v>1087</v>
      </c>
    </row>
    <row r="174" customFormat="false" ht="15" hidden="false" customHeight="false" outlineLevel="0" collapsed="false">
      <c r="A174" s="43" t="s">
        <v>61</v>
      </c>
      <c r="B174" s="43" t="n">
        <v>2025</v>
      </c>
      <c r="C174" s="43" t="n">
        <v>4</v>
      </c>
      <c r="D174" s="43" t="s">
        <v>52</v>
      </c>
      <c r="E174" s="43" t="s">
        <v>1083</v>
      </c>
      <c r="F174" s="44" t="n">
        <v>17383</v>
      </c>
      <c r="G174" s="43" t="s">
        <v>515</v>
      </c>
      <c r="H174" s="43" t="s">
        <v>1087</v>
      </c>
    </row>
    <row r="175" customFormat="false" ht="15" hidden="false" customHeight="false" outlineLevel="0" collapsed="false">
      <c r="A175" s="43" t="s">
        <v>61</v>
      </c>
      <c r="B175" s="43" t="n">
        <v>2025</v>
      </c>
      <c r="C175" s="43" t="n">
        <v>5</v>
      </c>
      <c r="D175" s="43" t="s">
        <v>53</v>
      </c>
      <c r="E175" s="43" t="s">
        <v>1083</v>
      </c>
      <c r="F175" s="44" t="n">
        <v>11056</v>
      </c>
      <c r="G175" s="43" t="s">
        <v>515</v>
      </c>
      <c r="H175" s="43" t="s">
        <v>1087</v>
      </c>
    </row>
    <row r="176" customFormat="false" ht="15" hidden="false" customHeight="false" outlineLevel="0" collapsed="false">
      <c r="A176" s="43" t="s">
        <v>61</v>
      </c>
      <c r="B176" s="43" t="n">
        <v>2025</v>
      </c>
      <c r="C176" s="43" t="n">
        <v>6</v>
      </c>
      <c r="D176" s="43" t="s">
        <v>54</v>
      </c>
      <c r="E176" s="43" t="s">
        <v>1083</v>
      </c>
      <c r="F176" s="44" t="n">
        <v>8453</v>
      </c>
      <c r="G176" s="43" t="s">
        <v>515</v>
      </c>
      <c r="H176" s="43" t="s">
        <v>1087</v>
      </c>
    </row>
    <row r="177" customFormat="false" ht="15" hidden="false" customHeight="false" outlineLevel="0" collapsed="false">
      <c r="A177" s="43" t="s">
        <v>61</v>
      </c>
      <c r="B177" s="43" t="n">
        <v>2025</v>
      </c>
      <c r="C177" s="43" t="n">
        <v>7</v>
      </c>
      <c r="D177" s="43" t="s">
        <v>55</v>
      </c>
      <c r="E177" s="43" t="s">
        <v>1083</v>
      </c>
      <c r="F177" s="44" t="n">
        <v>7808</v>
      </c>
      <c r="G177" s="43" t="s">
        <v>515</v>
      </c>
      <c r="H177" s="43" t="s">
        <v>1087</v>
      </c>
    </row>
    <row r="178" customFormat="false" ht="15" hidden="false" customHeight="false" outlineLevel="0" collapsed="false">
      <c r="A178" s="43" t="s">
        <v>61</v>
      </c>
      <c r="B178" s="43" t="n">
        <v>2025</v>
      </c>
      <c r="C178" s="43" t="n">
        <v>8</v>
      </c>
      <c r="D178" s="43" t="s">
        <v>56</v>
      </c>
      <c r="E178" s="43" t="s">
        <v>1083</v>
      </c>
      <c r="F178" s="44" t="n">
        <v>6464</v>
      </c>
      <c r="G178" s="43" t="s">
        <v>515</v>
      </c>
      <c r="H178" s="43" t="s">
        <v>1087</v>
      </c>
    </row>
    <row r="179" customFormat="false" ht="15" hidden="false" customHeight="false" outlineLevel="0" collapsed="false">
      <c r="A179" s="43" t="s">
        <v>61</v>
      </c>
      <c r="B179" s="43" t="n">
        <v>2025</v>
      </c>
      <c r="C179" s="43" t="n">
        <v>9</v>
      </c>
      <c r="D179" s="43" t="s">
        <v>57</v>
      </c>
      <c r="E179" s="43" t="s">
        <v>1083</v>
      </c>
      <c r="F179" s="44" t="n">
        <v>15336</v>
      </c>
      <c r="G179" s="43" t="s">
        <v>515</v>
      </c>
      <c r="H179" s="43" t="s">
        <v>1087</v>
      </c>
    </row>
    <row r="180" customFormat="false" ht="15" hidden="false" customHeight="false" outlineLevel="0" collapsed="false">
      <c r="A180" s="43" t="s">
        <v>61</v>
      </c>
      <c r="B180" s="43" t="n">
        <v>2025</v>
      </c>
      <c r="C180" s="43" t="n">
        <v>10</v>
      </c>
      <c r="D180" s="43" t="s">
        <v>58</v>
      </c>
      <c r="E180" s="43" t="s">
        <v>1083</v>
      </c>
      <c r="F180" s="44" t="n">
        <v>23317</v>
      </c>
      <c r="G180" s="43" t="s">
        <v>515</v>
      </c>
      <c r="H180" s="43" t="s">
        <v>1087</v>
      </c>
    </row>
    <row r="181" customFormat="false" ht="15" hidden="false" customHeight="false" outlineLevel="0" collapsed="false">
      <c r="A181" s="43" t="s">
        <v>61</v>
      </c>
      <c r="B181" s="43" t="n">
        <v>2025</v>
      </c>
      <c r="C181" s="43" t="n">
        <v>11</v>
      </c>
      <c r="D181" s="43" t="s">
        <v>59</v>
      </c>
      <c r="E181" s="43" t="s">
        <v>1083</v>
      </c>
      <c r="F181" s="44" t="n">
        <v>13325</v>
      </c>
      <c r="G181" s="43" t="s">
        <v>515</v>
      </c>
      <c r="H181" s="43" t="s">
        <v>1087</v>
      </c>
    </row>
    <row r="182" customFormat="false" ht="15" hidden="false" customHeight="false" outlineLevel="0" collapsed="false">
      <c r="A182" s="43" t="s">
        <v>61</v>
      </c>
      <c r="B182" s="43" t="n">
        <v>2025</v>
      </c>
      <c r="C182" s="43" t="n">
        <v>12</v>
      </c>
      <c r="D182" s="43" t="s">
        <v>60</v>
      </c>
      <c r="E182" s="43" t="s">
        <v>1083</v>
      </c>
      <c r="F182" s="44" t="n">
        <v>21627</v>
      </c>
      <c r="G182" s="43" t="s">
        <v>515</v>
      </c>
      <c r="H182" s="43" t="s">
        <v>1087</v>
      </c>
    </row>
    <row r="183" customFormat="false" ht="15" hidden="false" customHeight="false" outlineLevel="0" collapsed="false">
      <c r="A183" s="43" t="s">
        <v>61</v>
      </c>
      <c r="B183" s="43" t="n">
        <v>2025</v>
      </c>
      <c r="C183" s="43" t="n">
        <v>1</v>
      </c>
      <c r="D183" s="43" t="s">
        <v>49</v>
      </c>
      <c r="E183" s="43" t="s">
        <v>1084</v>
      </c>
      <c r="F183" s="44" t="n">
        <v>42494</v>
      </c>
      <c r="G183" s="43" t="s">
        <v>515</v>
      </c>
      <c r="H183" s="43" t="s">
        <v>1087</v>
      </c>
    </row>
    <row r="184" customFormat="false" ht="15" hidden="false" customHeight="false" outlineLevel="0" collapsed="false">
      <c r="A184" s="43" t="s">
        <v>61</v>
      </c>
      <c r="B184" s="43" t="n">
        <v>2025</v>
      </c>
      <c r="C184" s="43" t="n">
        <v>2</v>
      </c>
      <c r="D184" s="43" t="s">
        <v>50</v>
      </c>
      <c r="E184" s="43" t="s">
        <v>1084</v>
      </c>
      <c r="F184" s="44" t="n">
        <v>0</v>
      </c>
      <c r="G184" s="43" t="s">
        <v>515</v>
      </c>
      <c r="H184" s="43" t="s">
        <v>1087</v>
      </c>
    </row>
    <row r="185" customFormat="false" ht="15" hidden="false" customHeight="false" outlineLevel="0" collapsed="false">
      <c r="A185" s="43" t="s">
        <v>61</v>
      </c>
      <c r="B185" s="43" t="n">
        <v>2025</v>
      </c>
      <c r="C185" s="43" t="n">
        <v>3</v>
      </c>
      <c r="D185" s="43" t="s">
        <v>51</v>
      </c>
      <c r="E185" s="43" t="s">
        <v>1084</v>
      </c>
      <c r="F185" s="44" t="n">
        <v>5448</v>
      </c>
      <c r="G185" s="43" t="s">
        <v>515</v>
      </c>
      <c r="H185" s="43" t="s">
        <v>1087</v>
      </c>
    </row>
    <row r="186" customFormat="false" ht="15" hidden="false" customHeight="false" outlineLevel="0" collapsed="false">
      <c r="A186" s="43" t="s">
        <v>61</v>
      </c>
      <c r="B186" s="43" t="n">
        <v>2025</v>
      </c>
      <c r="C186" s="43" t="n">
        <v>4</v>
      </c>
      <c r="D186" s="43" t="s">
        <v>52</v>
      </c>
      <c r="E186" s="43" t="s">
        <v>1084</v>
      </c>
      <c r="F186" s="44" t="n">
        <v>1998</v>
      </c>
      <c r="G186" s="43" t="s">
        <v>515</v>
      </c>
      <c r="H186" s="43" t="s">
        <v>1087</v>
      </c>
    </row>
    <row r="187" customFormat="false" ht="15" hidden="false" customHeight="false" outlineLevel="0" collapsed="false">
      <c r="A187" s="43" t="s">
        <v>61</v>
      </c>
      <c r="B187" s="43" t="n">
        <v>2025</v>
      </c>
      <c r="C187" s="43" t="n">
        <v>5</v>
      </c>
      <c r="D187" s="43" t="s">
        <v>53</v>
      </c>
      <c r="E187" s="43" t="s">
        <v>1084</v>
      </c>
      <c r="F187" s="44" t="n">
        <v>49989</v>
      </c>
      <c r="G187" s="43" t="s">
        <v>515</v>
      </c>
      <c r="H187" s="43" t="s">
        <v>1087</v>
      </c>
    </row>
    <row r="188" customFormat="false" ht="15" hidden="false" customHeight="false" outlineLevel="0" collapsed="false">
      <c r="A188" s="43" t="s">
        <v>61</v>
      </c>
      <c r="B188" s="43" t="n">
        <v>2025</v>
      </c>
      <c r="C188" s="43" t="n">
        <v>6</v>
      </c>
      <c r="D188" s="43" t="s">
        <v>54</v>
      </c>
      <c r="E188" s="43" t="s">
        <v>1084</v>
      </c>
      <c r="F188" s="44" t="n">
        <v>41625</v>
      </c>
      <c r="G188" s="43" t="s">
        <v>515</v>
      </c>
      <c r="H188" s="43" t="s">
        <v>1087</v>
      </c>
    </row>
    <row r="189" customFormat="false" ht="15" hidden="false" customHeight="false" outlineLevel="0" collapsed="false">
      <c r="A189" s="43" t="s">
        <v>61</v>
      </c>
      <c r="B189" s="43" t="n">
        <v>2025</v>
      </c>
      <c r="C189" s="43" t="n">
        <v>7</v>
      </c>
      <c r="D189" s="43" t="s">
        <v>55</v>
      </c>
      <c r="E189" s="43" t="s">
        <v>1084</v>
      </c>
      <c r="F189" s="44" t="n">
        <v>37651</v>
      </c>
      <c r="G189" s="43" t="s">
        <v>515</v>
      </c>
      <c r="H189" s="43" t="s">
        <v>1087</v>
      </c>
    </row>
    <row r="190" customFormat="false" ht="15" hidden="false" customHeight="false" outlineLevel="0" collapsed="false">
      <c r="A190" s="43" t="s">
        <v>61</v>
      </c>
      <c r="B190" s="43" t="n">
        <v>2025</v>
      </c>
      <c r="C190" s="43" t="n">
        <v>8</v>
      </c>
      <c r="D190" s="43" t="s">
        <v>56</v>
      </c>
      <c r="E190" s="43" t="s">
        <v>1084</v>
      </c>
      <c r="F190" s="44" t="n">
        <v>102790</v>
      </c>
      <c r="G190" s="43" t="s">
        <v>515</v>
      </c>
      <c r="H190" s="43" t="s">
        <v>1087</v>
      </c>
    </row>
    <row r="191" customFormat="false" ht="15" hidden="false" customHeight="false" outlineLevel="0" collapsed="false">
      <c r="A191" s="43" t="s">
        <v>61</v>
      </c>
      <c r="B191" s="43" t="n">
        <v>2025</v>
      </c>
      <c r="C191" s="43" t="n">
        <v>9</v>
      </c>
      <c r="D191" s="43" t="s">
        <v>57</v>
      </c>
      <c r="E191" s="43" t="s">
        <v>1084</v>
      </c>
      <c r="F191" s="44" t="n">
        <v>18776</v>
      </c>
      <c r="G191" s="43" t="s">
        <v>515</v>
      </c>
      <c r="H191" s="43" t="s">
        <v>1087</v>
      </c>
    </row>
    <row r="192" customFormat="false" ht="15" hidden="false" customHeight="false" outlineLevel="0" collapsed="false">
      <c r="A192" s="43" t="s">
        <v>61</v>
      </c>
      <c r="B192" s="43" t="n">
        <v>2025</v>
      </c>
      <c r="C192" s="43" t="n">
        <v>10</v>
      </c>
      <c r="D192" s="43" t="s">
        <v>58</v>
      </c>
      <c r="E192" s="43" t="s">
        <v>1084</v>
      </c>
      <c r="F192" s="44" t="n">
        <v>33704</v>
      </c>
      <c r="G192" s="43" t="s">
        <v>515</v>
      </c>
      <c r="H192" s="43" t="s">
        <v>1087</v>
      </c>
    </row>
    <row r="193" customFormat="false" ht="15" hidden="false" customHeight="false" outlineLevel="0" collapsed="false">
      <c r="A193" s="43" t="s">
        <v>61</v>
      </c>
      <c r="B193" s="43" t="n">
        <v>2025</v>
      </c>
      <c r="C193" s="43" t="n">
        <v>11</v>
      </c>
      <c r="D193" s="43" t="s">
        <v>59</v>
      </c>
      <c r="E193" s="43" t="s">
        <v>1084</v>
      </c>
      <c r="F193" s="44" t="n">
        <v>38341</v>
      </c>
      <c r="G193" s="43" t="s">
        <v>515</v>
      </c>
      <c r="H193" s="43" t="s">
        <v>1087</v>
      </c>
    </row>
    <row r="194" customFormat="false" ht="15" hidden="false" customHeight="false" outlineLevel="0" collapsed="false">
      <c r="A194" s="43" t="s">
        <v>61</v>
      </c>
      <c r="B194" s="43" t="n">
        <v>2025</v>
      </c>
      <c r="C194" s="43" t="n">
        <v>12</v>
      </c>
      <c r="D194" s="43" t="s">
        <v>60</v>
      </c>
      <c r="E194" s="43" t="s">
        <v>1084</v>
      </c>
      <c r="F194" s="44" t="n">
        <v>36493</v>
      </c>
      <c r="G194" s="43" t="s">
        <v>515</v>
      </c>
      <c r="H194" s="43" t="s">
        <v>1087</v>
      </c>
    </row>
    <row r="195" customFormat="false" ht="15" hidden="false" customHeight="false" outlineLevel="0" collapsed="false">
      <c r="A195" s="43" t="s">
        <v>61</v>
      </c>
      <c r="B195" s="43" t="n">
        <v>2025</v>
      </c>
      <c r="C195" s="43" t="n">
        <v>1</v>
      </c>
      <c r="D195" s="43" t="s">
        <v>49</v>
      </c>
      <c r="E195" s="43" t="s">
        <v>1085</v>
      </c>
      <c r="F195" s="44" t="n">
        <v>0</v>
      </c>
      <c r="G195" s="43" t="s">
        <v>515</v>
      </c>
      <c r="H195" s="43" t="s">
        <v>1087</v>
      </c>
    </row>
    <row r="196" customFormat="false" ht="15" hidden="false" customHeight="false" outlineLevel="0" collapsed="false">
      <c r="A196" s="43" t="s">
        <v>61</v>
      </c>
      <c r="B196" s="43" t="n">
        <v>2025</v>
      </c>
      <c r="C196" s="43" t="n">
        <v>2</v>
      </c>
      <c r="D196" s="43" t="s">
        <v>50</v>
      </c>
      <c r="E196" s="43" t="s">
        <v>1085</v>
      </c>
      <c r="F196" s="44" t="n">
        <v>0</v>
      </c>
      <c r="G196" s="43" t="s">
        <v>515</v>
      </c>
      <c r="H196" s="43" t="s">
        <v>1087</v>
      </c>
    </row>
    <row r="197" customFormat="false" ht="15" hidden="false" customHeight="false" outlineLevel="0" collapsed="false">
      <c r="A197" s="43" t="s">
        <v>61</v>
      </c>
      <c r="B197" s="43" t="n">
        <v>2025</v>
      </c>
      <c r="C197" s="43" t="n">
        <v>3</v>
      </c>
      <c r="D197" s="43" t="s">
        <v>51</v>
      </c>
      <c r="E197" s="43" t="s">
        <v>1085</v>
      </c>
      <c r="F197" s="44" t="n">
        <v>14000</v>
      </c>
      <c r="G197" s="43" t="s">
        <v>515</v>
      </c>
      <c r="H197" s="43" t="s">
        <v>1087</v>
      </c>
    </row>
    <row r="198" customFormat="false" ht="15" hidden="false" customHeight="false" outlineLevel="0" collapsed="false">
      <c r="A198" s="43" t="s">
        <v>61</v>
      </c>
      <c r="B198" s="43" t="n">
        <v>2025</v>
      </c>
      <c r="C198" s="43" t="n">
        <v>4</v>
      </c>
      <c r="D198" s="43" t="s">
        <v>52</v>
      </c>
      <c r="E198" s="43" t="s">
        <v>1085</v>
      </c>
      <c r="F198" s="44" t="n">
        <v>0</v>
      </c>
      <c r="G198" s="43" t="s">
        <v>515</v>
      </c>
      <c r="H198" s="43" t="s">
        <v>1087</v>
      </c>
    </row>
    <row r="199" customFormat="false" ht="15" hidden="false" customHeight="false" outlineLevel="0" collapsed="false">
      <c r="A199" s="43" t="s">
        <v>61</v>
      </c>
      <c r="B199" s="43" t="n">
        <v>2025</v>
      </c>
      <c r="C199" s="43" t="n">
        <v>5</v>
      </c>
      <c r="D199" s="43" t="s">
        <v>53</v>
      </c>
      <c r="E199" s="43" t="s">
        <v>1085</v>
      </c>
      <c r="F199" s="44" t="n">
        <v>0</v>
      </c>
      <c r="G199" s="43" t="s">
        <v>515</v>
      </c>
      <c r="H199" s="43" t="s">
        <v>1087</v>
      </c>
    </row>
    <row r="200" customFormat="false" ht="15" hidden="false" customHeight="false" outlineLevel="0" collapsed="false">
      <c r="A200" s="43" t="s">
        <v>61</v>
      </c>
      <c r="B200" s="43" t="n">
        <v>2025</v>
      </c>
      <c r="C200" s="43" t="n">
        <v>6</v>
      </c>
      <c r="D200" s="43" t="s">
        <v>54</v>
      </c>
      <c r="E200" s="43" t="s">
        <v>1085</v>
      </c>
      <c r="F200" s="44" t="n">
        <v>14000</v>
      </c>
      <c r="G200" s="43" t="s">
        <v>515</v>
      </c>
      <c r="H200" s="43" t="s">
        <v>1087</v>
      </c>
    </row>
    <row r="201" customFormat="false" ht="15" hidden="false" customHeight="false" outlineLevel="0" collapsed="false">
      <c r="A201" s="43" t="s">
        <v>61</v>
      </c>
      <c r="B201" s="43" t="n">
        <v>2025</v>
      </c>
      <c r="C201" s="43" t="n">
        <v>7</v>
      </c>
      <c r="D201" s="43" t="s">
        <v>55</v>
      </c>
      <c r="E201" s="43" t="s">
        <v>1085</v>
      </c>
      <c r="F201" s="44" t="n">
        <v>0</v>
      </c>
      <c r="G201" s="43" t="s">
        <v>515</v>
      </c>
      <c r="H201" s="43" t="s">
        <v>1087</v>
      </c>
    </row>
    <row r="202" customFormat="false" ht="15" hidden="false" customHeight="false" outlineLevel="0" collapsed="false">
      <c r="A202" s="43" t="s">
        <v>61</v>
      </c>
      <c r="B202" s="43" t="n">
        <v>2025</v>
      </c>
      <c r="C202" s="43" t="n">
        <v>8</v>
      </c>
      <c r="D202" s="43" t="s">
        <v>56</v>
      </c>
      <c r="E202" s="43" t="s">
        <v>1085</v>
      </c>
      <c r="F202" s="44" t="n">
        <v>472152</v>
      </c>
      <c r="G202" s="43" t="s">
        <v>515</v>
      </c>
      <c r="H202" s="43" t="s">
        <v>1087</v>
      </c>
    </row>
    <row r="203" customFormat="false" ht="15" hidden="false" customHeight="false" outlineLevel="0" collapsed="false">
      <c r="A203" s="43" t="s">
        <v>61</v>
      </c>
      <c r="B203" s="43" t="n">
        <v>2025</v>
      </c>
      <c r="C203" s="43" t="n">
        <v>9</v>
      </c>
      <c r="D203" s="43" t="s">
        <v>57</v>
      </c>
      <c r="E203" s="43" t="s">
        <v>1085</v>
      </c>
      <c r="F203" s="44" t="n">
        <v>28000</v>
      </c>
      <c r="G203" s="43" t="s">
        <v>515</v>
      </c>
      <c r="H203" s="43" t="s">
        <v>1087</v>
      </c>
    </row>
    <row r="204" customFormat="false" ht="15" hidden="false" customHeight="false" outlineLevel="0" collapsed="false">
      <c r="A204" s="43" t="s">
        <v>61</v>
      </c>
      <c r="B204" s="43" t="n">
        <v>2025</v>
      </c>
      <c r="C204" s="43" t="n">
        <v>10</v>
      </c>
      <c r="D204" s="43" t="s">
        <v>58</v>
      </c>
      <c r="E204" s="43" t="s">
        <v>1085</v>
      </c>
      <c r="F204" s="44" t="n">
        <v>152335</v>
      </c>
      <c r="G204" s="43" t="s">
        <v>515</v>
      </c>
      <c r="H204" s="43" t="s">
        <v>1087</v>
      </c>
    </row>
    <row r="205" customFormat="false" ht="15" hidden="false" customHeight="false" outlineLevel="0" collapsed="false">
      <c r="A205" s="43" t="s">
        <v>61</v>
      </c>
      <c r="B205" s="43" t="n">
        <v>2025</v>
      </c>
      <c r="C205" s="43" t="n">
        <v>11</v>
      </c>
      <c r="D205" s="43" t="s">
        <v>59</v>
      </c>
      <c r="E205" s="43" t="s">
        <v>1085</v>
      </c>
      <c r="F205" s="44" t="n">
        <v>147722</v>
      </c>
      <c r="G205" s="43" t="s">
        <v>515</v>
      </c>
      <c r="H205" s="43" t="s">
        <v>1087</v>
      </c>
    </row>
    <row r="206" customFormat="false" ht="15" hidden="false" customHeight="false" outlineLevel="0" collapsed="false">
      <c r="A206" s="43" t="s">
        <v>61</v>
      </c>
      <c r="B206" s="43" t="n">
        <v>2025</v>
      </c>
      <c r="C206" s="43" t="n">
        <v>12</v>
      </c>
      <c r="D206" s="43" t="s">
        <v>60</v>
      </c>
      <c r="E206" s="43" t="s">
        <v>1085</v>
      </c>
      <c r="F206" s="44" t="n">
        <v>100000</v>
      </c>
      <c r="G206" s="43" t="s">
        <v>515</v>
      </c>
      <c r="H206" s="43" t="s">
        <v>1087</v>
      </c>
    </row>
    <row r="207" customFormat="false" ht="15" hidden="false" customHeight="false" outlineLevel="0" collapsed="false">
      <c r="A207" s="43" t="s">
        <v>61</v>
      </c>
      <c r="B207" s="43" t="n">
        <v>2025</v>
      </c>
      <c r="C207" s="43" t="n">
        <v>1</v>
      </c>
      <c r="D207" s="43" t="s">
        <v>49</v>
      </c>
      <c r="E207" s="43" t="s">
        <v>1086</v>
      </c>
      <c r="F207" s="44" t="n">
        <v>3798.15</v>
      </c>
      <c r="G207" s="43" t="s">
        <v>515</v>
      </c>
      <c r="H207" s="43" t="s">
        <v>1087</v>
      </c>
    </row>
    <row r="208" customFormat="false" ht="15" hidden="false" customHeight="false" outlineLevel="0" collapsed="false">
      <c r="A208" s="43" t="s">
        <v>61</v>
      </c>
      <c r="B208" s="43" t="n">
        <v>2025</v>
      </c>
      <c r="C208" s="43" t="n">
        <v>2</v>
      </c>
      <c r="D208" s="43" t="s">
        <v>50</v>
      </c>
      <c r="E208" s="43" t="s">
        <v>1086</v>
      </c>
      <c r="F208" s="44" t="n">
        <v>-2643</v>
      </c>
      <c r="G208" s="43" t="s">
        <v>515</v>
      </c>
      <c r="H208" s="43" t="s">
        <v>1087</v>
      </c>
    </row>
    <row r="209" customFormat="false" ht="15" hidden="false" customHeight="false" outlineLevel="0" collapsed="false">
      <c r="A209" s="43" t="s">
        <v>61</v>
      </c>
      <c r="B209" s="43" t="n">
        <v>2025</v>
      </c>
      <c r="C209" s="43" t="n">
        <v>3</v>
      </c>
      <c r="D209" s="43" t="s">
        <v>51</v>
      </c>
      <c r="E209" s="43" t="s">
        <v>1086</v>
      </c>
      <c r="F209" s="44" t="n">
        <v>65135</v>
      </c>
      <c r="G209" s="43" t="s">
        <v>515</v>
      </c>
      <c r="H209" s="43" t="s">
        <v>1087</v>
      </c>
    </row>
    <row r="210" customFormat="false" ht="15" hidden="false" customHeight="false" outlineLevel="0" collapsed="false">
      <c r="A210" s="43" t="s">
        <v>61</v>
      </c>
      <c r="B210" s="43" t="n">
        <v>2025</v>
      </c>
      <c r="C210" s="43" t="n">
        <v>4</v>
      </c>
      <c r="D210" s="43" t="s">
        <v>52</v>
      </c>
      <c r="E210" s="43" t="s">
        <v>1086</v>
      </c>
      <c r="F210" s="44" t="n">
        <v>-1064.3</v>
      </c>
      <c r="G210" s="43" t="s">
        <v>515</v>
      </c>
      <c r="H210" s="43" t="s">
        <v>1087</v>
      </c>
    </row>
    <row r="211" customFormat="false" ht="15" hidden="false" customHeight="false" outlineLevel="0" collapsed="false">
      <c r="A211" s="43" t="s">
        <v>61</v>
      </c>
      <c r="B211" s="43" t="n">
        <v>2025</v>
      </c>
      <c r="C211" s="43" t="n">
        <v>5</v>
      </c>
      <c r="D211" s="43" t="s">
        <v>53</v>
      </c>
      <c r="E211" s="43" t="s">
        <v>1086</v>
      </c>
      <c r="F211" s="44" t="n">
        <v>-4999</v>
      </c>
      <c r="G211" s="43" t="s">
        <v>515</v>
      </c>
      <c r="H211" s="43" t="s">
        <v>1087</v>
      </c>
    </row>
    <row r="212" customFormat="false" ht="15" hidden="false" customHeight="false" outlineLevel="0" collapsed="false">
      <c r="A212" s="43" t="s">
        <v>61</v>
      </c>
      <c r="B212" s="43" t="n">
        <v>2025</v>
      </c>
      <c r="C212" s="43" t="n">
        <v>6</v>
      </c>
      <c r="D212" s="43" t="s">
        <v>54</v>
      </c>
      <c r="E212" s="43" t="s">
        <v>1086</v>
      </c>
      <c r="F212" s="44" t="n">
        <v>42095</v>
      </c>
      <c r="G212" s="43" t="s">
        <v>515</v>
      </c>
      <c r="H212" s="43" t="s">
        <v>1087</v>
      </c>
    </row>
    <row r="213" customFormat="false" ht="15" hidden="false" customHeight="false" outlineLevel="0" collapsed="false">
      <c r="A213" s="43" t="s">
        <v>61</v>
      </c>
      <c r="B213" s="43" t="n">
        <v>2025</v>
      </c>
      <c r="C213" s="43" t="n">
        <v>7</v>
      </c>
      <c r="D213" s="43" t="s">
        <v>55</v>
      </c>
      <c r="E213" s="43" t="s">
        <v>1086</v>
      </c>
      <c r="F213" s="44" t="n">
        <v>48879</v>
      </c>
      <c r="G213" s="43" t="s">
        <v>515</v>
      </c>
      <c r="H213" s="43" t="s">
        <v>1087</v>
      </c>
    </row>
    <row r="214" customFormat="false" ht="15" hidden="false" customHeight="false" outlineLevel="0" collapsed="false">
      <c r="A214" s="43" t="s">
        <v>61</v>
      </c>
      <c r="B214" s="43" t="n">
        <v>2025</v>
      </c>
      <c r="C214" s="43" t="n">
        <v>8</v>
      </c>
      <c r="D214" s="43" t="s">
        <v>56</v>
      </c>
      <c r="E214" s="43" t="s">
        <v>1086</v>
      </c>
      <c r="F214" s="44" t="n">
        <v>-32506</v>
      </c>
      <c r="G214" s="43" t="s">
        <v>515</v>
      </c>
      <c r="H214" s="43" t="s">
        <v>1087</v>
      </c>
    </row>
    <row r="215" customFormat="false" ht="15" hidden="false" customHeight="false" outlineLevel="0" collapsed="false">
      <c r="A215" s="43" t="s">
        <v>61</v>
      </c>
      <c r="B215" s="43" t="n">
        <v>2025</v>
      </c>
      <c r="C215" s="43" t="n">
        <v>9</v>
      </c>
      <c r="D215" s="43" t="s">
        <v>57</v>
      </c>
      <c r="E215" s="43" t="s">
        <v>1086</v>
      </c>
      <c r="F215" s="44" t="n">
        <v>-38703</v>
      </c>
      <c r="G215" s="43" t="s">
        <v>515</v>
      </c>
      <c r="H215" s="43" t="s">
        <v>1087</v>
      </c>
    </row>
    <row r="216" customFormat="false" ht="15" hidden="false" customHeight="false" outlineLevel="0" collapsed="false">
      <c r="A216" s="43" t="s">
        <v>61</v>
      </c>
      <c r="B216" s="43" t="n">
        <v>2025</v>
      </c>
      <c r="C216" s="43" t="n">
        <v>10</v>
      </c>
      <c r="D216" s="43" t="s">
        <v>58</v>
      </c>
      <c r="E216" s="43" t="s">
        <v>1086</v>
      </c>
      <c r="F216" s="44" t="n">
        <v>13353</v>
      </c>
      <c r="G216" s="43" t="s">
        <v>515</v>
      </c>
      <c r="H216" s="43" t="s">
        <v>1087</v>
      </c>
    </row>
    <row r="217" customFormat="false" ht="15" hidden="false" customHeight="false" outlineLevel="0" collapsed="false">
      <c r="A217" s="43" t="s">
        <v>61</v>
      </c>
      <c r="B217" s="43" t="n">
        <v>2025</v>
      </c>
      <c r="C217" s="43" t="n">
        <v>11</v>
      </c>
      <c r="D217" s="43" t="s">
        <v>59</v>
      </c>
      <c r="E217" s="43" t="s">
        <v>1086</v>
      </c>
      <c r="F217" s="44" t="n">
        <v>-123997.64</v>
      </c>
      <c r="G217" s="43" t="s">
        <v>515</v>
      </c>
      <c r="H217" s="43" t="s">
        <v>1087</v>
      </c>
    </row>
    <row r="218" customFormat="false" ht="15" hidden="false" customHeight="false" outlineLevel="0" collapsed="false">
      <c r="A218" s="43" t="s">
        <v>61</v>
      </c>
      <c r="B218" s="43" t="n">
        <v>2025</v>
      </c>
      <c r="C218" s="43" t="n">
        <v>12</v>
      </c>
      <c r="D218" s="43" t="s">
        <v>60</v>
      </c>
      <c r="E218" s="43" t="s">
        <v>1086</v>
      </c>
      <c r="F218" s="44" t="n">
        <v>-25297</v>
      </c>
      <c r="G218" s="43" t="s">
        <v>515</v>
      </c>
      <c r="H218" s="43" t="s">
        <v>1087</v>
      </c>
    </row>
    <row r="219" customFormat="false" ht="15" hidden="false" customHeight="false" outlineLevel="0" collapsed="false">
      <c r="A219" s="43" t="s">
        <v>62</v>
      </c>
      <c r="B219" s="43" t="n">
        <v>2025</v>
      </c>
      <c r="C219" s="43" t="n">
        <v>1</v>
      </c>
      <c r="D219" s="43" t="s">
        <v>49</v>
      </c>
      <c r="E219" s="43" t="s">
        <v>214</v>
      </c>
      <c r="F219" s="44" t="n">
        <v>9622.33</v>
      </c>
      <c r="G219" s="43" t="s">
        <v>515</v>
      </c>
      <c r="H219" s="43" t="s">
        <v>1088</v>
      </c>
    </row>
    <row r="220" customFormat="false" ht="15" hidden="false" customHeight="false" outlineLevel="0" collapsed="false">
      <c r="A220" s="43" t="s">
        <v>62</v>
      </c>
      <c r="B220" s="43" t="n">
        <v>2025</v>
      </c>
      <c r="C220" s="43" t="n">
        <v>2</v>
      </c>
      <c r="D220" s="43" t="s">
        <v>50</v>
      </c>
      <c r="E220" s="43" t="s">
        <v>214</v>
      </c>
      <c r="F220" s="44" t="n">
        <v>61532.33</v>
      </c>
      <c r="G220" s="43" t="s">
        <v>515</v>
      </c>
      <c r="H220" s="43" t="s">
        <v>1088</v>
      </c>
    </row>
    <row r="221" customFormat="false" ht="15" hidden="false" customHeight="false" outlineLevel="0" collapsed="false">
      <c r="A221" s="43" t="s">
        <v>62</v>
      </c>
      <c r="B221" s="43" t="n">
        <v>2025</v>
      </c>
      <c r="C221" s="43" t="n">
        <v>3</v>
      </c>
      <c r="D221" s="43" t="s">
        <v>51</v>
      </c>
      <c r="E221" s="43" t="s">
        <v>214</v>
      </c>
      <c r="F221" s="44" t="n">
        <v>78523.33</v>
      </c>
      <c r="G221" s="43" t="s">
        <v>515</v>
      </c>
      <c r="H221" s="43" t="s">
        <v>1088</v>
      </c>
    </row>
    <row r="222" customFormat="false" ht="15" hidden="false" customHeight="false" outlineLevel="0" collapsed="false">
      <c r="A222" s="43" t="s">
        <v>62</v>
      </c>
      <c r="B222" s="43" t="n">
        <v>2025</v>
      </c>
      <c r="C222" s="43" t="n">
        <v>4</v>
      </c>
      <c r="D222" s="43" t="s">
        <v>52</v>
      </c>
      <c r="E222" s="43" t="s">
        <v>214</v>
      </c>
      <c r="F222" s="44" t="n">
        <v>140475.33</v>
      </c>
      <c r="G222" s="43" t="s">
        <v>515</v>
      </c>
      <c r="H222" s="43" t="s">
        <v>1088</v>
      </c>
    </row>
    <row r="223" customFormat="false" ht="15" hidden="false" customHeight="false" outlineLevel="0" collapsed="false">
      <c r="A223" s="43" t="s">
        <v>62</v>
      </c>
      <c r="B223" s="43" t="n">
        <v>2025</v>
      </c>
      <c r="C223" s="43" t="n">
        <v>5</v>
      </c>
      <c r="D223" s="43" t="s">
        <v>53</v>
      </c>
      <c r="E223" s="43" t="s">
        <v>214</v>
      </c>
      <c r="F223" s="44" t="n">
        <v>159282.63</v>
      </c>
      <c r="G223" s="43" t="s">
        <v>515</v>
      </c>
      <c r="H223" s="43" t="s">
        <v>1088</v>
      </c>
    </row>
    <row r="224" customFormat="false" ht="15" hidden="false" customHeight="false" outlineLevel="0" collapsed="false">
      <c r="A224" s="43" t="s">
        <v>62</v>
      </c>
      <c r="B224" s="43" t="n">
        <v>2025</v>
      </c>
      <c r="C224" s="43" t="n">
        <v>6</v>
      </c>
      <c r="D224" s="43" t="s">
        <v>54</v>
      </c>
      <c r="E224" s="43" t="s">
        <v>214</v>
      </c>
      <c r="F224" s="44" t="n">
        <v>21432.63</v>
      </c>
      <c r="G224" s="43" t="s">
        <v>515</v>
      </c>
      <c r="H224" s="43" t="s">
        <v>1088</v>
      </c>
    </row>
    <row r="225" customFormat="false" ht="15" hidden="false" customHeight="false" outlineLevel="0" collapsed="false">
      <c r="A225" s="43" t="s">
        <v>62</v>
      </c>
      <c r="B225" s="43" t="n">
        <v>2025</v>
      </c>
      <c r="C225" s="43" t="n">
        <v>7</v>
      </c>
      <c r="D225" s="43" t="s">
        <v>55</v>
      </c>
      <c r="E225" s="43" t="s">
        <v>214</v>
      </c>
      <c r="F225" s="44" t="n">
        <v>-744.37</v>
      </c>
      <c r="G225" s="43" t="s">
        <v>515</v>
      </c>
      <c r="H225" s="43" t="s">
        <v>1088</v>
      </c>
    </row>
    <row r="226" customFormat="false" ht="15" hidden="false" customHeight="false" outlineLevel="0" collapsed="false">
      <c r="A226" s="43" t="s">
        <v>62</v>
      </c>
      <c r="B226" s="43" t="n">
        <v>2025</v>
      </c>
      <c r="C226" s="43" t="n">
        <v>8</v>
      </c>
      <c r="D226" s="43" t="s">
        <v>56</v>
      </c>
      <c r="E226" s="43" t="s">
        <v>214</v>
      </c>
      <c r="F226" s="44" t="n">
        <v>-2576.37</v>
      </c>
      <c r="G226" s="43" t="s">
        <v>515</v>
      </c>
      <c r="H226" s="43" t="s">
        <v>1088</v>
      </c>
    </row>
    <row r="227" customFormat="false" ht="15" hidden="false" customHeight="false" outlineLevel="0" collapsed="false">
      <c r="A227" s="43" t="s">
        <v>62</v>
      </c>
      <c r="B227" s="43" t="n">
        <v>2025</v>
      </c>
      <c r="C227" s="43" t="n">
        <v>9</v>
      </c>
      <c r="D227" s="43" t="s">
        <v>57</v>
      </c>
      <c r="E227" s="43" t="s">
        <v>214</v>
      </c>
      <c r="F227" s="44" t="n">
        <v>68039.63</v>
      </c>
      <c r="G227" s="43" t="s">
        <v>515</v>
      </c>
      <c r="H227" s="43" t="s">
        <v>1088</v>
      </c>
    </row>
    <row r="228" customFormat="false" ht="15" hidden="false" customHeight="false" outlineLevel="0" collapsed="false">
      <c r="A228" s="43" t="s">
        <v>62</v>
      </c>
      <c r="B228" s="43" t="n">
        <v>2025</v>
      </c>
      <c r="C228" s="43" t="n">
        <v>10</v>
      </c>
      <c r="D228" s="43" t="s">
        <v>58</v>
      </c>
      <c r="E228" s="43" t="s">
        <v>214</v>
      </c>
      <c r="F228" s="44" t="n">
        <v>179973.63</v>
      </c>
      <c r="G228" s="43" t="s">
        <v>515</v>
      </c>
      <c r="H228" s="43" t="s">
        <v>1088</v>
      </c>
    </row>
    <row r="229" customFormat="false" ht="15" hidden="false" customHeight="false" outlineLevel="0" collapsed="false">
      <c r="A229" s="43" t="s">
        <v>62</v>
      </c>
      <c r="B229" s="43" t="n">
        <v>2025</v>
      </c>
      <c r="C229" s="43" t="n">
        <v>11</v>
      </c>
      <c r="D229" s="43" t="s">
        <v>59</v>
      </c>
      <c r="E229" s="43" t="s">
        <v>214</v>
      </c>
      <c r="F229" s="44" t="n">
        <v>426650.63</v>
      </c>
      <c r="G229" s="43" t="s">
        <v>515</v>
      </c>
      <c r="H229" s="43" t="s">
        <v>1088</v>
      </c>
    </row>
    <row r="230" customFormat="false" ht="15" hidden="false" customHeight="false" outlineLevel="0" collapsed="false">
      <c r="A230" s="43" t="s">
        <v>62</v>
      </c>
      <c r="B230" s="43" t="n">
        <v>2025</v>
      </c>
      <c r="C230" s="43" t="n">
        <v>12</v>
      </c>
      <c r="D230" s="43" t="s">
        <v>60</v>
      </c>
      <c r="E230" s="43" t="s">
        <v>214</v>
      </c>
      <c r="F230" s="44" t="n">
        <v>283579.63</v>
      </c>
      <c r="G230" s="43" t="s">
        <v>515</v>
      </c>
      <c r="H230" s="43" t="s">
        <v>1088</v>
      </c>
    </row>
    <row r="231" customFormat="false" ht="15" hidden="false" customHeight="false" outlineLevel="0" collapsed="false">
      <c r="A231" s="43" t="s">
        <v>62</v>
      </c>
      <c r="B231" s="43" t="n">
        <v>2025</v>
      </c>
      <c r="C231" s="43" t="n">
        <v>1</v>
      </c>
      <c r="D231" s="43" t="s">
        <v>49</v>
      </c>
      <c r="E231" s="43" t="s">
        <v>1079</v>
      </c>
      <c r="F231" s="44" t="n">
        <v>80502</v>
      </c>
      <c r="G231" s="43" t="s">
        <v>515</v>
      </c>
      <c r="H231" s="43" t="s">
        <v>1088</v>
      </c>
    </row>
    <row r="232" customFormat="false" ht="15" hidden="false" customHeight="false" outlineLevel="0" collapsed="false">
      <c r="A232" s="43" t="s">
        <v>62</v>
      </c>
      <c r="B232" s="43" t="n">
        <v>2025</v>
      </c>
      <c r="C232" s="43" t="n">
        <v>2</v>
      </c>
      <c r="D232" s="43" t="s">
        <v>50</v>
      </c>
      <c r="E232" s="43" t="s">
        <v>1079</v>
      </c>
      <c r="F232" s="44" t="n">
        <v>59683</v>
      </c>
      <c r="G232" s="43" t="s">
        <v>515</v>
      </c>
      <c r="H232" s="43" t="s">
        <v>1088</v>
      </c>
    </row>
    <row r="233" customFormat="false" ht="15" hidden="false" customHeight="false" outlineLevel="0" collapsed="false">
      <c r="A233" s="43" t="s">
        <v>62</v>
      </c>
      <c r="B233" s="43" t="n">
        <v>2025</v>
      </c>
      <c r="C233" s="43" t="n">
        <v>3</v>
      </c>
      <c r="D233" s="43" t="s">
        <v>51</v>
      </c>
      <c r="E233" s="43" t="s">
        <v>1079</v>
      </c>
      <c r="F233" s="44" t="n">
        <v>96322</v>
      </c>
      <c r="G233" s="43" t="s">
        <v>515</v>
      </c>
      <c r="H233" s="43" t="s">
        <v>1088</v>
      </c>
    </row>
    <row r="234" customFormat="false" ht="15" hidden="false" customHeight="false" outlineLevel="0" collapsed="false">
      <c r="A234" s="43" t="s">
        <v>62</v>
      </c>
      <c r="B234" s="43" t="n">
        <v>2025</v>
      </c>
      <c r="C234" s="43" t="n">
        <v>4</v>
      </c>
      <c r="D234" s="43" t="s">
        <v>52</v>
      </c>
      <c r="E234" s="43" t="s">
        <v>1079</v>
      </c>
      <c r="F234" s="44" t="n">
        <v>97209.7</v>
      </c>
      <c r="G234" s="43" t="s">
        <v>515</v>
      </c>
      <c r="H234" s="43" t="s">
        <v>1088</v>
      </c>
    </row>
    <row r="235" customFormat="false" ht="15" hidden="false" customHeight="false" outlineLevel="0" collapsed="false">
      <c r="A235" s="43" t="s">
        <v>62</v>
      </c>
      <c r="B235" s="43" t="n">
        <v>2025</v>
      </c>
      <c r="C235" s="43" t="n">
        <v>5</v>
      </c>
      <c r="D235" s="43" t="s">
        <v>53</v>
      </c>
      <c r="E235" s="43" t="s">
        <v>1079</v>
      </c>
      <c r="F235" s="44" t="n">
        <v>37074</v>
      </c>
      <c r="G235" s="43" t="s">
        <v>515</v>
      </c>
      <c r="H235" s="43" t="s">
        <v>1088</v>
      </c>
    </row>
    <row r="236" customFormat="false" ht="15" hidden="false" customHeight="false" outlineLevel="0" collapsed="false">
      <c r="A236" s="43" t="s">
        <v>62</v>
      </c>
      <c r="B236" s="43" t="n">
        <v>2025</v>
      </c>
      <c r="C236" s="43" t="n">
        <v>6</v>
      </c>
      <c r="D236" s="43" t="s">
        <v>54</v>
      </c>
      <c r="E236" s="43" t="s">
        <v>1079</v>
      </c>
      <c r="F236" s="44" t="n">
        <v>66563</v>
      </c>
      <c r="G236" s="43" t="s">
        <v>515</v>
      </c>
      <c r="H236" s="43" t="s">
        <v>1088</v>
      </c>
    </row>
    <row r="237" customFormat="false" ht="15" hidden="false" customHeight="false" outlineLevel="0" collapsed="false">
      <c r="A237" s="43" t="s">
        <v>62</v>
      </c>
      <c r="B237" s="43" t="n">
        <v>2025</v>
      </c>
      <c r="C237" s="43" t="n">
        <v>7</v>
      </c>
      <c r="D237" s="43" t="s">
        <v>55</v>
      </c>
      <c r="E237" s="43" t="s">
        <v>1079</v>
      </c>
      <c r="F237" s="44" t="n">
        <v>47717</v>
      </c>
      <c r="G237" s="43" t="s">
        <v>515</v>
      </c>
      <c r="H237" s="43" t="s">
        <v>1088</v>
      </c>
    </row>
    <row r="238" customFormat="false" ht="15" hidden="false" customHeight="false" outlineLevel="0" collapsed="false">
      <c r="A238" s="43" t="s">
        <v>62</v>
      </c>
      <c r="B238" s="43" t="n">
        <v>2025</v>
      </c>
      <c r="C238" s="43" t="n">
        <v>8</v>
      </c>
      <c r="D238" s="43" t="s">
        <v>56</v>
      </c>
      <c r="E238" s="43" t="s">
        <v>1079</v>
      </c>
      <c r="F238" s="44" t="n">
        <v>119652</v>
      </c>
      <c r="G238" s="43" t="s">
        <v>515</v>
      </c>
      <c r="H238" s="43" t="s">
        <v>1088</v>
      </c>
    </row>
    <row r="239" customFormat="false" ht="15" hidden="false" customHeight="false" outlineLevel="0" collapsed="false">
      <c r="A239" s="43" t="s">
        <v>62</v>
      </c>
      <c r="B239" s="43" t="n">
        <v>2025</v>
      </c>
      <c r="C239" s="43" t="n">
        <v>9</v>
      </c>
      <c r="D239" s="43" t="s">
        <v>57</v>
      </c>
      <c r="E239" s="43" t="s">
        <v>1079</v>
      </c>
      <c r="F239" s="44" t="n">
        <v>203588</v>
      </c>
      <c r="G239" s="43" t="s">
        <v>515</v>
      </c>
      <c r="H239" s="43" t="s">
        <v>1088</v>
      </c>
    </row>
    <row r="240" customFormat="false" ht="15" hidden="false" customHeight="false" outlineLevel="0" collapsed="false">
      <c r="A240" s="43" t="s">
        <v>62</v>
      </c>
      <c r="B240" s="43" t="n">
        <v>2025</v>
      </c>
      <c r="C240" s="43" t="n">
        <v>10</v>
      </c>
      <c r="D240" s="43" t="s">
        <v>58</v>
      </c>
      <c r="E240" s="43" t="s">
        <v>1079</v>
      </c>
      <c r="F240" s="44" t="n">
        <v>325062</v>
      </c>
      <c r="G240" s="43" t="s">
        <v>515</v>
      </c>
      <c r="H240" s="43" t="s">
        <v>1088</v>
      </c>
    </row>
    <row r="241" customFormat="false" ht="15" hidden="false" customHeight="false" outlineLevel="0" collapsed="false">
      <c r="A241" s="43" t="s">
        <v>62</v>
      </c>
      <c r="B241" s="43" t="n">
        <v>2025</v>
      </c>
      <c r="C241" s="43" t="n">
        <v>11</v>
      </c>
      <c r="D241" s="43" t="s">
        <v>59</v>
      </c>
      <c r="E241" s="43" t="s">
        <v>1079</v>
      </c>
      <c r="F241" s="44" t="n">
        <v>239603</v>
      </c>
      <c r="G241" s="43" t="s">
        <v>515</v>
      </c>
      <c r="H241" s="43" t="s">
        <v>1088</v>
      </c>
    </row>
    <row r="242" customFormat="false" ht="15" hidden="false" customHeight="false" outlineLevel="0" collapsed="false">
      <c r="A242" s="43" t="s">
        <v>62</v>
      </c>
      <c r="B242" s="43" t="n">
        <v>2025</v>
      </c>
      <c r="C242" s="43" t="n">
        <v>12</v>
      </c>
      <c r="D242" s="43" t="s">
        <v>60</v>
      </c>
      <c r="E242" s="43" t="s">
        <v>1079</v>
      </c>
      <c r="F242" s="44" t="n">
        <v>224116.51</v>
      </c>
      <c r="G242" s="43" t="s">
        <v>515</v>
      </c>
      <c r="H242" s="43" t="s">
        <v>1088</v>
      </c>
    </row>
    <row r="243" customFormat="false" ht="15" hidden="false" customHeight="false" outlineLevel="0" collapsed="false">
      <c r="A243" s="43" t="s">
        <v>62</v>
      </c>
      <c r="B243" s="43" t="n">
        <v>2025</v>
      </c>
      <c r="C243" s="43" t="n">
        <v>1</v>
      </c>
      <c r="D243" s="43" t="s">
        <v>49</v>
      </c>
      <c r="E243" s="43" t="s">
        <v>1080</v>
      </c>
      <c r="F243" s="44" t="n">
        <v>6388</v>
      </c>
      <c r="G243" s="43" t="s">
        <v>515</v>
      </c>
      <c r="H243" s="43" t="s">
        <v>1088</v>
      </c>
    </row>
    <row r="244" customFormat="false" ht="15" hidden="false" customHeight="false" outlineLevel="0" collapsed="false">
      <c r="A244" s="43" t="s">
        <v>62</v>
      </c>
      <c r="B244" s="43" t="n">
        <v>2025</v>
      </c>
      <c r="C244" s="43" t="n">
        <v>2</v>
      </c>
      <c r="D244" s="43" t="s">
        <v>50</v>
      </c>
      <c r="E244" s="43" t="s">
        <v>1080</v>
      </c>
      <c r="F244" s="44" t="n">
        <v>363</v>
      </c>
      <c r="G244" s="43" t="s">
        <v>515</v>
      </c>
      <c r="H244" s="43" t="s">
        <v>1088</v>
      </c>
    </row>
    <row r="245" customFormat="false" ht="15" hidden="false" customHeight="false" outlineLevel="0" collapsed="false">
      <c r="A245" s="43" t="s">
        <v>62</v>
      </c>
      <c r="B245" s="43" t="n">
        <v>2025</v>
      </c>
      <c r="C245" s="43" t="n">
        <v>3</v>
      </c>
      <c r="D245" s="43" t="s">
        <v>51</v>
      </c>
      <c r="E245" s="43" t="s">
        <v>1080</v>
      </c>
      <c r="F245" s="44" t="n">
        <v>0</v>
      </c>
      <c r="G245" s="43" t="s">
        <v>515</v>
      </c>
      <c r="H245" s="43" t="s">
        <v>1088</v>
      </c>
    </row>
    <row r="246" customFormat="false" ht="15" hidden="false" customHeight="false" outlineLevel="0" collapsed="false">
      <c r="A246" s="43" t="s">
        <v>62</v>
      </c>
      <c r="B246" s="43" t="n">
        <v>2025</v>
      </c>
      <c r="C246" s="43" t="n">
        <v>4</v>
      </c>
      <c r="D246" s="43" t="s">
        <v>52</v>
      </c>
      <c r="E246" s="43" t="s">
        <v>1080</v>
      </c>
      <c r="F246" s="44" t="n">
        <v>0</v>
      </c>
      <c r="G246" s="43" t="s">
        <v>515</v>
      </c>
      <c r="H246" s="43" t="s">
        <v>1088</v>
      </c>
    </row>
    <row r="247" customFormat="false" ht="15" hidden="false" customHeight="false" outlineLevel="0" collapsed="false">
      <c r="A247" s="43" t="s">
        <v>62</v>
      </c>
      <c r="B247" s="43" t="n">
        <v>2025</v>
      </c>
      <c r="C247" s="43" t="n">
        <v>5</v>
      </c>
      <c r="D247" s="43" t="s">
        <v>53</v>
      </c>
      <c r="E247" s="43" t="s">
        <v>1080</v>
      </c>
      <c r="F247" s="44" t="n">
        <v>1526</v>
      </c>
      <c r="G247" s="43" t="s">
        <v>515</v>
      </c>
      <c r="H247" s="43" t="s">
        <v>1088</v>
      </c>
    </row>
    <row r="248" customFormat="false" ht="15" hidden="false" customHeight="false" outlineLevel="0" collapsed="false">
      <c r="A248" s="43" t="s">
        <v>62</v>
      </c>
      <c r="B248" s="43" t="n">
        <v>2025</v>
      </c>
      <c r="C248" s="43" t="n">
        <v>6</v>
      </c>
      <c r="D248" s="43" t="s">
        <v>54</v>
      </c>
      <c r="E248" s="43" t="s">
        <v>1080</v>
      </c>
      <c r="F248" s="44" t="n">
        <v>0</v>
      </c>
      <c r="G248" s="43" t="s">
        <v>515</v>
      </c>
      <c r="H248" s="43" t="s">
        <v>1088</v>
      </c>
    </row>
    <row r="249" customFormat="false" ht="15" hidden="false" customHeight="false" outlineLevel="0" collapsed="false">
      <c r="A249" s="43" t="s">
        <v>62</v>
      </c>
      <c r="B249" s="43" t="n">
        <v>2025</v>
      </c>
      <c r="C249" s="43" t="n">
        <v>7</v>
      </c>
      <c r="D249" s="43" t="s">
        <v>55</v>
      </c>
      <c r="E249" s="43" t="s">
        <v>1080</v>
      </c>
      <c r="F249" s="44" t="n">
        <v>0</v>
      </c>
      <c r="G249" s="43" t="s">
        <v>515</v>
      </c>
      <c r="H249" s="43" t="s">
        <v>1088</v>
      </c>
    </row>
    <row r="250" customFormat="false" ht="15" hidden="false" customHeight="false" outlineLevel="0" collapsed="false">
      <c r="A250" s="43" t="s">
        <v>62</v>
      </c>
      <c r="B250" s="43" t="n">
        <v>2025</v>
      </c>
      <c r="C250" s="43" t="n">
        <v>8</v>
      </c>
      <c r="D250" s="43" t="s">
        <v>56</v>
      </c>
      <c r="E250" s="43" t="s">
        <v>1080</v>
      </c>
      <c r="F250" s="44" t="n">
        <v>0</v>
      </c>
      <c r="G250" s="43" t="s">
        <v>515</v>
      </c>
      <c r="H250" s="43" t="s">
        <v>1088</v>
      </c>
    </row>
    <row r="251" customFormat="false" ht="15" hidden="false" customHeight="false" outlineLevel="0" collapsed="false">
      <c r="A251" s="43" t="s">
        <v>62</v>
      </c>
      <c r="B251" s="43" t="n">
        <v>2025</v>
      </c>
      <c r="C251" s="43" t="n">
        <v>9</v>
      </c>
      <c r="D251" s="43" t="s">
        <v>57</v>
      </c>
      <c r="E251" s="43" t="s">
        <v>1080</v>
      </c>
      <c r="F251" s="44" t="n">
        <v>0</v>
      </c>
      <c r="G251" s="43" t="s">
        <v>515</v>
      </c>
      <c r="H251" s="43" t="s">
        <v>1088</v>
      </c>
    </row>
    <row r="252" customFormat="false" ht="15" hidden="false" customHeight="false" outlineLevel="0" collapsed="false">
      <c r="A252" s="43" t="s">
        <v>62</v>
      </c>
      <c r="B252" s="43" t="n">
        <v>2025</v>
      </c>
      <c r="C252" s="43" t="n">
        <v>10</v>
      </c>
      <c r="D252" s="43" t="s">
        <v>58</v>
      </c>
      <c r="E252" s="43" t="s">
        <v>1080</v>
      </c>
      <c r="F252" s="44" t="n">
        <v>1803</v>
      </c>
      <c r="G252" s="43" t="s">
        <v>515</v>
      </c>
      <c r="H252" s="43" t="s">
        <v>1088</v>
      </c>
    </row>
    <row r="253" customFormat="false" ht="15" hidden="false" customHeight="false" outlineLevel="0" collapsed="false">
      <c r="A253" s="43" t="s">
        <v>62</v>
      </c>
      <c r="B253" s="43" t="n">
        <v>2025</v>
      </c>
      <c r="C253" s="43" t="n">
        <v>11</v>
      </c>
      <c r="D253" s="43" t="s">
        <v>59</v>
      </c>
      <c r="E253" s="43" t="s">
        <v>1080</v>
      </c>
      <c r="F253" s="44" t="n">
        <v>1622</v>
      </c>
      <c r="G253" s="43" t="s">
        <v>515</v>
      </c>
      <c r="H253" s="43" t="s">
        <v>1088</v>
      </c>
    </row>
    <row r="254" customFormat="false" ht="15" hidden="false" customHeight="false" outlineLevel="0" collapsed="false">
      <c r="A254" s="43" t="s">
        <v>62</v>
      </c>
      <c r="B254" s="43" t="n">
        <v>2025</v>
      </c>
      <c r="C254" s="43" t="n">
        <v>12</v>
      </c>
      <c r="D254" s="43" t="s">
        <v>60</v>
      </c>
      <c r="E254" s="43" t="s">
        <v>1080</v>
      </c>
      <c r="F254" s="44" t="n">
        <v>0</v>
      </c>
      <c r="G254" s="43" t="s">
        <v>515</v>
      </c>
      <c r="H254" s="43" t="s">
        <v>1088</v>
      </c>
    </row>
    <row r="255" customFormat="false" ht="15" hidden="false" customHeight="false" outlineLevel="0" collapsed="false">
      <c r="A255" s="43" t="s">
        <v>62</v>
      </c>
      <c r="B255" s="43" t="n">
        <v>2025</v>
      </c>
      <c r="C255" s="43" t="n">
        <v>1</v>
      </c>
      <c r="D255" s="43" t="s">
        <v>49</v>
      </c>
      <c r="E255" s="43" t="s">
        <v>1081</v>
      </c>
      <c r="F255" s="44" t="n">
        <v>17457</v>
      </c>
      <c r="G255" s="43" t="s">
        <v>515</v>
      </c>
      <c r="H255" s="43" t="s">
        <v>1088</v>
      </c>
    </row>
    <row r="256" customFormat="false" ht="15" hidden="false" customHeight="false" outlineLevel="0" collapsed="false">
      <c r="A256" s="43" t="s">
        <v>62</v>
      </c>
      <c r="B256" s="43" t="n">
        <v>2025</v>
      </c>
      <c r="C256" s="43" t="n">
        <v>2</v>
      </c>
      <c r="D256" s="43" t="s">
        <v>50</v>
      </c>
      <c r="E256" s="43" t="s">
        <v>1081</v>
      </c>
      <c r="F256" s="44" t="n">
        <v>21872</v>
      </c>
      <c r="G256" s="43" t="s">
        <v>515</v>
      </c>
      <c r="H256" s="43" t="s">
        <v>1088</v>
      </c>
    </row>
    <row r="257" customFormat="false" ht="15" hidden="false" customHeight="false" outlineLevel="0" collapsed="false">
      <c r="A257" s="43" t="s">
        <v>62</v>
      </c>
      <c r="B257" s="43" t="n">
        <v>2025</v>
      </c>
      <c r="C257" s="43" t="n">
        <v>3</v>
      </c>
      <c r="D257" s="43" t="s">
        <v>51</v>
      </c>
      <c r="E257" s="43" t="s">
        <v>1081</v>
      </c>
      <c r="F257" s="44" t="n">
        <v>18869</v>
      </c>
      <c r="G257" s="43" t="s">
        <v>515</v>
      </c>
      <c r="H257" s="43" t="s">
        <v>1088</v>
      </c>
    </row>
    <row r="258" customFormat="false" ht="15" hidden="false" customHeight="false" outlineLevel="0" collapsed="false">
      <c r="A258" s="43" t="s">
        <v>62</v>
      </c>
      <c r="B258" s="43" t="n">
        <v>2025</v>
      </c>
      <c r="C258" s="43" t="n">
        <v>4</v>
      </c>
      <c r="D258" s="43" t="s">
        <v>52</v>
      </c>
      <c r="E258" s="43" t="s">
        <v>1081</v>
      </c>
      <c r="F258" s="44" t="n">
        <v>41629.4</v>
      </c>
      <c r="G258" s="43" t="s">
        <v>515</v>
      </c>
      <c r="H258" s="43" t="s">
        <v>1088</v>
      </c>
    </row>
    <row r="259" customFormat="false" ht="15" hidden="false" customHeight="false" outlineLevel="0" collapsed="false">
      <c r="A259" s="43" t="s">
        <v>62</v>
      </c>
      <c r="B259" s="43" t="n">
        <v>2025</v>
      </c>
      <c r="C259" s="43" t="n">
        <v>5</v>
      </c>
      <c r="D259" s="43" t="s">
        <v>53</v>
      </c>
      <c r="E259" s="43" t="s">
        <v>1081</v>
      </c>
      <c r="F259" s="44" t="n">
        <v>27718</v>
      </c>
      <c r="G259" s="43" t="s">
        <v>515</v>
      </c>
      <c r="H259" s="43" t="s">
        <v>1088</v>
      </c>
    </row>
    <row r="260" customFormat="false" ht="15" hidden="false" customHeight="false" outlineLevel="0" collapsed="false">
      <c r="A260" s="43" t="s">
        <v>62</v>
      </c>
      <c r="B260" s="43" t="n">
        <v>2025</v>
      </c>
      <c r="C260" s="43" t="n">
        <v>6</v>
      </c>
      <c r="D260" s="43" t="s">
        <v>54</v>
      </c>
      <c r="E260" s="43" t="s">
        <v>1081</v>
      </c>
      <c r="F260" s="44" t="n">
        <v>66932</v>
      </c>
      <c r="G260" s="43" t="s">
        <v>515</v>
      </c>
      <c r="H260" s="43" t="s">
        <v>1088</v>
      </c>
    </row>
    <row r="261" customFormat="false" ht="15" hidden="false" customHeight="false" outlineLevel="0" collapsed="false">
      <c r="A261" s="43" t="s">
        <v>62</v>
      </c>
      <c r="B261" s="43" t="n">
        <v>2025</v>
      </c>
      <c r="C261" s="43" t="n">
        <v>7</v>
      </c>
      <c r="D261" s="43" t="s">
        <v>55</v>
      </c>
      <c r="E261" s="43" t="s">
        <v>1081</v>
      </c>
      <c r="F261" s="44" t="n">
        <v>23437</v>
      </c>
      <c r="G261" s="43" t="s">
        <v>515</v>
      </c>
      <c r="H261" s="43" t="s">
        <v>1088</v>
      </c>
    </row>
    <row r="262" customFormat="false" ht="15" hidden="false" customHeight="false" outlineLevel="0" collapsed="false">
      <c r="A262" s="43" t="s">
        <v>62</v>
      </c>
      <c r="B262" s="43" t="n">
        <v>2025</v>
      </c>
      <c r="C262" s="43" t="n">
        <v>8</v>
      </c>
      <c r="D262" s="43" t="s">
        <v>56</v>
      </c>
      <c r="E262" s="43" t="s">
        <v>1081</v>
      </c>
      <c r="F262" s="44" t="n">
        <v>13633</v>
      </c>
      <c r="G262" s="43" t="s">
        <v>515</v>
      </c>
      <c r="H262" s="43" t="s">
        <v>1088</v>
      </c>
    </row>
    <row r="263" customFormat="false" ht="15" hidden="false" customHeight="false" outlineLevel="0" collapsed="false">
      <c r="A263" s="43" t="s">
        <v>62</v>
      </c>
      <c r="B263" s="43" t="n">
        <v>2025</v>
      </c>
      <c r="C263" s="43" t="n">
        <v>9</v>
      </c>
      <c r="D263" s="43" t="s">
        <v>57</v>
      </c>
      <c r="E263" s="43" t="s">
        <v>1081</v>
      </c>
      <c r="F263" s="44" t="n">
        <v>68548</v>
      </c>
      <c r="G263" s="43" t="s">
        <v>515</v>
      </c>
      <c r="H263" s="43" t="s">
        <v>1088</v>
      </c>
    </row>
    <row r="264" customFormat="false" ht="15" hidden="false" customHeight="false" outlineLevel="0" collapsed="false">
      <c r="A264" s="43" t="s">
        <v>62</v>
      </c>
      <c r="B264" s="43" t="n">
        <v>2025</v>
      </c>
      <c r="C264" s="43" t="n">
        <v>10</v>
      </c>
      <c r="D264" s="43" t="s">
        <v>58</v>
      </c>
      <c r="E264" s="43" t="s">
        <v>1081</v>
      </c>
      <c r="F264" s="44" t="n">
        <v>9837</v>
      </c>
      <c r="G264" s="43" t="s">
        <v>515</v>
      </c>
      <c r="H264" s="43" t="s">
        <v>1088</v>
      </c>
    </row>
    <row r="265" customFormat="false" ht="15" hidden="false" customHeight="false" outlineLevel="0" collapsed="false">
      <c r="A265" s="43" t="s">
        <v>62</v>
      </c>
      <c r="B265" s="43" t="n">
        <v>2025</v>
      </c>
      <c r="C265" s="43" t="n">
        <v>11</v>
      </c>
      <c r="D265" s="43" t="s">
        <v>59</v>
      </c>
      <c r="E265" s="43" t="s">
        <v>1081</v>
      </c>
      <c r="F265" s="44" t="n">
        <v>43359</v>
      </c>
      <c r="G265" s="43" t="s">
        <v>515</v>
      </c>
      <c r="H265" s="43" t="s">
        <v>1088</v>
      </c>
    </row>
    <row r="266" customFormat="false" ht="15" hidden="false" customHeight="false" outlineLevel="0" collapsed="false">
      <c r="A266" s="43" t="s">
        <v>62</v>
      </c>
      <c r="B266" s="43" t="n">
        <v>2025</v>
      </c>
      <c r="C266" s="43" t="n">
        <v>12</v>
      </c>
      <c r="D266" s="43" t="s">
        <v>60</v>
      </c>
      <c r="E266" s="43" t="s">
        <v>1081</v>
      </c>
      <c r="F266" s="44" t="n">
        <v>17816</v>
      </c>
      <c r="G266" s="43" t="s">
        <v>515</v>
      </c>
      <c r="H266" s="43" t="s">
        <v>1088</v>
      </c>
    </row>
    <row r="267" customFormat="false" ht="15" hidden="false" customHeight="false" outlineLevel="0" collapsed="false">
      <c r="A267" s="43" t="s">
        <v>62</v>
      </c>
      <c r="B267" s="43" t="n">
        <v>2025</v>
      </c>
      <c r="C267" s="43" t="n">
        <v>1</v>
      </c>
      <c r="D267" s="43" t="s">
        <v>49</v>
      </c>
      <c r="E267" s="43" t="s">
        <v>1082</v>
      </c>
      <c r="F267" s="44" t="n">
        <v>3566</v>
      </c>
      <c r="G267" s="43" t="s">
        <v>515</v>
      </c>
      <c r="H267" s="43" t="s">
        <v>1088</v>
      </c>
    </row>
    <row r="268" customFormat="false" ht="15" hidden="false" customHeight="false" outlineLevel="0" collapsed="false">
      <c r="A268" s="43" t="s">
        <v>62</v>
      </c>
      <c r="B268" s="43" t="n">
        <v>2025</v>
      </c>
      <c r="C268" s="43" t="n">
        <v>2</v>
      </c>
      <c r="D268" s="43" t="s">
        <v>50</v>
      </c>
      <c r="E268" s="43" t="s">
        <v>1082</v>
      </c>
      <c r="F268" s="44" t="n">
        <v>3089</v>
      </c>
      <c r="G268" s="43" t="s">
        <v>515</v>
      </c>
      <c r="H268" s="43" t="s">
        <v>1088</v>
      </c>
    </row>
    <row r="269" customFormat="false" ht="15" hidden="false" customHeight="false" outlineLevel="0" collapsed="false">
      <c r="A269" s="43" t="s">
        <v>62</v>
      </c>
      <c r="B269" s="43" t="n">
        <v>2025</v>
      </c>
      <c r="C269" s="43" t="n">
        <v>3</v>
      </c>
      <c r="D269" s="43" t="s">
        <v>51</v>
      </c>
      <c r="E269" s="43" t="s">
        <v>1082</v>
      </c>
      <c r="F269" s="44" t="n">
        <v>7556</v>
      </c>
      <c r="G269" s="43" t="s">
        <v>515</v>
      </c>
      <c r="H269" s="43" t="s">
        <v>1088</v>
      </c>
    </row>
    <row r="270" customFormat="false" ht="15" hidden="false" customHeight="false" outlineLevel="0" collapsed="false">
      <c r="A270" s="43" t="s">
        <v>62</v>
      </c>
      <c r="B270" s="43" t="n">
        <v>2025</v>
      </c>
      <c r="C270" s="43" t="n">
        <v>4</v>
      </c>
      <c r="D270" s="43" t="s">
        <v>52</v>
      </c>
      <c r="E270" s="43" t="s">
        <v>1082</v>
      </c>
      <c r="F270" s="44" t="n">
        <v>10375</v>
      </c>
      <c r="G270" s="43" t="s">
        <v>515</v>
      </c>
      <c r="H270" s="43" t="s">
        <v>1088</v>
      </c>
    </row>
    <row r="271" customFormat="false" ht="15" hidden="false" customHeight="false" outlineLevel="0" collapsed="false">
      <c r="A271" s="43" t="s">
        <v>62</v>
      </c>
      <c r="B271" s="43" t="n">
        <v>2025</v>
      </c>
      <c r="C271" s="43" t="n">
        <v>5</v>
      </c>
      <c r="D271" s="43" t="s">
        <v>53</v>
      </c>
      <c r="E271" s="43" t="s">
        <v>1082</v>
      </c>
      <c r="F271" s="44" t="n">
        <v>5611</v>
      </c>
      <c r="G271" s="43" t="s">
        <v>515</v>
      </c>
      <c r="H271" s="43" t="s">
        <v>1088</v>
      </c>
    </row>
    <row r="272" customFormat="false" ht="15" hidden="false" customHeight="false" outlineLevel="0" collapsed="false">
      <c r="A272" s="43" t="s">
        <v>62</v>
      </c>
      <c r="B272" s="43" t="n">
        <v>2025</v>
      </c>
      <c r="C272" s="43" t="n">
        <v>6</v>
      </c>
      <c r="D272" s="43" t="s">
        <v>54</v>
      </c>
      <c r="E272" s="43" t="s">
        <v>1082</v>
      </c>
      <c r="F272" s="44" t="n">
        <v>9354</v>
      </c>
      <c r="G272" s="43" t="s">
        <v>515</v>
      </c>
      <c r="H272" s="43" t="s">
        <v>1088</v>
      </c>
    </row>
    <row r="273" customFormat="false" ht="15" hidden="false" customHeight="false" outlineLevel="0" collapsed="false">
      <c r="A273" s="43" t="s">
        <v>62</v>
      </c>
      <c r="B273" s="43" t="n">
        <v>2025</v>
      </c>
      <c r="C273" s="43" t="n">
        <v>7</v>
      </c>
      <c r="D273" s="43" t="s">
        <v>55</v>
      </c>
      <c r="E273" s="43" t="s">
        <v>1082</v>
      </c>
      <c r="F273" s="44" t="n">
        <v>7582</v>
      </c>
      <c r="G273" s="43" t="s">
        <v>515</v>
      </c>
      <c r="H273" s="43" t="s">
        <v>1088</v>
      </c>
    </row>
    <row r="274" customFormat="false" ht="15" hidden="false" customHeight="false" outlineLevel="0" collapsed="false">
      <c r="A274" s="43" t="s">
        <v>62</v>
      </c>
      <c r="B274" s="43" t="n">
        <v>2025</v>
      </c>
      <c r="C274" s="43" t="n">
        <v>8</v>
      </c>
      <c r="D274" s="43" t="s">
        <v>56</v>
      </c>
      <c r="E274" s="43" t="s">
        <v>1082</v>
      </c>
      <c r="F274" s="44" t="n">
        <v>7842</v>
      </c>
      <c r="G274" s="43" t="s">
        <v>515</v>
      </c>
      <c r="H274" s="43" t="s">
        <v>1088</v>
      </c>
    </row>
    <row r="275" customFormat="false" ht="15" hidden="false" customHeight="false" outlineLevel="0" collapsed="false">
      <c r="A275" s="43" t="s">
        <v>62</v>
      </c>
      <c r="B275" s="43" t="n">
        <v>2025</v>
      </c>
      <c r="C275" s="43" t="n">
        <v>9</v>
      </c>
      <c r="D275" s="43" t="s">
        <v>57</v>
      </c>
      <c r="E275" s="43" t="s">
        <v>1082</v>
      </c>
      <c r="F275" s="44" t="n">
        <v>8775</v>
      </c>
      <c r="G275" s="43" t="s">
        <v>515</v>
      </c>
      <c r="H275" s="43" t="s">
        <v>1088</v>
      </c>
    </row>
    <row r="276" customFormat="false" ht="15" hidden="false" customHeight="false" outlineLevel="0" collapsed="false">
      <c r="A276" s="43" t="s">
        <v>62</v>
      </c>
      <c r="B276" s="43" t="n">
        <v>2025</v>
      </c>
      <c r="C276" s="43" t="n">
        <v>10</v>
      </c>
      <c r="D276" s="43" t="s">
        <v>58</v>
      </c>
      <c r="E276" s="43" t="s">
        <v>1082</v>
      </c>
      <c r="F276" s="44" t="n">
        <v>4212</v>
      </c>
      <c r="G276" s="43" t="s">
        <v>515</v>
      </c>
      <c r="H276" s="43" t="s">
        <v>1088</v>
      </c>
    </row>
    <row r="277" customFormat="false" ht="15" hidden="false" customHeight="false" outlineLevel="0" collapsed="false">
      <c r="A277" s="43" t="s">
        <v>62</v>
      </c>
      <c r="B277" s="43" t="n">
        <v>2025</v>
      </c>
      <c r="C277" s="43" t="n">
        <v>11</v>
      </c>
      <c r="D277" s="43" t="s">
        <v>59</v>
      </c>
      <c r="E277" s="43" t="s">
        <v>1082</v>
      </c>
      <c r="F277" s="44" t="n">
        <v>4612</v>
      </c>
      <c r="G277" s="43" t="s">
        <v>515</v>
      </c>
      <c r="H277" s="43" t="s">
        <v>1088</v>
      </c>
    </row>
    <row r="278" customFormat="false" ht="15" hidden="false" customHeight="false" outlineLevel="0" collapsed="false">
      <c r="A278" s="43" t="s">
        <v>62</v>
      </c>
      <c r="B278" s="43" t="n">
        <v>2025</v>
      </c>
      <c r="C278" s="43" t="n">
        <v>12</v>
      </c>
      <c r="D278" s="43" t="s">
        <v>60</v>
      </c>
      <c r="E278" s="43" t="s">
        <v>1082</v>
      </c>
      <c r="F278" s="44" t="n">
        <v>5185</v>
      </c>
      <c r="G278" s="43" t="s">
        <v>515</v>
      </c>
      <c r="H278" s="43" t="s">
        <v>1088</v>
      </c>
    </row>
    <row r="279" customFormat="false" ht="15" hidden="false" customHeight="false" outlineLevel="0" collapsed="false">
      <c r="A279" s="43" t="s">
        <v>62</v>
      </c>
      <c r="B279" s="43" t="n">
        <v>2025</v>
      </c>
      <c r="C279" s="43" t="n">
        <v>1</v>
      </c>
      <c r="D279" s="43" t="s">
        <v>49</v>
      </c>
      <c r="E279" s="43" t="s">
        <v>1083</v>
      </c>
      <c r="F279" s="44" t="n">
        <v>0</v>
      </c>
      <c r="G279" s="43" t="s">
        <v>515</v>
      </c>
      <c r="H279" s="43" t="s">
        <v>1088</v>
      </c>
    </row>
    <row r="280" customFormat="false" ht="15" hidden="false" customHeight="false" outlineLevel="0" collapsed="false">
      <c r="A280" s="43" t="s">
        <v>62</v>
      </c>
      <c r="B280" s="43" t="n">
        <v>2025</v>
      </c>
      <c r="C280" s="43" t="n">
        <v>2</v>
      </c>
      <c r="D280" s="43" t="s">
        <v>50</v>
      </c>
      <c r="E280" s="43" t="s">
        <v>1083</v>
      </c>
      <c r="F280" s="44" t="n">
        <v>2851</v>
      </c>
      <c r="G280" s="43" t="s">
        <v>515</v>
      </c>
      <c r="H280" s="43" t="s">
        <v>1088</v>
      </c>
    </row>
    <row r="281" customFormat="false" ht="15" hidden="false" customHeight="false" outlineLevel="0" collapsed="false">
      <c r="A281" s="43" t="s">
        <v>62</v>
      </c>
      <c r="B281" s="43" t="n">
        <v>2025</v>
      </c>
      <c r="C281" s="43" t="n">
        <v>3</v>
      </c>
      <c r="D281" s="43" t="s">
        <v>51</v>
      </c>
      <c r="E281" s="43" t="s">
        <v>1083</v>
      </c>
      <c r="F281" s="44" t="n">
        <v>0</v>
      </c>
      <c r="G281" s="43" t="s">
        <v>515</v>
      </c>
      <c r="H281" s="43" t="s">
        <v>1088</v>
      </c>
    </row>
    <row r="282" customFormat="false" ht="15" hidden="false" customHeight="false" outlineLevel="0" collapsed="false">
      <c r="A282" s="43" t="s">
        <v>62</v>
      </c>
      <c r="B282" s="43" t="n">
        <v>2025</v>
      </c>
      <c r="C282" s="43" t="n">
        <v>4</v>
      </c>
      <c r="D282" s="43" t="s">
        <v>52</v>
      </c>
      <c r="E282" s="43" t="s">
        <v>1083</v>
      </c>
      <c r="F282" s="44" t="n">
        <v>0</v>
      </c>
      <c r="G282" s="43" t="s">
        <v>515</v>
      </c>
      <c r="H282" s="43" t="s">
        <v>1088</v>
      </c>
    </row>
    <row r="283" customFormat="false" ht="15" hidden="false" customHeight="false" outlineLevel="0" collapsed="false">
      <c r="A283" s="43" t="s">
        <v>62</v>
      </c>
      <c r="B283" s="43" t="n">
        <v>2025</v>
      </c>
      <c r="C283" s="43" t="n">
        <v>5</v>
      </c>
      <c r="D283" s="43" t="s">
        <v>53</v>
      </c>
      <c r="E283" s="43" t="s">
        <v>1083</v>
      </c>
      <c r="F283" s="44" t="n">
        <v>0</v>
      </c>
      <c r="G283" s="43" t="s">
        <v>515</v>
      </c>
      <c r="H283" s="43" t="s">
        <v>1088</v>
      </c>
    </row>
    <row r="284" customFormat="false" ht="15" hidden="false" customHeight="false" outlineLevel="0" collapsed="false">
      <c r="A284" s="43" t="s">
        <v>62</v>
      </c>
      <c r="B284" s="43" t="n">
        <v>2025</v>
      </c>
      <c r="C284" s="43" t="n">
        <v>6</v>
      </c>
      <c r="D284" s="43" t="s">
        <v>54</v>
      </c>
      <c r="E284" s="43" t="s">
        <v>1083</v>
      </c>
      <c r="F284" s="44" t="n">
        <v>0</v>
      </c>
      <c r="G284" s="43" t="s">
        <v>515</v>
      </c>
      <c r="H284" s="43" t="s">
        <v>1088</v>
      </c>
    </row>
    <row r="285" customFormat="false" ht="15" hidden="false" customHeight="false" outlineLevel="0" collapsed="false">
      <c r="A285" s="43" t="s">
        <v>62</v>
      </c>
      <c r="B285" s="43" t="n">
        <v>2025</v>
      </c>
      <c r="C285" s="43" t="n">
        <v>7</v>
      </c>
      <c r="D285" s="43" t="s">
        <v>55</v>
      </c>
      <c r="E285" s="43" t="s">
        <v>1083</v>
      </c>
      <c r="F285" s="44" t="n">
        <v>0</v>
      </c>
      <c r="G285" s="43" t="s">
        <v>515</v>
      </c>
      <c r="H285" s="43" t="s">
        <v>1088</v>
      </c>
    </row>
    <row r="286" customFormat="false" ht="15" hidden="false" customHeight="false" outlineLevel="0" collapsed="false">
      <c r="A286" s="43" t="s">
        <v>62</v>
      </c>
      <c r="B286" s="43" t="n">
        <v>2025</v>
      </c>
      <c r="C286" s="43" t="n">
        <v>8</v>
      </c>
      <c r="D286" s="43" t="s">
        <v>56</v>
      </c>
      <c r="E286" s="43" t="s">
        <v>1083</v>
      </c>
      <c r="F286" s="44" t="n">
        <v>0</v>
      </c>
      <c r="G286" s="43" t="s">
        <v>515</v>
      </c>
      <c r="H286" s="43" t="s">
        <v>1088</v>
      </c>
    </row>
    <row r="287" customFormat="false" ht="15" hidden="false" customHeight="false" outlineLevel="0" collapsed="false">
      <c r="A287" s="43" t="s">
        <v>62</v>
      </c>
      <c r="B287" s="43" t="n">
        <v>2025</v>
      </c>
      <c r="C287" s="43" t="n">
        <v>9</v>
      </c>
      <c r="D287" s="43" t="s">
        <v>57</v>
      </c>
      <c r="E287" s="43" t="s">
        <v>1083</v>
      </c>
      <c r="F287" s="44" t="n">
        <v>0</v>
      </c>
      <c r="G287" s="43" t="s">
        <v>515</v>
      </c>
      <c r="H287" s="43" t="s">
        <v>1088</v>
      </c>
    </row>
    <row r="288" customFormat="false" ht="15" hidden="false" customHeight="false" outlineLevel="0" collapsed="false">
      <c r="A288" s="43" t="s">
        <v>62</v>
      </c>
      <c r="B288" s="43" t="n">
        <v>2025</v>
      </c>
      <c r="C288" s="43" t="n">
        <v>10</v>
      </c>
      <c r="D288" s="43" t="s">
        <v>58</v>
      </c>
      <c r="E288" s="43" t="s">
        <v>1083</v>
      </c>
      <c r="F288" s="44" t="n">
        <v>0</v>
      </c>
      <c r="G288" s="43" t="s">
        <v>515</v>
      </c>
      <c r="H288" s="43" t="s">
        <v>1088</v>
      </c>
    </row>
    <row r="289" customFormat="false" ht="15" hidden="false" customHeight="false" outlineLevel="0" collapsed="false">
      <c r="A289" s="43" t="s">
        <v>62</v>
      </c>
      <c r="B289" s="43" t="n">
        <v>2025</v>
      </c>
      <c r="C289" s="43" t="n">
        <v>11</v>
      </c>
      <c r="D289" s="43" t="s">
        <v>59</v>
      </c>
      <c r="E289" s="43" t="s">
        <v>1083</v>
      </c>
      <c r="F289" s="44" t="n">
        <v>0</v>
      </c>
      <c r="G289" s="43" t="s">
        <v>515</v>
      </c>
      <c r="H289" s="43" t="s">
        <v>1088</v>
      </c>
    </row>
    <row r="290" customFormat="false" ht="15" hidden="false" customHeight="false" outlineLevel="0" collapsed="false">
      <c r="A290" s="43" t="s">
        <v>62</v>
      </c>
      <c r="B290" s="43" t="n">
        <v>2025</v>
      </c>
      <c r="C290" s="43" t="n">
        <v>12</v>
      </c>
      <c r="D290" s="43" t="s">
        <v>60</v>
      </c>
      <c r="E290" s="43" t="s">
        <v>1083</v>
      </c>
      <c r="F290" s="44" t="n">
        <v>0</v>
      </c>
      <c r="G290" s="43" t="s">
        <v>515</v>
      </c>
      <c r="H290" s="43" t="s">
        <v>1088</v>
      </c>
    </row>
    <row r="291" customFormat="false" ht="15" hidden="false" customHeight="false" outlineLevel="0" collapsed="false">
      <c r="A291" s="43" t="s">
        <v>62</v>
      </c>
      <c r="B291" s="43" t="n">
        <v>2025</v>
      </c>
      <c r="C291" s="43" t="n">
        <v>1</v>
      </c>
      <c r="D291" s="43" t="s">
        <v>49</v>
      </c>
      <c r="E291" s="43" t="s">
        <v>1084</v>
      </c>
      <c r="F291" s="44" t="n">
        <v>13957</v>
      </c>
      <c r="G291" s="43" t="s">
        <v>515</v>
      </c>
      <c r="H291" s="43" t="s">
        <v>1088</v>
      </c>
    </row>
    <row r="292" customFormat="false" ht="15" hidden="false" customHeight="false" outlineLevel="0" collapsed="false">
      <c r="A292" s="43" t="s">
        <v>62</v>
      </c>
      <c r="B292" s="43" t="n">
        <v>2025</v>
      </c>
      <c r="C292" s="43" t="n">
        <v>2</v>
      </c>
      <c r="D292" s="43" t="s">
        <v>50</v>
      </c>
      <c r="E292" s="43" t="s">
        <v>1084</v>
      </c>
      <c r="F292" s="44" t="n">
        <v>15243</v>
      </c>
      <c r="G292" s="43" t="s">
        <v>515</v>
      </c>
      <c r="H292" s="43" t="s">
        <v>1088</v>
      </c>
    </row>
    <row r="293" customFormat="false" ht="15" hidden="false" customHeight="false" outlineLevel="0" collapsed="false">
      <c r="A293" s="43" t="s">
        <v>62</v>
      </c>
      <c r="B293" s="43" t="n">
        <v>2025</v>
      </c>
      <c r="C293" s="43" t="n">
        <v>3</v>
      </c>
      <c r="D293" s="43" t="s">
        <v>51</v>
      </c>
      <c r="E293" s="43" t="s">
        <v>1084</v>
      </c>
      <c r="F293" s="44" t="n">
        <v>7945</v>
      </c>
      <c r="G293" s="43" t="s">
        <v>515</v>
      </c>
      <c r="H293" s="43" t="s">
        <v>1088</v>
      </c>
    </row>
    <row r="294" customFormat="false" ht="15" hidden="false" customHeight="false" outlineLevel="0" collapsed="false">
      <c r="A294" s="43" t="s">
        <v>62</v>
      </c>
      <c r="B294" s="43" t="n">
        <v>2025</v>
      </c>
      <c r="C294" s="43" t="n">
        <v>4</v>
      </c>
      <c r="D294" s="43" t="s">
        <v>52</v>
      </c>
      <c r="E294" s="43" t="s">
        <v>1084</v>
      </c>
      <c r="F294" s="44" t="n">
        <v>26398</v>
      </c>
      <c r="G294" s="43" t="s">
        <v>515</v>
      </c>
      <c r="H294" s="43" t="s">
        <v>1088</v>
      </c>
    </row>
    <row r="295" customFormat="false" ht="15" hidden="false" customHeight="false" outlineLevel="0" collapsed="false">
      <c r="A295" s="43" t="s">
        <v>62</v>
      </c>
      <c r="B295" s="43" t="n">
        <v>2025</v>
      </c>
      <c r="C295" s="43" t="n">
        <v>5</v>
      </c>
      <c r="D295" s="43" t="s">
        <v>53</v>
      </c>
      <c r="E295" s="43" t="s">
        <v>1084</v>
      </c>
      <c r="F295" s="44" t="n">
        <v>9411</v>
      </c>
      <c r="G295" s="43" t="s">
        <v>515</v>
      </c>
      <c r="H295" s="43" t="s">
        <v>1088</v>
      </c>
    </row>
    <row r="296" customFormat="false" ht="15" hidden="false" customHeight="false" outlineLevel="0" collapsed="false">
      <c r="A296" s="43" t="s">
        <v>62</v>
      </c>
      <c r="B296" s="43" t="n">
        <v>2025</v>
      </c>
      <c r="C296" s="43" t="n">
        <v>6</v>
      </c>
      <c r="D296" s="43" t="s">
        <v>54</v>
      </c>
      <c r="E296" s="43" t="s">
        <v>1084</v>
      </c>
      <c r="F296" s="44" t="n">
        <v>12454</v>
      </c>
      <c r="G296" s="43" t="s">
        <v>515</v>
      </c>
      <c r="H296" s="43" t="s">
        <v>1088</v>
      </c>
    </row>
    <row r="297" customFormat="false" ht="15" hidden="false" customHeight="false" outlineLevel="0" collapsed="false">
      <c r="A297" s="43" t="s">
        <v>62</v>
      </c>
      <c r="B297" s="43" t="n">
        <v>2025</v>
      </c>
      <c r="C297" s="43" t="n">
        <v>7</v>
      </c>
      <c r="D297" s="43" t="s">
        <v>55</v>
      </c>
      <c r="E297" s="43" t="s">
        <v>1084</v>
      </c>
      <c r="F297" s="44" t="n">
        <v>18530</v>
      </c>
      <c r="G297" s="43" t="s">
        <v>515</v>
      </c>
      <c r="H297" s="43" t="s">
        <v>1088</v>
      </c>
    </row>
    <row r="298" customFormat="false" ht="15" hidden="false" customHeight="false" outlineLevel="0" collapsed="false">
      <c r="A298" s="43" t="s">
        <v>62</v>
      </c>
      <c r="B298" s="43" t="n">
        <v>2025</v>
      </c>
      <c r="C298" s="43" t="n">
        <v>8</v>
      </c>
      <c r="D298" s="43" t="s">
        <v>56</v>
      </c>
      <c r="E298" s="43" t="s">
        <v>1084</v>
      </c>
      <c r="F298" s="44" t="n">
        <v>27561</v>
      </c>
      <c r="G298" s="43" t="s">
        <v>515</v>
      </c>
      <c r="H298" s="43" t="s">
        <v>1088</v>
      </c>
    </row>
    <row r="299" customFormat="false" ht="15" hidden="false" customHeight="false" outlineLevel="0" collapsed="false">
      <c r="A299" s="43" t="s">
        <v>62</v>
      </c>
      <c r="B299" s="43" t="n">
        <v>2025</v>
      </c>
      <c r="C299" s="43" t="n">
        <v>9</v>
      </c>
      <c r="D299" s="43" t="s">
        <v>57</v>
      </c>
      <c r="E299" s="43" t="s">
        <v>1084</v>
      </c>
      <c r="F299" s="44" t="n">
        <v>21983</v>
      </c>
      <c r="G299" s="43" t="s">
        <v>515</v>
      </c>
      <c r="H299" s="43" t="s">
        <v>1088</v>
      </c>
    </row>
    <row r="300" customFormat="false" ht="15" hidden="false" customHeight="false" outlineLevel="0" collapsed="false">
      <c r="A300" s="43" t="s">
        <v>62</v>
      </c>
      <c r="B300" s="43" t="n">
        <v>2025</v>
      </c>
      <c r="C300" s="43" t="n">
        <v>10</v>
      </c>
      <c r="D300" s="43" t="s">
        <v>58</v>
      </c>
      <c r="E300" s="43" t="s">
        <v>1084</v>
      </c>
      <c r="F300" s="44" t="n">
        <v>67960</v>
      </c>
      <c r="G300" s="43" t="s">
        <v>515</v>
      </c>
      <c r="H300" s="43" t="s">
        <v>1088</v>
      </c>
    </row>
    <row r="301" customFormat="false" ht="15" hidden="false" customHeight="false" outlineLevel="0" collapsed="false">
      <c r="A301" s="43" t="s">
        <v>62</v>
      </c>
      <c r="B301" s="43" t="n">
        <v>2025</v>
      </c>
      <c r="C301" s="43" t="n">
        <v>11</v>
      </c>
      <c r="D301" s="43" t="s">
        <v>59</v>
      </c>
      <c r="E301" s="43" t="s">
        <v>1084</v>
      </c>
      <c r="F301" s="44" t="n">
        <v>58112</v>
      </c>
      <c r="G301" s="43" t="s">
        <v>515</v>
      </c>
      <c r="H301" s="43" t="s">
        <v>1088</v>
      </c>
    </row>
    <row r="302" customFormat="false" ht="15" hidden="false" customHeight="false" outlineLevel="0" collapsed="false">
      <c r="A302" s="43" t="s">
        <v>62</v>
      </c>
      <c r="B302" s="43" t="n">
        <v>2025</v>
      </c>
      <c r="C302" s="43" t="n">
        <v>12</v>
      </c>
      <c r="D302" s="43" t="s">
        <v>60</v>
      </c>
      <c r="E302" s="43" t="s">
        <v>1084</v>
      </c>
      <c r="F302" s="44" t="n">
        <v>95607</v>
      </c>
      <c r="G302" s="43" t="s">
        <v>515</v>
      </c>
      <c r="H302" s="43" t="s">
        <v>1088</v>
      </c>
    </row>
    <row r="303" customFormat="false" ht="15" hidden="false" customHeight="false" outlineLevel="0" collapsed="false">
      <c r="A303" s="43" t="s">
        <v>62</v>
      </c>
      <c r="B303" s="43" t="n">
        <v>2025</v>
      </c>
      <c r="C303" s="43" t="n">
        <v>1</v>
      </c>
      <c r="D303" s="43" t="s">
        <v>49</v>
      </c>
      <c r="E303" s="43" t="s">
        <v>1085</v>
      </c>
      <c r="F303" s="44" t="n">
        <v>0</v>
      </c>
      <c r="G303" s="43" t="s">
        <v>515</v>
      </c>
      <c r="H303" s="43" t="s">
        <v>1088</v>
      </c>
    </row>
    <row r="304" customFormat="false" ht="15" hidden="false" customHeight="false" outlineLevel="0" collapsed="false">
      <c r="A304" s="43" t="s">
        <v>62</v>
      </c>
      <c r="B304" s="43" t="n">
        <v>2025</v>
      </c>
      <c r="C304" s="43" t="n">
        <v>2</v>
      </c>
      <c r="D304" s="43" t="s">
        <v>50</v>
      </c>
      <c r="E304" s="43" t="s">
        <v>1085</v>
      </c>
      <c r="F304" s="44" t="n">
        <v>0</v>
      </c>
      <c r="G304" s="43" t="s">
        <v>515</v>
      </c>
      <c r="H304" s="43" t="s">
        <v>1088</v>
      </c>
    </row>
    <row r="305" customFormat="false" ht="15" hidden="false" customHeight="false" outlineLevel="0" collapsed="false">
      <c r="A305" s="43" t="s">
        <v>62</v>
      </c>
      <c r="B305" s="43" t="n">
        <v>2025</v>
      </c>
      <c r="C305" s="43" t="n">
        <v>3</v>
      </c>
      <c r="D305" s="43" t="s">
        <v>51</v>
      </c>
      <c r="E305" s="43" t="s">
        <v>1085</v>
      </c>
      <c r="F305" s="44" t="n">
        <v>0</v>
      </c>
      <c r="G305" s="43" t="s">
        <v>515</v>
      </c>
      <c r="H305" s="43" t="s">
        <v>1088</v>
      </c>
    </row>
    <row r="306" customFormat="false" ht="15" hidden="false" customHeight="false" outlineLevel="0" collapsed="false">
      <c r="A306" s="43" t="s">
        <v>62</v>
      </c>
      <c r="B306" s="43" t="n">
        <v>2025</v>
      </c>
      <c r="C306" s="43" t="n">
        <v>4</v>
      </c>
      <c r="D306" s="43" t="s">
        <v>52</v>
      </c>
      <c r="E306" s="43" t="s">
        <v>1085</v>
      </c>
      <c r="F306" s="44" t="n">
        <v>0</v>
      </c>
      <c r="G306" s="43" t="s">
        <v>515</v>
      </c>
      <c r="H306" s="43" t="s">
        <v>1088</v>
      </c>
    </row>
    <row r="307" customFormat="false" ht="15" hidden="false" customHeight="false" outlineLevel="0" collapsed="false">
      <c r="A307" s="43" t="s">
        <v>62</v>
      </c>
      <c r="B307" s="43" t="n">
        <v>2025</v>
      </c>
      <c r="C307" s="43" t="n">
        <v>5</v>
      </c>
      <c r="D307" s="43" t="s">
        <v>53</v>
      </c>
      <c r="E307" s="43" t="s">
        <v>1085</v>
      </c>
      <c r="F307" s="44" t="n">
        <v>133710</v>
      </c>
      <c r="G307" s="43" t="s">
        <v>515</v>
      </c>
      <c r="H307" s="43" t="s">
        <v>1088</v>
      </c>
    </row>
    <row r="308" customFormat="false" ht="15" hidden="false" customHeight="false" outlineLevel="0" collapsed="false">
      <c r="A308" s="43" t="s">
        <v>62</v>
      </c>
      <c r="B308" s="43" t="n">
        <v>2025</v>
      </c>
      <c r="C308" s="43" t="n">
        <v>6</v>
      </c>
      <c r="D308" s="43" t="s">
        <v>54</v>
      </c>
      <c r="E308" s="43" t="s">
        <v>1085</v>
      </c>
      <c r="F308" s="44" t="n">
        <v>0</v>
      </c>
      <c r="G308" s="43" t="s">
        <v>515</v>
      </c>
      <c r="H308" s="43" t="s">
        <v>1088</v>
      </c>
    </row>
    <row r="309" customFormat="false" ht="15" hidden="false" customHeight="false" outlineLevel="0" collapsed="false">
      <c r="A309" s="43" t="s">
        <v>62</v>
      </c>
      <c r="B309" s="43" t="n">
        <v>2025</v>
      </c>
      <c r="C309" s="43" t="n">
        <v>7</v>
      </c>
      <c r="D309" s="43" t="s">
        <v>55</v>
      </c>
      <c r="E309" s="43" t="s">
        <v>1085</v>
      </c>
      <c r="F309" s="44" t="n">
        <v>0</v>
      </c>
      <c r="G309" s="43" t="s">
        <v>515</v>
      </c>
      <c r="H309" s="43" t="s">
        <v>1088</v>
      </c>
    </row>
    <row r="310" customFormat="false" ht="15" hidden="false" customHeight="false" outlineLevel="0" collapsed="false">
      <c r="A310" s="43" t="s">
        <v>62</v>
      </c>
      <c r="B310" s="43" t="n">
        <v>2025</v>
      </c>
      <c r="C310" s="43" t="n">
        <v>8</v>
      </c>
      <c r="D310" s="43" t="s">
        <v>56</v>
      </c>
      <c r="E310" s="43" t="s">
        <v>1085</v>
      </c>
      <c r="F310" s="44" t="n">
        <v>0</v>
      </c>
      <c r="G310" s="43" t="s">
        <v>515</v>
      </c>
      <c r="H310" s="43" t="s">
        <v>1088</v>
      </c>
    </row>
    <row r="311" customFormat="false" ht="15" hidden="false" customHeight="false" outlineLevel="0" collapsed="false">
      <c r="A311" s="43" t="s">
        <v>62</v>
      </c>
      <c r="B311" s="43" t="n">
        <v>2025</v>
      </c>
      <c r="C311" s="43" t="n">
        <v>9</v>
      </c>
      <c r="D311" s="43" t="s">
        <v>57</v>
      </c>
      <c r="E311" s="43" t="s">
        <v>1085</v>
      </c>
      <c r="F311" s="44" t="n">
        <v>0</v>
      </c>
      <c r="G311" s="43" t="s">
        <v>515</v>
      </c>
      <c r="H311" s="43" t="s">
        <v>1088</v>
      </c>
    </row>
    <row r="312" customFormat="false" ht="15" hidden="false" customHeight="false" outlineLevel="0" collapsed="false">
      <c r="A312" s="43" t="s">
        <v>62</v>
      </c>
      <c r="B312" s="43" t="n">
        <v>2025</v>
      </c>
      <c r="C312" s="43" t="n">
        <v>10</v>
      </c>
      <c r="D312" s="43" t="s">
        <v>58</v>
      </c>
      <c r="E312" s="43" t="s">
        <v>1085</v>
      </c>
      <c r="F312" s="44" t="n">
        <v>0</v>
      </c>
      <c r="G312" s="43" t="s">
        <v>515</v>
      </c>
      <c r="H312" s="43" t="s">
        <v>1088</v>
      </c>
    </row>
    <row r="313" customFormat="false" ht="15" hidden="false" customHeight="false" outlineLevel="0" collapsed="false">
      <c r="A313" s="43" t="s">
        <v>62</v>
      </c>
      <c r="B313" s="43" t="n">
        <v>2025</v>
      </c>
      <c r="C313" s="43" t="n">
        <v>11</v>
      </c>
      <c r="D313" s="43" t="s">
        <v>59</v>
      </c>
      <c r="E313" s="43" t="s">
        <v>1085</v>
      </c>
      <c r="F313" s="44" t="n">
        <v>278213</v>
      </c>
      <c r="G313" s="43" t="s">
        <v>515</v>
      </c>
      <c r="H313" s="43" t="s">
        <v>1088</v>
      </c>
    </row>
    <row r="314" customFormat="false" ht="15" hidden="false" customHeight="false" outlineLevel="0" collapsed="false">
      <c r="A314" s="43" t="s">
        <v>62</v>
      </c>
      <c r="B314" s="43" t="n">
        <v>2025</v>
      </c>
      <c r="C314" s="43" t="n">
        <v>12</v>
      </c>
      <c r="D314" s="43" t="s">
        <v>60</v>
      </c>
      <c r="E314" s="43" t="s">
        <v>1085</v>
      </c>
      <c r="F314" s="44" t="n">
        <v>0</v>
      </c>
      <c r="G314" s="43" t="s">
        <v>515</v>
      </c>
      <c r="H314" s="43" t="s">
        <v>1088</v>
      </c>
    </row>
    <row r="315" customFormat="false" ht="15" hidden="false" customHeight="false" outlineLevel="0" collapsed="false">
      <c r="A315" s="43" t="s">
        <v>62</v>
      </c>
      <c r="B315" s="43" t="n">
        <v>2025</v>
      </c>
      <c r="C315" s="43" t="n">
        <v>1</v>
      </c>
      <c r="D315" s="43" t="s">
        <v>49</v>
      </c>
      <c r="E315" s="43" t="s">
        <v>1086</v>
      </c>
      <c r="F315" s="44" t="n">
        <v>51910</v>
      </c>
      <c r="G315" s="43" t="s">
        <v>515</v>
      </c>
      <c r="H315" s="43" t="s">
        <v>1088</v>
      </c>
    </row>
    <row r="316" customFormat="false" ht="15" hidden="false" customHeight="false" outlineLevel="0" collapsed="false">
      <c r="A316" s="43" t="s">
        <v>62</v>
      </c>
      <c r="B316" s="43" t="n">
        <v>2025</v>
      </c>
      <c r="C316" s="43" t="n">
        <v>2</v>
      </c>
      <c r="D316" s="43" t="s">
        <v>50</v>
      </c>
      <c r="E316" s="43" t="s">
        <v>1086</v>
      </c>
      <c r="F316" s="44" t="n">
        <v>16991</v>
      </c>
      <c r="G316" s="43" t="s">
        <v>515</v>
      </c>
      <c r="H316" s="43" t="s">
        <v>1088</v>
      </c>
    </row>
    <row r="317" customFormat="false" ht="15" hidden="false" customHeight="false" outlineLevel="0" collapsed="false">
      <c r="A317" s="43" t="s">
        <v>62</v>
      </c>
      <c r="B317" s="43" t="n">
        <v>2025</v>
      </c>
      <c r="C317" s="43" t="n">
        <v>3</v>
      </c>
      <c r="D317" s="43" t="s">
        <v>51</v>
      </c>
      <c r="E317" s="43" t="s">
        <v>1086</v>
      </c>
      <c r="F317" s="44" t="n">
        <v>61952</v>
      </c>
      <c r="G317" s="43" t="s">
        <v>515</v>
      </c>
      <c r="H317" s="43" t="s">
        <v>1088</v>
      </c>
    </row>
    <row r="318" customFormat="false" ht="15" hidden="false" customHeight="false" outlineLevel="0" collapsed="false">
      <c r="A318" s="43" t="s">
        <v>62</v>
      </c>
      <c r="B318" s="43" t="n">
        <v>2025</v>
      </c>
      <c r="C318" s="43" t="n">
        <v>4</v>
      </c>
      <c r="D318" s="43" t="s">
        <v>52</v>
      </c>
      <c r="E318" s="43" t="s">
        <v>1086</v>
      </c>
      <c r="F318" s="44" t="n">
        <v>18807.3</v>
      </c>
      <c r="G318" s="43" t="s">
        <v>515</v>
      </c>
      <c r="H318" s="43" t="s">
        <v>1088</v>
      </c>
    </row>
    <row r="319" customFormat="false" ht="15" hidden="false" customHeight="false" outlineLevel="0" collapsed="false">
      <c r="A319" s="43" t="s">
        <v>62</v>
      </c>
      <c r="B319" s="43" t="n">
        <v>2025</v>
      </c>
      <c r="C319" s="43" t="n">
        <v>5</v>
      </c>
      <c r="D319" s="43" t="s">
        <v>53</v>
      </c>
      <c r="E319" s="43" t="s">
        <v>1086</v>
      </c>
      <c r="F319" s="44" t="n">
        <v>-137850</v>
      </c>
      <c r="G319" s="43" t="s">
        <v>515</v>
      </c>
      <c r="H319" s="43" t="s">
        <v>1088</v>
      </c>
    </row>
    <row r="320" customFormat="false" ht="15" hidden="false" customHeight="false" outlineLevel="0" collapsed="false">
      <c r="A320" s="43" t="s">
        <v>62</v>
      </c>
      <c r="B320" s="43" t="n">
        <v>2025</v>
      </c>
      <c r="C320" s="43" t="n">
        <v>6</v>
      </c>
      <c r="D320" s="43" t="s">
        <v>54</v>
      </c>
      <c r="E320" s="43" t="s">
        <v>1086</v>
      </c>
      <c r="F320" s="44" t="n">
        <v>-22177</v>
      </c>
      <c r="G320" s="43" t="s">
        <v>515</v>
      </c>
      <c r="H320" s="43" t="s">
        <v>1088</v>
      </c>
    </row>
    <row r="321" customFormat="false" ht="15" hidden="false" customHeight="false" outlineLevel="0" collapsed="false">
      <c r="A321" s="43" t="s">
        <v>62</v>
      </c>
      <c r="B321" s="43" t="n">
        <v>2025</v>
      </c>
      <c r="C321" s="43" t="n">
        <v>7</v>
      </c>
      <c r="D321" s="43" t="s">
        <v>55</v>
      </c>
      <c r="E321" s="43" t="s">
        <v>1086</v>
      </c>
      <c r="F321" s="44" t="n">
        <v>-1832</v>
      </c>
      <c r="G321" s="43" t="s">
        <v>515</v>
      </c>
      <c r="H321" s="43" t="s">
        <v>1088</v>
      </c>
    </row>
    <row r="322" customFormat="false" ht="15" hidden="false" customHeight="false" outlineLevel="0" collapsed="false">
      <c r="A322" s="43" t="s">
        <v>62</v>
      </c>
      <c r="B322" s="43" t="n">
        <v>2025</v>
      </c>
      <c r="C322" s="43" t="n">
        <v>8</v>
      </c>
      <c r="D322" s="43" t="s">
        <v>56</v>
      </c>
      <c r="E322" s="43" t="s">
        <v>1086</v>
      </c>
      <c r="F322" s="44" t="n">
        <v>70616</v>
      </c>
      <c r="G322" s="43" t="s">
        <v>515</v>
      </c>
      <c r="H322" s="43" t="s">
        <v>1088</v>
      </c>
    </row>
    <row r="323" customFormat="false" ht="15" hidden="false" customHeight="false" outlineLevel="0" collapsed="false">
      <c r="A323" s="43" t="s">
        <v>62</v>
      </c>
      <c r="B323" s="43" t="n">
        <v>2025</v>
      </c>
      <c r="C323" s="43" t="n">
        <v>9</v>
      </c>
      <c r="D323" s="43" t="s">
        <v>57</v>
      </c>
      <c r="E323" s="43" t="s">
        <v>1086</v>
      </c>
      <c r="F323" s="44" t="n">
        <v>104282</v>
      </c>
      <c r="G323" s="43" t="s">
        <v>515</v>
      </c>
      <c r="H323" s="43" t="s">
        <v>1088</v>
      </c>
    </row>
    <row r="324" customFormat="false" ht="15" hidden="false" customHeight="false" outlineLevel="0" collapsed="false">
      <c r="A324" s="43" t="s">
        <v>62</v>
      </c>
      <c r="B324" s="43" t="n">
        <v>2025</v>
      </c>
      <c r="C324" s="43" t="n">
        <v>10</v>
      </c>
      <c r="D324" s="43" t="s">
        <v>58</v>
      </c>
      <c r="E324" s="43" t="s">
        <v>1086</v>
      </c>
      <c r="F324" s="44" t="n">
        <v>244856</v>
      </c>
      <c r="G324" s="43" t="s">
        <v>515</v>
      </c>
      <c r="H324" s="43" t="s">
        <v>1088</v>
      </c>
    </row>
    <row r="325" customFormat="false" ht="15" hidden="false" customHeight="false" outlineLevel="0" collapsed="false">
      <c r="A325" s="43" t="s">
        <v>62</v>
      </c>
      <c r="B325" s="43" t="n">
        <v>2025</v>
      </c>
      <c r="C325" s="43" t="n">
        <v>11</v>
      </c>
      <c r="D325" s="43" t="s">
        <v>59</v>
      </c>
      <c r="E325" s="43" t="s">
        <v>1086</v>
      </c>
      <c r="F325" s="44" t="n">
        <v>-143071</v>
      </c>
      <c r="G325" s="43" t="s">
        <v>515</v>
      </c>
      <c r="H325" s="43" t="s">
        <v>1088</v>
      </c>
    </row>
    <row r="326" customFormat="false" ht="15" hidden="false" customHeight="false" outlineLevel="0" collapsed="false">
      <c r="A326" s="43" t="s">
        <v>62</v>
      </c>
      <c r="B326" s="43" t="n">
        <v>2025</v>
      </c>
      <c r="C326" s="43" t="n">
        <v>12</v>
      </c>
      <c r="D326" s="43" t="s">
        <v>60</v>
      </c>
      <c r="E326" s="43" t="s">
        <v>1086</v>
      </c>
      <c r="F326" s="44" t="n">
        <v>105508.51</v>
      </c>
      <c r="G326" s="43" t="s">
        <v>515</v>
      </c>
      <c r="H326" s="43" t="s">
        <v>1088</v>
      </c>
    </row>
    <row r="327" customFormat="false" ht="15" hidden="false" customHeight="false" outlineLevel="0" collapsed="false">
      <c r="A327" s="43" t="s">
        <v>63</v>
      </c>
      <c r="B327" s="43" t="n">
        <v>2025</v>
      </c>
      <c r="C327" s="43" t="n">
        <v>1</v>
      </c>
      <c r="D327" s="43" t="s">
        <v>49</v>
      </c>
      <c r="E327" s="43" t="s">
        <v>214</v>
      </c>
      <c r="F327" s="44" t="n">
        <v>55345</v>
      </c>
      <c r="G327" s="43" t="s">
        <v>515</v>
      </c>
      <c r="H327" s="43" t="s">
        <v>1089</v>
      </c>
    </row>
    <row r="328" customFormat="false" ht="15" hidden="false" customHeight="false" outlineLevel="0" collapsed="false">
      <c r="A328" s="43" t="s">
        <v>63</v>
      </c>
      <c r="B328" s="43" t="n">
        <v>2025</v>
      </c>
      <c r="C328" s="43" t="n">
        <v>2</v>
      </c>
      <c r="D328" s="43" t="s">
        <v>50</v>
      </c>
      <c r="E328" s="43" t="s">
        <v>214</v>
      </c>
      <c r="F328" s="44" t="n">
        <v>205783</v>
      </c>
      <c r="G328" s="43" t="s">
        <v>515</v>
      </c>
      <c r="H328" s="43" t="s">
        <v>1089</v>
      </c>
    </row>
    <row r="329" customFormat="false" ht="15" hidden="false" customHeight="false" outlineLevel="0" collapsed="false">
      <c r="A329" s="43" t="s">
        <v>63</v>
      </c>
      <c r="B329" s="43" t="n">
        <v>2025</v>
      </c>
      <c r="C329" s="43" t="n">
        <v>3</v>
      </c>
      <c r="D329" s="43" t="s">
        <v>51</v>
      </c>
      <c r="E329" s="43" t="s">
        <v>214</v>
      </c>
      <c r="F329" s="44" t="n">
        <v>447223.21</v>
      </c>
      <c r="G329" s="43" t="s">
        <v>515</v>
      </c>
      <c r="H329" s="43" t="s">
        <v>1089</v>
      </c>
    </row>
    <row r="330" customFormat="false" ht="15" hidden="false" customHeight="false" outlineLevel="0" collapsed="false">
      <c r="A330" s="43" t="s">
        <v>63</v>
      </c>
      <c r="B330" s="43" t="n">
        <v>2025</v>
      </c>
      <c r="C330" s="43" t="n">
        <v>4</v>
      </c>
      <c r="D330" s="43" t="s">
        <v>52</v>
      </c>
      <c r="E330" s="43" t="s">
        <v>214</v>
      </c>
      <c r="F330" s="44" t="n">
        <v>530021.21</v>
      </c>
      <c r="G330" s="43" t="s">
        <v>515</v>
      </c>
      <c r="H330" s="43" t="s">
        <v>1089</v>
      </c>
    </row>
    <row r="331" customFormat="false" ht="15" hidden="false" customHeight="false" outlineLevel="0" collapsed="false">
      <c r="A331" s="43" t="s">
        <v>63</v>
      </c>
      <c r="B331" s="43" t="n">
        <v>2025</v>
      </c>
      <c r="C331" s="43" t="n">
        <v>5</v>
      </c>
      <c r="D331" s="43" t="s">
        <v>53</v>
      </c>
      <c r="E331" s="43" t="s">
        <v>214</v>
      </c>
      <c r="F331" s="44" t="n">
        <v>689323.21</v>
      </c>
      <c r="G331" s="43" t="s">
        <v>515</v>
      </c>
      <c r="H331" s="43" t="s">
        <v>1089</v>
      </c>
    </row>
    <row r="332" customFormat="false" ht="15" hidden="false" customHeight="false" outlineLevel="0" collapsed="false">
      <c r="A332" s="43" t="s">
        <v>63</v>
      </c>
      <c r="B332" s="43" t="n">
        <v>2025</v>
      </c>
      <c r="C332" s="43" t="n">
        <v>6</v>
      </c>
      <c r="D332" s="43" t="s">
        <v>54</v>
      </c>
      <c r="E332" s="43" t="s">
        <v>214</v>
      </c>
      <c r="F332" s="44" t="n">
        <v>554889.21</v>
      </c>
      <c r="G332" s="43" t="s">
        <v>515</v>
      </c>
      <c r="H332" s="43" t="s">
        <v>1089</v>
      </c>
    </row>
    <row r="333" customFormat="false" ht="15" hidden="false" customHeight="false" outlineLevel="0" collapsed="false">
      <c r="A333" s="43" t="s">
        <v>63</v>
      </c>
      <c r="B333" s="43" t="n">
        <v>2025</v>
      </c>
      <c r="C333" s="43" t="n">
        <v>7</v>
      </c>
      <c r="D333" s="43" t="s">
        <v>55</v>
      </c>
      <c r="E333" s="43" t="s">
        <v>214</v>
      </c>
      <c r="F333" s="44" t="n">
        <v>612507.21</v>
      </c>
      <c r="G333" s="43" t="s">
        <v>515</v>
      </c>
      <c r="H333" s="43" t="s">
        <v>1089</v>
      </c>
    </row>
    <row r="334" customFormat="false" ht="15" hidden="false" customHeight="false" outlineLevel="0" collapsed="false">
      <c r="A334" s="43" t="s">
        <v>63</v>
      </c>
      <c r="B334" s="43" t="n">
        <v>2025</v>
      </c>
      <c r="C334" s="43" t="n">
        <v>8</v>
      </c>
      <c r="D334" s="43" t="s">
        <v>56</v>
      </c>
      <c r="E334" s="43" t="s">
        <v>214</v>
      </c>
      <c r="F334" s="44" t="n">
        <v>602490.21</v>
      </c>
      <c r="G334" s="43" t="s">
        <v>515</v>
      </c>
      <c r="H334" s="43" t="s">
        <v>1089</v>
      </c>
    </row>
    <row r="335" customFormat="false" ht="15" hidden="false" customHeight="false" outlineLevel="0" collapsed="false">
      <c r="A335" s="43" t="s">
        <v>63</v>
      </c>
      <c r="B335" s="43" t="n">
        <v>2025</v>
      </c>
      <c r="C335" s="43" t="n">
        <v>9</v>
      </c>
      <c r="D335" s="43" t="s">
        <v>57</v>
      </c>
      <c r="E335" s="43" t="s">
        <v>214</v>
      </c>
      <c r="F335" s="44" t="n">
        <v>621475.21</v>
      </c>
      <c r="G335" s="43" t="s">
        <v>515</v>
      </c>
      <c r="H335" s="43" t="s">
        <v>1089</v>
      </c>
    </row>
    <row r="336" customFormat="false" ht="15" hidden="false" customHeight="false" outlineLevel="0" collapsed="false">
      <c r="A336" s="43" t="s">
        <v>63</v>
      </c>
      <c r="B336" s="43" t="n">
        <v>2025</v>
      </c>
      <c r="C336" s="43" t="n">
        <v>10</v>
      </c>
      <c r="D336" s="43" t="s">
        <v>58</v>
      </c>
      <c r="E336" s="43" t="s">
        <v>214</v>
      </c>
      <c r="F336" s="44" t="n">
        <v>620475.21</v>
      </c>
      <c r="G336" s="43" t="s">
        <v>515</v>
      </c>
      <c r="H336" s="43" t="s">
        <v>1089</v>
      </c>
    </row>
    <row r="337" customFormat="false" ht="15" hidden="false" customHeight="false" outlineLevel="0" collapsed="false">
      <c r="A337" s="43" t="s">
        <v>63</v>
      </c>
      <c r="B337" s="43" t="n">
        <v>2025</v>
      </c>
      <c r="C337" s="43" t="n">
        <v>11</v>
      </c>
      <c r="D337" s="43" t="s">
        <v>59</v>
      </c>
      <c r="E337" s="43" t="s">
        <v>214</v>
      </c>
      <c r="F337" s="44" t="n">
        <v>466310.21</v>
      </c>
      <c r="G337" s="43" t="s">
        <v>515</v>
      </c>
      <c r="H337" s="43" t="s">
        <v>1089</v>
      </c>
    </row>
    <row r="338" customFormat="false" ht="15" hidden="false" customHeight="false" outlineLevel="0" collapsed="false">
      <c r="A338" s="43" t="s">
        <v>63</v>
      </c>
      <c r="B338" s="43" t="n">
        <v>2025</v>
      </c>
      <c r="C338" s="43" t="n">
        <v>12</v>
      </c>
      <c r="D338" s="43" t="s">
        <v>60</v>
      </c>
      <c r="E338" s="43" t="s">
        <v>214</v>
      </c>
      <c r="F338" s="44" t="n">
        <v>458902.21</v>
      </c>
      <c r="G338" s="43" t="s">
        <v>515</v>
      </c>
      <c r="H338" s="43" t="s">
        <v>1089</v>
      </c>
    </row>
    <row r="339" customFormat="false" ht="15" hidden="false" customHeight="false" outlineLevel="0" collapsed="false">
      <c r="A339" s="43" t="s">
        <v>63</v>
      </c>
      <c r="B339" s="43" t="n">
        <v>2025</v>
      </c>
      <c r="C339" s="43" t="n">
        <v>1</v>
      </c>
      <c r="D339" s="43" t="s">
        <v>49</v>
      </c>
      <c r="E339" s="43" t="s">
        <v>1079</v>
      </c>
      <c r="F339" s="44" t="n">
        <v>150453</v>
      </c>
      <c r="G339" s="43" t="s">
        <v>515</v>
      </c>
      <c r="H339" s="43" t="s">
        <v>1089</v>
      </c>
    </row>
    <row r="340" customFormat="false" ht="15" hidden="false" customHeight="false" outlineLevel="0" collapsed="false">
      <c r="A340" s="43" t="s">
        <v>63</v>
      </c>
      <c r="B340" s="43" t="n">
        <v>2025</v>
      </c>
      <c r="C340" s="43" t="n">
        <v>2</v>
      </c>
      <c r="D340" s="43" t="s">
        <v>50</v>
      </c>
      <c r="E340" s="43" t="s">
        <v>1079</v>
      </c>
      <c r="F340" s="44" t="n">
        <v>243465.21</v>
      </c>
      <c r="G340" s="43" t="s">
        <v>515</v>
      </c>
      <c r="H340" s="43" t="s">
        <v>1089</v>
      </c>
    </row>
    <row r="341" customFormat="false" ht="15" hidden="false" customHeight="false" outlineLevel="0" collapsed="false">
      <c r="A341" s="43" t="s">
        <v>63</v>
      </c>
      <c r="B341" s="43" t="n">
        <v>2025</v>
      </c>
      <c r="C341" s="43" t="n">
        <v>3</v>
      </c>
      <c r="D341" s="43" t="s">
        <v>51</v>
      </c>
      <c r="E341" s="43" t="s">
        <v>1079</v>
      </c>
      <c r="F341" s="44" t="n">
        <v>141526</v>
      </c>
      <c r="G341" s="43" t="s">
        <v>515</v>
      </c>
      <c r="H341" s="43" t="s">
        <v>1089</v>
      </c>
    </row>
    <row r="342" customFormat="false" ht="15" hidden="false" customHeight="false" outlineLevel="0" collapsed="false">
      <c r="A342" s="43" t="s">
        <v>63</v>
      </c>
      <c r="B342" s="43" t="n">
        <v>2025</v>
      </c>
      <c r="C342" s="43" t="n">
        <v>4</v>
      </c>
      <c r="D342" s="43" t="s">
        <v>52</v>
      </c>
      <c r="E342" s="43" t="s">
        <v>1079</v>
      </c>
      <c r="F342" s="44" t="n">
        <v>169200</v>
      </c>
      <c r="G342" s="43" t="s">
        <v>515</v>
      </c>
      <c r="H342" s="43" t="s">
        <v>1089</v>
      </c>
    </row>
    <row r="343" customFormat="false" ht="15" hidden="false" customHeight="false" outlineLevel="0" collapsed="false">
      <c r="A343" s="43" t="s">
        <v>63</v>
      </c>
      <c r="B343" s="43" t="n">
        <v>2025</v>
      </c>
      <c r="C343" s="43" t="n">
        <v>5</v>
      </c>
      <c r="D343" s="43" t="s">
        <v>53</v>
      </c>
      <c r="E343" s="43" t="s">
        <v>1079</v>
      </c>
      <c r="F343" s="44" t="n">
        <v>195090</v>
      </c>
      <c r="G343" s="43" t="s">
        <v>515</v>
      </c>
      <c r="H343" s="43" t="s">
        <v>1089</v>
      </c>
    </row>
    <row r="344" customFormat="false" ht="15" hidden="false" customHeight="false" outlineLevel="0" collapsed="false">
      <c r="A344" s="43" t="s">
        <v>63</v>
      </c>
      <c r="B344" s="43" t="n">
        <v>2025</v>
      </c>
      <c r="C344" s="43" t="n">
        <v>6</v>
      </c>
      <c r="D344" s="43" t="s">
        <v>54</v>
      </c>
      <c r="E344" s="43" t="s">
        <v>1079</v>
      </c>
      <c r="F344" s="44" t="n">
        <v>61796</v>
      </c>
      <c r="G344" s="43" t="s">
        <v>515</v>
      </c>
      <c r="H344" s="43" t="s">
        <v>1089</v>
      </c>
    </row>
    <row r="345" customFormat="false" ht="15" hidden="false" customHeight="false" outlineLevel="0" collapsed="false">
      <c r="A345" s="43" t="s">
        <v>63</v>
      </c>
      <c r="B345" s="43" t="n">
        <v>2025</v>
      </c>
      <c r="C345" s="43" t="n">
        <v>7</v>
      </c>
      <c r="D345" s="43" t="s">
        <v>55</v>
      </c>
      <c r="E345" s="43" t="s">
        <v>1079</v>
      </c>
      <c r="F345" s="44" t="n">
        <v>0</v>
      </c>
      <c r="G345" s="43" t="s">
        <v>515</v>
      </c>
      <c r="H345" s="43" t="s">
        <v>1089</v>
      </c>
    </row>
    <row r="346" customFormat="false" ht="15" hidden="false" customHeight="false" outlineLevel="0" collapsed="false">
      <c r="A346" s="43" t="s">
        <v>63</v>
      </c>
      <c r="B346" s="43" t="n">
        <v>2025</v>
      </c>
      <c r="C346" s="43" t="n">
        <v>8</v>
      </c>
      <c r="D346" s="43" t="s">
        <v>56</v>
      </c>
      <c r="E346" s="43" t="s">
        <v>1079</v>
      </c>
      <c r="F346" s="44" t="n">
        <v>20000</v>
      </c>
      <c r="G346" s="43" t="s">
        <v>515</v>
      </c>
      <c r="H346" s="43" t="s">
        <v>1089</v>
      </c>
    </row>
    <row r="347" customFormat="false" ht="15" hidden="false" customHeight="false" outlineLevel="0" collapsed="false">
      <c r="A347" s="43" t="s">
        <v>63</v>
      </c>
      <c r="B347" s="43" t="n">
        <v>2025</v>
      </c>
      <c r="C347" s="43" t="n">
        <v>9</v>
      </c>
      <c r="D347" s="43" t="s">
        <v>57</v>
      </c>
      <c r="E347" s="43" t="s">
        <v>1079</v>
      </c>
      <c r="F347" s="44" t="n">
        <v>0</v>
      </c>
      <c r="G347" s="43" t="s">
        <v>515</v>
      </c>
      <c r="H347" s="43" t="s">
        <v>1089</v>
      </c>
    </row>
    <row r="348" customFormat="false" ht="15" hidden="false" customHeight="false" outlineLevel="0" collapsed="false">
      <c r="A348" s="43" t="s">
        <v>63</v>
      </c>
      <c r="B348" s="43" t="n">
        <v>2025</v>
      </c>
      <c r="C348" s="43" t="n">
        <v>10</v>
      </c>
      <c r="D348" s="43" t="s">
        <v>58</v>
      </c>
      <c r="E348" s="43" t="s">
        <v>1079</v>
      </c>
      <c r="F348" s="44" t="n">
        <v>45000</v>
      </c>
      <c r="G348" s="43" t="s">
        <v>515</v>
      </c>
      <c r="H348" s="43" t="s">
        <v>1089</v>
      </c>
    </row>
    <row r="349" customFormat="false" ht="15" hidden="false" customHeight="false" outlineLevel="0" collapsed="false">
      <c r="A349" s="43" t="s">
        <v>63</v>
      </c>
      <c r="B349" s="43" t="n">
        <v>2025</v>
      </c>
      <c r="C349" s="43" t="n">
        <v>11</v>
      </c>
      <c r="D349" s="43" t="s">
        <v>59</v>
      </c>
      <c r="E349" s="43" t="s">
        <v>1079</v>
      </c>
      <c r="F349" s="44" t="n">
        <v>0</v>
      </c>
      <c r="G349" s="43" t="s">
        <v>515</v>
      </c>
      <c r="H349" s="43" t="s">
        <v>1089</v>
      </c>
    </row>
    <row r="350" customFormat="false" ht="15" hidden="false" customHeight="false" outlineLevel="0" collapsed="false">
      <c r="A350" s="43" t="s">
        <v>63</v>
      </c>
      <c r="B350" s="43" t="n">
        <v>2025</v>
      </c>
      <c r="C350" s="43" t="n">
        <v>12</v>
      </c>
      <c r="D350" s="43" t="s">
        <v>60</v>
      </c>
      <c r="E350" s="43" t="s">
        <v>1079</v>
      </c>
      <c r="F350" s="44" t="n">
        <v>178785</v>
      </c>
      <c r="G350" s="43" t="s">
        <v>515</v>
      </c>
      <c r="H350" s="43" t="s">
        <v>1089</v>
      </c>
    </row>
    <row r="351" customFormat="false" ht="15" hidden="false" customHeight="false" outlineLevel="0" collapsed="false">
      <c r="A351" s="43" t="s">
        <v>63</v>
      </c>
      <c r="B351" s="43" t="n">
        <v>2025</v>
      </c>
      <c r="C351" s="43" t="n">
        <v>1</v>
      </c>
      <c r="D351" s="43" t="s">
        <v>49</v>
      </c>
      <c r="E351" s="43" t="s">
        <v>1080</v>
      </c>
      <c r="F351" s="44" t="n">
        <v>0</v>
      </c>
      <c r="G351" s="43" t="s">
        <v>515</v>
      </c>
      <c r="H351" s="43" t="s">
        <v>1089</v>
      </c>
    </row>
    <row r="352" customFormat="false" ht="15" hidden="false" customHeight="false" outlineLevel="0" collapsed="false">
      <c r="A352" s="43" t="s">
        <v>63</v>
      </c>
      <c r="B352" s="43" t="n">
        <v>2025</v>
      </c>
      <c r="C352" s="43" t="n">
        <v>2</v>
      </c>
      <c r="D352" s="43" t="s">
        <v>50</v>
      </c>
      <c r="E352" s="43" t="s">
        <v>1080</v>
      </c>
      <c r="F352" s="44" t="n">
        <v>0</v>
      </c>
      <c r="G352" s="43" t="s">
        <v>515</v>
      </c>
      <c r="H352" s="43" t="s">
        <v>1089</v>
      </c>
    </row>
    <row r="353" customFormat="false" ht="15" hidden="false" customHeight="false" outlineLevel="0" collapsed="false">
      <c r="A353" s="43" t="s">
        <v>63</v>
      </c>
      <c r="B353" s="43" t="n">
        <v>2025</v>
      </c>
      <c r="C353" s="43" t="n">
        <v>3</v>
      </c>
      <c r="D353" s="43" t="s">
        <v>51</v>
      </c>
      <c r="E353" s="43" t="s">
        <v>1080</v>
      </c>
      <c r="F353" s="44" t="n">
        <v>0</v>
      </c>
      <c r="G353" s="43" t="s">
        <v>515</v>
      </c>
      <c r="H353" s="43" t="s">
        <v>1089</v>
      </c>
    </row>
    <row r="354" customFormat="false" ht="15" hidden="false" customHeight="false" outlineLevel="0" collapsed="false">
      <c r="A354" s="43" t="s">
        <v>63</v>
      </c>
      <c r="B354" s="43" t="n">
        <v>2025</v>
      </c>
      <c r="C354" s="43" t="n">
        <v>4</v>
      </c>
      <c r="D354" s="43" t="s">
        <v>52</v>
      </c>
      <c r="E354" s="43" t="s">
        <v>1080</v>
      </c>
      <c r="F354" s="44" t="n">
        <v>0</v>
      </c>
      <c r="G354" s="43" t="s">
        <v>515</v>
      </c>
      <c r="H354" s="43" t="s">
        <v>1089</v>
      </c>
    </row>
    <row r="355" customFormat="false" ht="15" hidden="false" customHeight="false" outlineLevel="0" collapsed="false">
      <c r="A355" s="43" t="s">
        <v>63</v>
      </c>
      <c r="B355" s="43" t="n">
        <v>2025</v>
      </c>
      <c r="C355" s="43" t="n">
        <v>5</v>
      </c>
      <c r="D355" s="43" t="s">
        <v>53</v>
      </c>
      <c r="E355" s="43" t="s">
        <v>1080</v>
      </c>
      <c r="F355" s="44" t="n">
        <v>0</v>
      </c>
      <c r="G355" s="43" t="s">
        <v>515</v>
      </c>
      <c r="H355" s="43" t="s">
        <v>1089</v>
      </c>
    </row>
    <row r="356" customFormat="false" ht="15" hidden="false" customHeight="false" outlineLevel="0" collapsed="false">
      <c r="A356" s="43" t="s">
        <v>63</v>
      </c>
      <c r="B356" s="43" t="n">
        <v>2025</v>
      </c>
      <c r="C356" s="43" t="n">
        <v>6</v>
      </c>
      <c r="D356" s="43" t="s">
        <v>54</v>
      </c>
      <c r="E356" s="43" t="s">
        <v>1080</v>
      </c>
      <c r="F356" s="44" t="n">
        <v>0</v>
      </c>
      <c r="G356" s="43" t="s">
        <v>515</v>
      </c>
      <c r="H356" s="43" t="s">
        <v>1089</v>
      </c>
    </row>
    <row r="357" customFormat="false" ht="15" hidden="false" customHeight="false" outlineLevel="0" collapsed="false">
      <c r="A357" s="43" t="s">
        <v>63</v>
      </c>
      <c r="B357" s="43" t="n">
        <v>2025</v>
      </c>
      <c r="C357" s="43" t="n">
        <v>7</v>
      </c>
      <c r="D357" s="43" t="s">
        <v>55</v>
      </c>
      <c r="E357" s="43" t="s">
        <v>1080</v>
      </c>
      <c r="F357" s="44" t="n">
        <v>0</v>
      </c>
      <c r="G357" s="43" t="s">
        <v>515</v>
      </c>
      <c r="H357" s="43" t="s">
        <v>1089</v>
      </c>
    </row>
    <row r="358" customFormat="false" ht="15" hidden="false" customHeight="false" outlineLevel="0" collapsed="false">
      <c r="A358" s="43" t="s">
        <v>63</v>
      </c>
      <c r="B358" s="43" t="n">
        <v>2025</v>
      </c>
      <c r="C358" s="43" t="n">
        <v>8</v>
      </c>
      <c r="D358" s="43" t="s">
        <v>56</v>
      </c>
      <c r="E358" s="43" t="s">
        <v>1080</v>
      </c>
      <c r="F358" s="44" t="n">
        <v>0</v>
      </c>
      <c r="G358" s="43" t="s">
        <v>515</v>
      </c>
      <c r="H358" s="43" t="s">
        <v>1089</v>
      </c>
    </row>
    <row r="359" customFormat="false" ht="15" hidden="false" customHeight="false" outlineLevel="0" collapsed="false">
      <c r="A359" s="43" t="s">
        <v>63</v>
      </c>
      <c r="B359" s="43" t="n">
        <v>2025</v>
      </c>
      <c r="C359" s="43" t="n">
        <v>9</v>
      </c>
      <c r="D359" s="43" t="s">
        <v>57</v>
      </c>
      <c r="E359" s="43" t="s">
        <v>1080</v>
      </c>
      <c r="F359" s="44" t="n">
        <v>0</v>
      </c>
      <c r="G359" s="43" t="s">
        <v>515</v>
      </c>
      <c r="H359" s="43" t="s">
        <v>1089</v>
      </c>
    </row>
    <row r="360" customFormat="false" ht="15" hidden="false" customHeight="false" outlineLevel="0" collapsed="false">
      <c r="A360" s="43" t="s">
        <v>63</v>
      </c>
      <c r="B360" s="43" t="n">
        <v>2025</v>
      </c>
      <c r="C360" s="43" t="n">
        <v>10</v>
      </c>
      <c r="D360" s="43" t="s">
        <v>58</v>
      </c>
      <c r="E360" s="43" t="s">
        <v>1080</v>
      </c>
      <c r="F360" s="44" t="n">
        <v>0</v>
      </c>
      <c r="G360" s="43" t="s">
        <v>515</v>
      </c>
      <c r="H360" s="43" t="s">
        <v>1089</v>
      </c>
    </row>
    <row r="361" customFormat="false" ht="15" hidden="false" customHeight="false" outlineLevel="0" collapsed="false">
      <c r="A361" s="43" t="s">
        <v>63</v>
      </c>
      <c r="B361" s="43" t="n">
        <v>2025</v>
      </c>
      <c r="C361" s="43" t="n">
        <v>11</v>
      </c>
      <c r="D361" s="43" t="s">
        <v>59</v>
      </c>
      <c r="E361" s="43" t="s">
        <v>1080</v>
      </c>
      <c r="F361" s="44" t="n">
        <v>0</v>
      </c>
      <c r="G361" s="43" t="s">
        <v>515</v>
      </c>
      <c r="H361" s="43" t="s">
        <v>1089</v>
      </c>
    </row>
    <row r="362" customFormat="false" ht="15" hidden="false" customHeight="false" outlineLevel="0" collapsed="false">
      <c r="A362" s="43" t="s">
        <v>63</v>
      </c>
      <c r="B362" s="43" t="n">
        <v>2025</v>
      </c>
      <c r="C362" s="43" t="n">
        <v>12</v>
      </c>
      <c r="D362" s="43" t="s">
        <v>60</v>
      </c>
      <c r="E362" s="43" t="s">
        <v>1080</v>
      </c>
      <c r="F362" s="44" t="n">
        <v>0</v>
      </c>
      <c r="G362" s="43" t="s">
        <v>515</v>
      </c>
      <c r="H362" s="43" t="s">
        <v>1089</v>
      </c>
    </row>
    <row r="363" customFormat="false" ht="15" hidden="false" customHeight="false" outlineLevel="0" collapsed="false">
      <c r="A363" s="43" t="s">
        <v>63</v>
      </c>
      <c r="B363" s="43" t="n">
        <v>2025</v>
      </c>
      <c r="C363" s="43" t="n">
        <v>1</v>
      </c>
      <c r="D363" s="43" t="s">
        <v>49</v>
      </c>
      <c r="E363" s="43" t="s">
        <v>1081</v>
      </c>
      <c r="F363" s="44" t="n">
        <v>0</v>
      </c>
      <c r="G363" s="43" t="s">
        <v>515</v>
      </c>
      <c r="H363" s="43" t="s">
        <v>1089</v>
      </c>
    </row>
    <row r="364" customFormat="false" ht="15" hidden="false" customHeight="false" outlineLevel="0" collapsed="false">
      <c r="A364" s="43" t="s">
        <v>63</v>
      </c>
      <c r="B364" s="43" t="n">
        <v>2025</v>
      </c>
      <c r="C364" s="43" t="n">
        <v>2</v>
      </c>
      <c r="D364" s="43" t="s">
        <v>50</v>
      </c>
      <c r="E364" s="43" t="s">
        <v>1081</v>
      </c>
      <c r="F364" s="44" t="n">
        <v>1995</v>
      </c>
      <c r="G364" s="43" t="s">
        <v>515</v>
      </c>
      <c r="H364" s="43" t="s">
        <v>1089</v>
      </c>
    </row>
    <row r="365" customFormat="false" ht="15" hidden="false" customHeight="false" outlineLevel="0" collapsed="false">
      <c r="A365" s="43" t="s">
        <v>63</v>
      </c>
      <c r="B365" s="43" t="n">
        <v>2025</v>
      </c>
      <c r="C365" s="43" t="n">
        <v>3</v>
      </c>
      <c r="D365" s="43" t="s">
        <v>51</v>
      </c>
      <c r="E365" s="43" t="s">
        <v>1081</v>
      </c>
      <c r="F365" s="44" t="n">
        <v>58669</v>
      </c>
      <c r="G365" s="43" t="s">
        <v>515</v>
      </c>
      <c r="H365" s="43" t="s">
        <v>1089</v>
      </c>
    </row>
    <row r="366" customFormat="false" ht="15" hidden="false" customHeight="false" outlineLevel="0" collapsed="false">
      <c r="A366" s="43" t="s">
        <v>63</v>
      </c>
      <c r="B366" s="43" t="n">
        <v>2025</v>
      </c>
      <c r="C366" s="43" t="n">
        <v>4</v>
      </c>
      <c r="D366" s="43" t="s">
        <v>52</v>
      </c>
      <c r="E366" s="43" t="s">
        <v>1081</v>
      </c>
      <c r="F366" s="44" t="n">
        <v>1500</v>
      </c>
      <c r="G366" s="43" t="s">
        <v>515</v>
      </c>
      <c r="H366" s="43" t="s">
        <v>1089</v>
      </c>
    </row>
    <row r="367" customFormat="false" ht="15" hidden="false" customHeight="false" outlineLevel="0" collapsed="false">
      <c r="A367" s="43" t="s">
        <v>63</v>
      </c>
      <c r="B367" s="43" t="n">
        <v>2025</v>
      </c>
      <c r="C367" s="43" t="n">
        <v>5</v>
      </c>
      <c r="D367" s="43" t="s">
        <v>53</v>
      </c>
      <c r="E367" s="43" t="s">
        <v>1081</v>
      </c>
      <c r="F367" s="44" t="n">
        <v>47617</v>
      </c>
      <c r="G367" s="43" t="s">
        <v>515</v>
      </c>
      <c r="H367" s="43" t="s">
        <v>1089</v>
      </c>
    </row>
    <row r="368" customFormat="false" ht="15" hidden="false" customHeight="false" outlineLevel="0" collapsed="false">
      <c r="A368" s="43" t="s">
        <v>63</v>
      </c>
      <c r="B368" s="43" t="n">
        <v>2025</v>
      </c>
      <c r="C368" s="43" t="n">
        <v>6</v>
      </c>
      <c r="D368" s="43" t="s">
        <v>54</v>
      </c>
      <c r="E368" s="43" t="s">
        <v>1081</v>
      </c>
      <c r="F368" s="44" t="n">
        <v>4163</v>
      </c>
      <c r="G368" s="43" t="s">
        <v>515</v>
      </c>
      <c r="H368" s="43" t="s">
        <v>1089</v>
      </c>
    </row>
    <row r="369" customFormat="false" ht="15" hidden="false" customHeight="false" outlineLevel="0" collapsed="false">
      <c r="A369" s="43" t="s">
        <v>63</v>
      </c>
      <c r="B369" s="43" t="n">
        <v>2025</v>
      </c>
      <c r="C369" s="43" t="n">
        <v>7</v>
      </c>
      <c r="D369" s="43" t="s">
        <v>55</v>
      </c>
      <c r="E369" s="43" t="s">
        <v>1081</v>
      </c>
      <c r="F369" s="44" t="n">
        <v>2500</v>
      </c>
      <c r="G369" s="43" t="s">
        <v>515</v>
      </c>
      <c r="H369" s="43" t="s">
        <v>1089</v>
      </c>
    </row>
    <row r="370" customFormat="false" ht="15" hidden="false" customHeight="false" outlineLevel="0" collapsed="false">
      <c r="A370" s="43" t="s">
        <v>63</v>
      </c>
      <c r="B370" s="43" t="n">
        <v>2025</v>
      </c>
      <c r="C370" s="43" t="n">
        <v>8</v>
      </c>
      <c r="D370" s="43" t="s">
        <v>56</v>
      </c>
      <c r="E370" s="43" t="s">
        <v>1081</v>
      </c>
      <c r="F370" s="44" t="n">
        <v>1000</v>
      </c>
      <c r="G370" s="43" t="s">
        <v>515</v>
      </c>
      <c r="H370" s="43" t="s">
        <v>1089</v>
      </c>
    </row>
    <row r="371" customFormat="false" ht="15" hidden="false" customHeight="false" outlineLevel="0" collapsed="false">
      <c r="A371" s="43" t="s">
        <v>63</v>
      </c>
      <c r="B371" s="43" t="n">
        <v>2025</v>
      </c>
      <c r="C371" s="43" t="n">
        <v>9</v>
      </c>
      <c r="D371" s="43" t="s">
        <v>57</v>
      </c>
      <c r="E371" s="43" t="s">
        <v>1081</v>
      </c>
      <c r="F371" s="44" t="n">
        <v>1000</v>
      </c>
      <c r="G371" s="43" t="s">
        <v>515</v>
      </c>
      <c r="H371" s="43" t="s">
        <v>1089</v>
      </c>
    </row>
    <row r="372" customFormat="false" ht="15" hidden="false" customHeight="false" outlineLevel="0" collapsed="false">
      <c r="A372" s="43" t="s">
        <v>63</v>
      </c>
      <c r="B372" s="43" t="n">
        <v>2025</v>
      </c>
      <c r="C372" s="43" t="n">
        <v>10</v>
      </c>
      <c r="D372" s="43" t="s">
        <v>58</v>
      </c>
      <c r="E372" s="43" t="s">
        <v>1081</v>
      </c>
      <c r="F372" s="44" t="n">
        <v>88411</v>
      </c>
      <c r="G372" s="43" t="s">
        <v>515</v>
      </c>
      <c r="H372" s="43" t="s">
        <v>1089</v>
      </c>
    </row>
    <row r="373" customFormat="false" ht="15" hidden="false" customHeight="false" outlineLevel="0" collapsed="false">
      <c r="A373" s="43" t="s">
        <v>63</v>
      </c>
      <c r="B373" s="43" t="n">
        <v>2025</v>
      </c>
      <c r="C373" s="43" t="n">
        <v>11</v>
      </c>
      <c r="D373" s="43" t="s">
        <v>59</v>
      </c>
      <c r="E373" s="43" t="s">
        <v>1081</v>
      </c>
      <c r="F373" s="44" t="n">
        <v>1000</v>
      </c>
      <c r="G373" s="43" t="s">
        <v>515</v>
      </c>
      <c r="H373" s="43" t="s">
        <v>1089</v>
      </c>
    </row>
    <row r="374" customFormat="false" ht="15" hidden="false" customHeight="false" outlineLevel="0" collapsed="false">
      <c r="A374" s="43" t="s">
        <v>63</v>
      </c>
      <c r="B374" s="43" t="n">
        <v>2025</v>
      </c>
      <c r="C374" s="43" t="n">
        <v>12</v>
      </c>
      <c r="D374" s="43" t="s">
        <v>60</v>
      </c>
      <c r="E374" s="43" t="s">
        <v>1081</v>
      </c>
      <c r="F374" s="44" t="n">
        <v>218410</v>
      </c>
      <c r="G374" s="43" t="s">
        <v>515</v>
      </c>
      <c r="H374" s="43" t="s">
        <v>1089</v>
      </c>
    </row>
    <row r="375" customFormat="false" ht="15" hidden="false" customHeight="false" outlineLevel="0" collapsed="false">
      <c r="A375" s="43" t="s">
        <v>63</v>
      </c>
      <c r="B375" s="43" t="n">
        <v>2025</v>
      </c>
      <c r="C375" s="43" t="n">
        <v>1</v>
      </c>
      <c r="D375" s="43" t="s">
        <v>49</v>
      </c>
      <c r="E375" s="43" t="s">
        <v>1082</v>
      </c>
      <c r="F375" s="44" t="n">
        <v>15</v>
      </c>
      <c r="G375" s="43" t="s">
        <v>515</v>
      </c>
      <c r="H375" s="43" t="s">
        <v>1089</v>
      </c>
    </row>
    <row r="376" customFormat="false" ht="15" hidden="false" customHeight="false" outlineLevel="0" collapsed="false">
      <c r="A376" s="43" t="s">
        <v>63</v>
      </c>
      <c r="B376" s="43" t="n">
        <v>2025</v>
      </c>
      <c r="C376" s="43" t="n">
        <v>2</v>
      </c>
      <c r="D376" s="43" t="s">
        <v>50</v>
      </c>
      <c r="E376" s="43" t="s">
        <v>1082</v>
      </c>
      <c r="F376" s="44" t="n">
        <v>30</v>
      </c>
      <c r="G376" s="43" t="s">
        <v>515</v>
      </c>
      <c r="H376" s="43" t="s">
        <v>1089</v>
      </c>
    </row>
    <row r="377" customFormat="false" ht="15" hidden="false" customHeight="false" outlineLevel="0" collapsed="false">
      <c r="A377" s="43" t="s">
        <v>63</v>
      </c>
      <c r="B377" s="43" t="n">
        <v>2025</v>
      </c>
      <c r="C377" s="43" t="n">
        <v>3</v>
      </c>
      <c r="D377" s="43" t="s">
        <v>51</v>
      </c>
      <c r="E377" s="43" t="s">
        <v>1082</v>
      </c>
      <c r="F377" s="44" t="n">
        <v>59</v>
      </c>
      <c r="G377" s="43" t="s">
        <v>515</v>
      </c>
      <c r="H377" s="43" t="s">
        <v>1089</v>
      </c>
    </row>
    <row r="378" customFormat="false" ht="15" hidden="false" customHeight="false" outlineLevel="0" collapsed="false">
      <c r="A378" s="43" t="s">
        <v>63</v>
      </c>
      <c r="B378" s="43" t="n">
        <v>2025</v>
      </c>
      <c r="C378" s="43" t="n">
        <v>4</v>
      </c>
      <c r="D378" s="43" t="s">
        <v>52</v>
      </c>
      <c r="E378" s="43" t="s">
        <v>1082</v>
      </c>
      <c r="F378" s="44" t="n">
        <v>8398</v>
      </c>
      <c r="G378" s="43" t="s">
        <v>515</v>
      </c>
      <c r="H378" s="43" t="s">
        <v>1089</v>
      </c>
    </row>
    <row r="379" customFormat="false" ht="15" hidden="false" customHeight="false" outlineLevel="0" collapsed="false">
      <c r="A379" s="43" t="s">
        <v>63</v>
      </c>
      <c r="B379" s="43" t="n">
        <v>2025</v>
      </c>
      <c r="C379" s="43" t="n">
        <v>5</v>
      </c>
      <c r="D379" s="43" t="s">
        <v>53</v>
      </c>
      <c r="E379" s="43" t="s">
        <v>1082</v>
      </c>
      <c r="F379" s="44" t="n">
        <v>49</v>
      </c>
      <c r="G379" s="43" t="s">
        <v>515</v>
      </c>
      <c r="H379" s="43" t="s">
        <v>1089</v>
      </c>
    </row>
    <row r="380" customFormat="false" ht="15" hidden="false" customHeight="false" outlineLevel="0" collapsed="false">
      <c r="A380" s="43" t="s">
        <v>63</v>
      </c>
      <c r="B380" s="43" t="n">
        <v>2025</v>
      </c>
      <c r="C380" s="43" t="n">
        <v>6</v>
      </c>
      <c r="D380" s="43" t="s">
        <v>54</v>
      </c>
      <c r="E380" s="43" t="s">
        <v>1082</v>
      </c>
      <c r="F380" s="44" t="n">
        <v>15</v>
      </c>
      <c r="G380" s="43" t="s">
        <v>515</v>
      </c>
      <c r="H380" s="43" t="s">
        <v>1089</v>
      </c>
    </row>
    <row r="381" customFormat="false" ht="15" hidden="false" customHeight="false" outlineLevel="0" collapsed="false">
      <c r="A381" s="43" t="s">
        <v>63</v>
      </c>
      <c r="B381" s="43" t="n">
        <v>2025</v>
      </c>
      <c r="C381" s="43" t="n">
        <v>7</v>
      </c>
      <c r="D381" s="43" t="s">
        <v>55</v>
      </c>
      <c r="E381" s="43" t="s">
        <v>1082</v>
      </c>
      <c r="F381" s="44" t="n">
        <v>7517</v>
      </c>
      <c r="G381" s="43" t="s">
        <v>515</v>
      </c>
      <c r="H381" s="43" t="s">
        <v>1089</v>
      </c>
    </row>
    <row r="382" customFormat="false" ht="15" hidden="false" customHeight="false" outlineLevel="0" collapsed="false">
      <c r="A382" s="43" t="s">
        <v>63</v>
      </c>
      <c r="B382" s="43" t="n">
        <v>2025</v>
      </c>
      <c r="C382" s="43" t="n">
        <v>8</v>
      </c>
      <c r="D382" s="43" t="s">
        <v>56</v>
      </c>
      <c r="E382" s="43" t="s">
        <v>1082</v>
      </c>
      <c r="F382" s="44" t="n">
        <v>15</v>
      </c>
      <c r="G382" s="43" t="s">
        <v>515</v>
      </c>
      <c r="H382" s="43" t="s">
        <v>1089</v>
      </c>
    </row>
    <row r="383" customFormat="false" ht="15" hidden="false" customHeight="false" outlineLevel="0" collapsed="false">
      <c r="A383" s="43" t="s">
        <v>63</v>
      </c>
      <c r="B383" s="43" t="n">
        <v>2025</v>
      </c>
      <c r="C383" s="43" t="n">
        <v>9</v>
      </c>
      <c r="D383" s="43" t="s">
        <v>57</v>
      </c>
      <c r="E383" s="43" t="s">
        <v>1082</v>
      </c>
      <c r="F383" s="44" t="n">
        <v>0</v>
      </c>
      <c r="G383" s="43" t="s">
        <v>515</v>
      </c>
      <c r="H383" s="43" t="s">
        <v>1089</v>
      </c>
    </row>
    <row r="384" customFormat="false" ht="15" hidden="false" customHeight="false" outlineLevel="0" collapsed="false">
      <c r="A384" s="43" t="s">
        <v>63</v>
      </c>
      <c r="B384" s="43" t="n">
        <v>2025</v>
      </c>
      <c r="C384" s="43" t="n">
        <v>10</v>
      </c>
      <c r="D384" s="43" t="s">
        <v>58</v>
      </c>
      <c r="E384" s="43" t="s">
        <v>1082</v>
      </c>
      <c r="F384" s="44" t="n">
        <v>0</v>
      </c>
      <c r="G384" s="43" t="s">
        <v>515</v>
      </c>
      <c r="H384" s="43" t="s">
        <v>1089</v>
      </c>
    </row>
    <row r="385" customFormat="false" ht="15" hidden="false" customHeight="false" outlineLevel="0" collapsed="false">
      <c r="A385" s="43" t="s">
        <v>63</v>
      </c>
      <c r="B385" s="43" t="n">
        <v>2025</v>
      </c>
      <c r="C385" s="43" t="n">
        <v>11</v>
      </c>
      <c r="D385" s="43" t="s">
        <v>59</v>
      </c>
      <c r="E385" s="43" t="s">
        <v>1082</v>
      </c>
      <c r="F385" s="44" t="n">
        <v>0</v>
      </c>
      <c r="G385" s="43" t="s">
        <v>515</v>
      </c>
      <c r="H385" s="43" t="s">
        <v>1089</v>
      </c>
    </row>
    <row r="386" customFormat="false" ht="15" hidden="false" customHeight="false" outlineLevel="0" collapsed="false">
      <c r="A386" s="43" t="s">
        <v>63</v>
      </c>
      <c r="B386" s="43" t="n">
        <v>2025</v>
      </c>
      <c r="C386" s="43" t="n">
        <v>12</v>
      </c>
      <c r="D386" s="43" t="s">
        <v>60</v>
      </c>
      <c r="E386" s="43" t="s">
        <v>1082</v>
      </c>
      <c r="F386" s="44" t="n">
        <v>0</v>
      </c>
      <c r="G386" s="43" t="s">
        <v>515</v>
      </c>
      <c r="H386" s="43" t="s">
        <v>1089</v>
      </c>
    </row>
    <row r="387" customFormat="false" ht="15" hidden="false" customHeight="false" outlineLevel="0" collapsed="false">
      <c r="A387" s="43" t="s">
        <v>63</v>
      </c>
      <c r="B387" s="43" t="n">
        <v>2025</v>
      </c>
      <c r="C387" s="43" t="n">
        <v>1</v>
      </c>
      <c r="D387" s="43" t="s">
        <v>49</v>
      </c>
      <c r="E387" s="43" t="s">
        <v>1083</v>
      </c>
      <c r="F387" s="44" t="n">
        <v>0</v>
      </c>
      <c r="G387" s="43" t="s">
        <v>515</v>
      </c>
      <c r="H387" s="43" t="s">
        <v>1089</v>
      </c>
    </row>
    <row r="388" customFormat="false" ht="15" hidden="false" customHeight="false" outlineLevel="0" collapsed="false">
      <c r="A388" s="43" t="s">
        <v>63</v>
      </c>
      <c r="B388" s="43" t="n">
        <v>2025</v>
      </c>
      <c r="C388" s="43" t="n">
        <v>2</v>
      </c>
      <c r="D388" s="43" t="s">
        <v>50</v>
      </c>
      <c r="E388" s="43" t="s">
        <v>1083</v>
      </c>
      <c r="F388" s="44" t="n">
        <v>0</v>
      </c>
      <c r="G388" s="43" t="s">
        <v>515</v>
      </c>
      <c r="H388" s="43" t="s">
        <v>1089</v>
      </c>
    </row>
    <row r="389" customFormat="false" ht="15" hidden="false" customHeight="false" outlineLevel="0" collapsed="false">
      <c r="A389" s="43" t="s">
        <v>63</v>
      </c>
      <c r="B389" s="43" t="n">
        <v>2025</v>
      </c>
      <c r="C389" s="43" t="n">
        <v>3</v>
      </c>
      <c r="D389" s="43" t="s">
        <v>51</v>
      </c>
      <c r="E389" s="43" t="s">
        <v>1083</v>
      </c>
      <c r="F389" s="44" t="n">
        <v>0</v>
      </c>
      <c r="G389" s="43" t="s">
        <v>515</v>
      </c>
      <c r="H389" s="43" t="s">
        <v>1089</v>
      </c>
    </row>
    <row r="390" customFormat="false" ht="15" hidden="false" customHeight="false" outlineLevel="0" collapsed="false">
      <c r="A390" s="43" t="s">
        <v>63</v>
      </c>
      <c r="B390" s="43" t="n">
        <v>2025</v>
      </c>
      <c r="C390" s="43" t="n">
        <v>4</v>
      </c>
      <c r="D390" s="43" t="s">
        <v>52</v>
      </c>
      <c r="E390" s="43" t="s">
        <v>1083</v>
      </c>
      <c r="F390" s="44" t="n">
        <v>0</v>
      </c>
      <c r="G390" s="43" t="s">
        <v>515</v>
      </c>
      <c r="H390" s="43" t="s">
        <v>1089</v>
      </c>
    </row>
    <row r="391" customFormat="false" ht="15" hidden="false" customHeight="false" outlineLevel="0" collapsed="false">
      <c r="A391" s="43" t="s">
        <v>63</v>
      </c>
      <c r="B391" s="43" t="n">
        <v>2025</v>
      </c>
      <c r="C391" s="43" t="n">
        <v>5</v>
      </c>
      <c r="D391" s="43" t="s">
        <v>53</v>
      </c>
      <c r="E391" s="43" t="s">
        <v>1083</v>
      </c>
      <c r="F391" s="44" t="n">
        <v>0</v>
      </c>
      <c r="G391" s="43" t="s">
        <v>515</v>
      </c>
      <c r="H391" s="43" t="s">
        <v>1089</v>
      </c>
    </row>
    <row r="392" customFormat="false" ht="15" hidden="false" customHeight="false" outlineLevel="0" collapsed="false">
      <c r="A392" s="43" t="s">
        <v>63</v>
      </c>
      <c r="B392" s="43" t="n">
        <v>2025</v>
      </c>
      <c r="C392" s="43" t="n">
        <v>6</v>
      </c>
      <c r="D392" s="43" t="s">
        <v>54</v>
      </c>
      <c r="E392" s="43" t="s">
        <v>1083</v>
      </c>
      <c r="F392" s="44" t="n">
        <v>0</v>
      </c>
      <c r="G392" s="43" t="s">
        <v>515</v>
      </c>
      <c r="H392" s="43" t="s">
        <v>1089</v>
      </c>
    </row>
    <row r="393" customFormat="false" ht="15" hidden="false" customHeight="false" outlineLevel="0" collapsed="false">
      <c r="A393" s="43" t="s">
        <v>63</v>
      </c>
      <c r="B393" s="43" t="n">
        <v>2025</v>
      </c>
      <c r="C393" s="43" t="n">
        <v>7</v>
      </c>
      <c r="D393" s="43" t="s">
        <v>55</v>
      </c>
      <c r="E393" s="43" t="s">
        <v>1083</v>
      </c>
      <c r="F393" s="44" t="n">
        <v>0</v>
      </c>
      <c r="G393" s="43" t="s">
        <v>515</v>
      </c>
      <c r="H393" s="43" t="s">
        <v>1089</v>
      </c>
    </row>
    <row r="394" customFormat="false" ht="15" hidden="false" customHeight="false" outlineLevel="0" collapsed="false">
      <c r="A394" s="43" t="s">
        <v>63</v>
      </c>
      <c r="B394" s="43" t="n">
        <v>2025</v>
      </c>
      <c r="C394" s="43" t="n">
        <v>8</v>
      </c>
      <c r="D394" s="43" t="s">
        <v>56</v>
      </c>
      <c r="E394" s="43" t="s">
        <v>1083</v>
      </c>
      <c r="F394" s="44" t="n">
        <v>0</v>
      </c>
      <c r="G394" s="43" t="s">
        <v>515</v>
      </c>
      <c r="H394" s="43" t="s">
        <v>1089</v>
      </c>
    </row>
    <row r="395" customFormat="false" ht="15" hidden="false" customHeight="false" outlineLevel="0" collapsed="false">
      <c r="A395" s="43" t="s">
        <v>63</v>
      </c>
      <c r="B395" s="43" t="n">
        <v>2025</v>
      </c>
      <c r="C395" s="43" t="n">
        <v>9</v>
      </c>
      <c r="D395" s="43" t="s">
        <v>57</v>
      </c>
      <c r="E395" s="43" t="s">
        <v>1083</v>
      </c>
      <c r="F395" s="44" t="n">
        <v>0</v>
      </c>
      <c r="G395" s="43" t="s">
        <v>515</v>
      </c>
      <c r="H395" s="43" t="s">
        <v>1089</v>
      </c>
    </row>
    <row r="396" customFormat="false" ht="15" hidden="false" customHeight="false" outlineLevel="0" collapsed="false">
      <c r="A396" s="43" t="s">
        <v>63</v>
      </c>
      <c r="B396" s="43" t="n">
        <v>2025</v>
      </c>
      <c r="C396" s="43" t="n">
        <v>10</v>
      </c>
      <c r="D396" s="43" t="s">
        <v>58</v>
      </c>
      <c r="E396" s="43" t="s">
        <v>1083</v>
      </c>
      <c r="F396" s="44" t="n">
        <v>0</v>
      </c>
      <c r="G396" s="43" t="s">
        <v>515</v>
      </c>
      <c r="H396" s="43" t="s">
        <v>1089</v>
      </c>
    </row>
    <row r="397" customFormat="false" ht="15" hidden="false" customHeight="false" outlineLevel="0" collapsed="false">
      <c r="A397" s="43" t="s">
        <v>63</v>
      </c>
      <c r="B397" s="43" t="n">
        <v>2025</v>
      </c>
      <c r="C397" s="43" t="n">
        <v>11</v>
      </c>
      <c r="D397" s="43" t="s">
        <v>59</v>
      </c>
      <c r="E397" s="43" t="s">
        <v>1083</v>
      </c>
      <c r="F397" s="44" t="n">
        <v>0</v>
      </c>
      <c r="G397" s="43" t="s">
        <v>515</v>
      </c>
      <c r="H397" s="43" t="s">
        <v>1089</v>
      </c>
    </row>
    <row r="398" customFormat="false" ht="15" hidden="false" customHeight="false" outlineLevel="0" collapsed="false">
      <c r="A398" s="43" t="s">
        <v>63</v>
      </c>
      <c r="B398" s="43" t="n">
        <v>2025</v>
      </c>
      <c r="C398" s="43" t="n">
        <v>12</v>
      </c>
      <c r="D398" s="43" t="s">
        <v>60</v>
      </c>
      <c r="E398" s="43" t="s">
        <v>1083</v>
      </c>
      <c r="F398" s="44" t="n">
        <v>0</v>
      </c>
      <c r="G398" s="43" t="s">
        <v>515</v>
      </c>
      <c r="H398" s="43" t="s">
        <v>1089</v>
      </c>
    </row>
    <row r="399" customFormat="false" ht="15" hidden="false" customHeight="false" outlineLevel="0" collapsed="false">
      <c r="A399" s="43" t="s">
        <v>63</v>
      </c>
      <c r="B399" s="43" t="n">
        <v>2025</v>
      </c>
      <c r="C399" s="43" t="n">
        <v>1</v>
      </c>
      <c r="D399" s="43" t="s">
        <v>49</v>
      </c>
      <c r="E399" s="43" t="s">
        <v>1084</v>
      </c>
      <c r="F399" s="44" t="n">
        <v>0</v>
      </c>
      <c r="G399" s="43" t="s">
        <v>515</v>
      </c>
      <c r="H399" s="43" t="s">
        <v>1089</v>
      </c>
    </row>
    <row r="400" customFormat="false" ht="15" hidden="false" customHeight="false" outlineLevel="0" collapsed="false">
      <c r="A400" s="43" t="s">
        <v>63</v>
      </c>
      <c r="B400" s="43" t="n">
        <v>2025</v>
      </c>
      <c r="C400" s="43" t="n">
        <v>2</v>
      </c>
      <c r="D400" s="43" t="s">
        <v>50</v>
      </c>
      <c r="E400" s="43" t="s">
        <v>1084</v>
      </c>
      <c r="F400" s="44" t="n">
        <v>0</v>
      </c>
      <c r="G400" s="43" t="s">
        <v>515</v>
      </c>
      <c r="H400" s="43" t="s">
        <v>1089</v>
      </c>
    </row>
    <row r="401" customFormat="false" ht="15" hidden="false" customHeight="false" outlineLevel="0" collapsed="false">
      <c r="A401" s="43" t="s">
        <v>63</v>
      </c>
      <c r="B401" s="43" t="n">
        <v>2025</v>
      </c>
      <c r="C401" s="43" t="n">
        <v>3</v>
      </c>
      <c r="D401" s="43" t="s">
        <v>51</v>
      </c>
      <c r="E401" s="43" t="s">
        <v>1084</v>
      </c>
      <c r="F401" s="44" t="n">
        <v>0</v>
      </c>
      <c r="G401" s="43" t="s">
        <v>515</v>
      </c>
      <c r="H401" s="43" t="s">
        <v>1089</v>
      </c>
    </row>
    <row r="402" customFormat="false" ht="15" hidden="false" customHeight="false" outlineLevel="0" collapsed="false">
      <c r="A402" s="43" t="s">
        <v>63</v>
      </c>
      <c r="B402" s="43" t="n">
        <v>2025</v>
      </c>
      <c r="C402" s="43" t="n">
        <v>4</v>
      </c>
      <c r="D402" s="43" t="s">
        <v>52</v>
      </c>
      <c r="E402" s="43" t="s">
        <v>1084</v>
      </c>
      <c r="F402" s="44" t="n">
        <v>0</v>
      </c>
      <c r="G402" s="43" t="s">
        <v>515</v>
      </c>
      <c r="H402" s="43" t="s">
        <v>1089</v>
      </c>
    </row>
    <row r="403" customFormat="false" ht="15" hidden="false" customHeight="false" outlineLevel="0" collapsed="false">
      <c r="A403" s="43" t="s">
        <v>63</v>
      </c>
      <c r="B403" s="43" t="n">
        <v>2025</v>
      </c>
      <c r="C403" s="43" t="n">
        <v>5</v>
      </c>
      <c r="D403" s="43" t="s">
        <v>53</v>
      </c>
      <c r="E403" s="43" t="s">
        <v>1084</v>
      </c>
      <c r="F403" s="44" t="n">
        <v>0</v>
      </c>
      <c r="G403" s="43" t="s">
        <v>515</v>
      </c>
      <c r="H403" s="43" t="s">
        <v>1089</v>
      </c>
    </row>
    <row r="404" customFormat="false" ht="15" hidden="false" customHeight="false" outlineLevel="0" collapsed="false">
      <c r="A404" s="43" t="s">
        <v>63</v>
      </c>
      <c r="B404" s="43" t="n">
        <v>2025</v>
      </c>
      <c r="C404" s="43" t="n">
        <v>6</v>
      </c>
      <c r="D404" s="43" t="s">
        <v>54</v>
      </c>
      <c r="E404" s="43" t="s">
        <v>1084</v>
      </c>
      <c r="F404" s="44" t="n">
        <v>0</v>
      </c>
      <c r="G404" s="43" t="s">
        <v>515</v>
      </c>
      <c r="H404" s="43" t="s">
        <v>1089</v>
      </c>
    </row>
    <row r="405" customFormat="false" ht="15" hidden="false" customHeight="false" outlineLevel="0" collapsed="false">
      <c r="A405" s="43" t="s">
        <v>63</v>
      </c>
      <c r="B405" s="43" t="n">
        <v>2025</v>
      </c>
      <c r="C405" s="43" t="n">
        <v>7</v>
      </c>
      <c r="D405" s="43" t="s">
        <v>55</v>
      </c>
      <c r="E405" s="43" t="s">
        <v>1084</v>
      </c>
      <c r="F405" s="44" t="n">
        <v>0</v>
      </c>
      <c r="G405" s="43" t="s">
        <v>515</v>
      </c>
      <c r="H405" s="43" t="s">
        <v>1089</v>
      </c>
    </row>
    <row r="406" customFormat="false" ht="15" hidden="false" customHeight="false" outlineLevel="0" collapsed="false">
      <c r="A406" s="43" t="s">
        <v>63</v>
      </c>
      <c r="B406" s="43" t="n">
        <v>2025</v>
      </c>
      <c r="C406" s="43" t="n">
        <v>8</v>
      </c>
      <c r="D406" s="43" t="s">
        <v>56</v>
      </c>
      <c r="E406" s="43" t="s">
        <v>1084</v>
      </c>
      <c r="F406" s="44" t="n">
        <v>0</v>
      </c>
      <c r="G406" s="43" t="s">
        <v>515</v>
      </c>
      <c r="H406" s="43" t="s">
        <v>1089</v>
      </c>
    </row>
    <row r="407" customFormat="false" ht="15" hidden="false" customHeight="false" outlineLevel="0" collapsed="false">
      <c r="A407" s="43" t="s">
        <v>63</v>
      </c>
      <c r="B407" s="43" t="n">
        <v>2025</v>
      </c>
      <c r="C407" s="43" t="n">
        <v>9</v>
      </c>
      <c r="D407" s="43" t="s">
        <v>57</v>
      </c>
      <c r="E407" s="43" t="s">
        <v>1084</v>
      </c>
      <c r="F407" s="44" t="n">
        <v>0</v>
      </c>
      <c r="G407" s="43" t="s">
        <v>515</v>
      </c>
      <c r="H407" s="43" t="s">
        <v>1089</v>
      </c>
    </row>
    <row r="408" customFormat="false" ht="15" hidden="false" customHeight="false" outlineLevel="0" collapsed="false">
      <c r="A408" s="43" t="s">
        <v>63</v>
      </c>
      <c r="B408" s="43" t="n">
        <v>2025</v>
      </c>
      <c r="C408" s="43" t="n">
        <v>10</v>
      </c>
      <c r="D408" s="43" t="s">
        <v>58</v>
      </c>
      <c r="E408" s="43" t="s">
        <v>1084</v>
      </c>
      <c r="F408" s="44" t="n">
        <v>0</v>
      </c>
      <c r="G408" s="43" t="s">
        <v>515</v>
      </c>
      <c r="H408" s="43" t="s">
        <v>1089</v>
      </c>
    </row>
    <row r="409" customFormat="false" ht="15" hidden="false" customHeight="false" outlineLevel="0" collapsed="false">
      <c r="A409" s="43" t="s">
        <v>63</v>
      </c>
      <c r="B409" s="43" t="n">
        <v>2025</v>
      </c>
      <c r="C409" s="43" t="n">
        <v>11</v>
      </c>
      <c r="D409" s="43" t="s">
        <v>59</v>
      </c>
      <c r="E409" s="43" t="s">
        <v>1084</v>
      </c>
      <c r="F409" s="44" t="n">
        <v>6408</v>
      </c>
      <c r="G409" s="43" t="s">
        <v>515</v>
      </c>
      <c r="H409" s="43" t="s">
        <v>1089</v>
      </c>
    </row>
    <row r="410" customFormat="false" ht="15" hidden="false" customHeight="false" outlineLevel="0" collapsed="false">
      <c r="A410" s="43" t="s">
        <v>63</v>
      </c>
      <c r="B410" s="43" t="n">
        <v>2025</v>
      </c>
      <c r="C410" s="43" t="n">
        <v>12</v>
      </c>
      <c r="D410" s="43" t="s">
        <v>60</v>
      </c>
      <c r="E410" s="43" t="s">
        <v>1084</v>
      </c>
      <c r="F410" s="44" t="n">
        <v>0</v>
      </c>
      <c r="G410" s="43" t="s">
        <v>515</v>
      </c>
      <c r="H410" s="43" t="s">
        <v>1089</v>
      </c>
    </row>
    <row r="411" customFormat="false" ht="15" hidden="false" customHeight="false" outlineLevel="0" collapsed="false">
      <c r="A411" s="43" t="s">
        <v>63</v>
      </c>
      <c r="B411" s="43" t="n">
        <v>2025</v>
      </c>
      <c r="C411" s="43" t="n">
        <v>1</v>
      </c>
      <c r="D411" s="43" t="s">
        <v>49</v>
      </c>
      <c r="E411" s="43" t="s">
        <v>1085</v>
      </c>
      <c r="F411" s="44" t="n">
        <v>0</v>
      </c>
      <c r="G411" s="43" t="s">
        <v>515</v>
      </c>
      <c r="H411" s="43" t="s">
        <v>1089</v>
      </c>
    </row>
    <row r="412" customFormat="false" ht="15" hidden="false" customHeight="false" outlineLevel="0" collapsed="false">
      <c r="A412" s="43" t="s">
        <v>63</v>
      </c>
      <c r="B412" s="43" t="n">
        <v>2025</v>
      </c>
      <c r="C412" s="43" t="n">
        <v>2</v>
      </c>
      <c r="D412" s="43" t="s">
        <v>50</v>
      </c>
      <c r="E412" s="43" t="s">
        <v>1085</v>
      </c>
      <c r="F412" s="44" t="n">
        <v>0</v>
      </c>
      <c r="G412" s="43" t="s">
        <v>515</v>
      </c>
      <c r="H412" s="43" t="s">
        <v>1089</v>
      </c>
    </row>
    <row r="413" customFormat="false" ht="15" hidden="false" customHeight="false" outlineLevel="0" collapsed="false">
      <c r="A413" s="43" t="s">
        <v>63</v>
      </c>
      <c r="B413" s="43" t="n">
        <v>2025</v>
      </c>
      <c r="C413" s="43" t="n">
        <v>3</v>
      </c>
      <c r="D413" s="43" t="s">
        <v>51</v>
      </c>
      <c r="E413" s="43" t="s">
        <v>1085</v>
      </c>
      <c r="F413" s="44" t="n">
        <v>0</v>
      </c>
      <c r="G413" s="43" t="s">
        <v>515</v>
      </c>
      <c r="H413" s="43" t="s">
        <v>1089</v>
      </c>
    </row>
    <row r="414" customFormat="false" ht="15" hidden="false" customHeight="false" outlineLevel="0" collapsed="false">
      <c r="A414" s="43" t="s">
        <v>63</v>
      </c>
      <c r="B414" s="43" t="n">
        <v>2025</v>
      </c>
      <c r="C414" s="43" t="n">
        <v>4</v>
      </c>
      <c r="D414" s="43" t="s">
        <v>52</v>
      </c>
      <c r="E414" s="43" t="s">
        <v>1085</v>
      </c>
      <c r="F414" s="44" t="n">
        <v>0</v>
      </c>
      <c r="G414" s="43" t="s">
        <v>515</v>
      </c>
      <c r="H414" s="43" t="s">
        <v>1089</v>
      </c>
    </row>
    <row r="415" customFormat="false" ht="15" hidden="false" customHeight="false" outlineLevel="0" collapsed="false">
      <c r="A415" s="43" t="s">
        <v>63</v>
      </c>
      <c r="B415" s="43" t="n">
        <v>2025</v>
      </c>
      <c r="C415" s="43" t="n">
        <v>5</v>
      </c>
      <c r="D415" s="43" t="s">
        <v>53</v>
      </c>
      <c r="E415" s="43" t="s">
        <v>1085</v>
      </c>
      <c r="F415" s="44" t="n">
        <v>281858</v>
      </c>
      <c r="G415" s="43" t="s">
        <v>515</v>
      </c>
      <c r="H415" s="43" t="s">
        <v>1089</v>
      </c>
    </row>
    <row r="416" customFormat="false" ht="15" hidden="false" customHeight="false" outlineLevel="0" collapsed="false">
      <c r="A416" s="43" t="s">
        <v>63</v>
      </c>
      <c r="B416" s="43" t="n">
        <v>2025</v>
      </c>
      <c r="C416" s="43" t="n">
        <v>6</v>
      </c>
      <c r="D416" s="43" t="s">
        <v>54</v>
      </c>
      <c r="E416" s="43" t="s">
        <v>1085</v>
      </c>
      <c r="F416" s="44" t="n">
        <v>0</v>
      </c>
      <c r="G416" s="43" t="s">
        <v>515</v>
      </c>
      <c r="H416" s="43" t="s">
        <v>1089</v>
      </c>
    </row>
    <row r="417" customFormat="false" ht="15" hidden="false" customHeight="false" outlineLevel="0" collapsed="false">
      <c r="A417" s="43" t="s">
        <v>63</v>
      </c>
      <c r="B417" s="43" t="n">
        <v>2025</v>
      </c>
      <c r="C417" s="43" t="n">
        <v>7</v>
      </c>
      <c r="D417" s="43" t="s">
        <v>55</v>
      </c>
      <c r="E417" s="43" t="s">
        <v>1085</v>
      </c>
      <c r="F417" s="44" t="n">
        <v>0</v>
      </c>
      <c r="G417" s="43" t="s">
        <v>515</v>
      </c>
      <c r="H417" s="43" t="s">
        <v>1089</v>
      </c>
    </row>
    <row r="418" customFormat="false" ht="15" hidden="false" customHeight="false" outlineLevel="0" collapsed="false">
      <c r="A418" s="43" t="s">
        <v>63</v>
      </c>
      <c r="B418" s="43" t="n">
        <v>2025</v>
      </c>
      <c r="C418" s="43" t="n">
        <v>8</v>
      </c>
      <c r="D418" s="43" t="s">
        <v>56</v>
      </c>
      <c r="E418" s="43" t="s">
        <v>1085</v>
      </c>
      <c r="F418" s="44" t="n">
        <v>0</v>
      </c>
      <c r="G418" s="43" t="s">
        <v>515</v>
      </c>
      <c r="H418" s="43" t="s">
        <v>1089</v>
      </c>
    </row>
    <row r="419" customFormat="false" ht="15" hidden="false" customHeight="false" outlineLevel="0" collapsed="false">
      <c r="A419" s="43" t="s">
        <v>63</v>
      </c>
      <c r="B419" s="43" t="n">
        <v>2025</v>
      </c>
      <c r="C419" s="43" t="n">
        <v>9</v>
      </c>
      <c r="D419" s="43" t="s">
        <v>57</v>
      </c>
      <c r="E419" s="43" t="s">
        <v>1085</v>
      </c>
      <c r="F419" s="44" t="n">
        <v>0</v>
      </c>
      <c r="G419" s="43" t="s">
        <v>515</v>
      </c>
      <c r="H419" s="43" t="s">
        <v>1089</v>
      </c>
    </row>
    <row r="420" customFormat="false" ht="15" hidden="false" customHeight="false" outlineLevel="0" collapsed="false">
      <c r="A420" s="43" t="s">
        <v>63</v>
      </c>
      <c r="B420" s="43" t="n">
        <v>2025</v>
      </c>
      <c r="C420" s="43" t="n">
        <v>10</v>
      </c>
      <c r="D420" s="43" t="s">
        <v>58</v>
      </c>
      <c r="E420" s="43" t="s">
        <v>1085</v>
      </c>
      <c r="F420" s="44" t="n">
        <v>110754</v>
      </c>
      <c r="G420" s="43" t="s">
        <v>515</v>
      </c>
      <c r="H420" s="43" t="s">
        <v>1089</v>
      </c>
    </row>
    <row r="421" customFormat="false" ht="15" hidden="false" customHeight="false" outlineLevel="0" collapsed="false">
      <c r="A421" s="43" t="s">
        <v>63</v>
      </c>
      <c r="B421" s="43" t="n">
        <v>2025</v>
      </c>
      <c r="C421" s="43" t="n">
        <v>11</v>
      </c>
      <c r="D421" s="43" t="s">
        <v>59</v>
      </c>
      <c r="E421" s="43" t="s">
        <v>1085</v>
      </c>
      <c r="F421" s="44" t="n">
        <v>0</v>
      </c>
      <c r="G421" s="43" t="s">
        <v>515</v>
      </c>
      <c r="H421" s="43" t="s">
        <v>1089</v>
      </c>
    </row>
    <row r="422" customFormat="false" ht="15" hidden="false" customHeight="false" outlineLevel="0" collapsed="false">
      <c r="A422" s="43" t="s">
        <v>63</v>
      </c>
      <c r="B422" s="43" t="n">
        <v>2025</v>
      </c>
      <c r="C422" s="43" t="n">
        <v>12</v>
      </c>
      <c r="D422" s="43" t="s">
        <v>60</v>
      </c>
      <c r="E422" s="43" t="s">
        <v>1085</v>
      </c>
      <c r="F422" s="44" t="n">
        <v>349514</v>
      </c>
      <c r="G422" s="43" t="s">
        <v>515</v>
      </c>
      <c r="H422" s="43" t="s">
        <v>1089</v>
      </c>
    </row>
    <row r="423" customFormat="false" ht="15" hidden="false" customHeight="false" outlineLevel="0" collapsed="false">
      <c r="A423" s="43" t="s">
        <v>63</v>
      </c>
      <c r="B423" s="43" t="n">
        <v>2025</v>
      </c>
      <c r="C423" s="43" t="n">
        <v>1</v>
      </c>
      <c r="D423" s="43" t="s">
        <v>49</v>
      </c>
      <c r="E423" s="43" t="s">
        <v>1086</v>
      </c>
      <c r="F423" s="44" t="n">
        <v>150438</v>
      </c>
      <c r="G423" s="43" t="s">
        <v>515</v>
      </c>
      <c r="H423" s="43" t="s">
        <v>1089</v>
      </c>
    </row>
    <row r="424" customFormat="false" ht="15" hidden="false" customHeight="false" outlineLevel="0" collapsed="false">
      <c r="A424" s="43" t="s">
        <v>63</v>
      </c>
      <c r="B424" s="43" t="n">
        <v>2025</v>
      </c>
      <c r="C424" s="43" t="n">
        <v>2</v>
      </c>
      <c r="D424" s="43" t="s">
        <v>50</v>
      </c>
      <c r="E424" s="43" t="s">
        <v>1086</v>
      </c>
      <c r="F424" s="44" t="n">
        <v>241440.21</v>
      </c>
      <c r="G424" s="43" t="s">
        <v>515</v>
      </c>
      <c r="H424" s="43" t="s">
        <v>1089</v>
      </c>
    </row>
    <row r="425" customFormat="false" ht="15" hidden="false" customHeight="false" outlineLevel="0" collapsed="false">
      <c r="A425" s="43" t="s">
        <v>63</v>
      </c>
      <c r="B425" s="43" t="n">
        <v>2025</v>
      </c>
      <c r="C425" s="43" t="n">
        <v>3</v>
      </c>
      <c r="D425" s="43" t="s">
        <v>51</v>
      </c>
      <c r="E425" s="43" t="s">
        <v>1086</v>
      </c>
      <c r="F425" s="44" t="n">
        <v>82798</v>
      </c>
      <c r="G425" s="43" t="s">
        <v>515</v>
      </c>
      <c r="H425" s="43" t="s">
        <v>1089</v>
      </c>
    </row>
    <row r="426" customFormat="false" ht="15" hidden="false" customHeight="false" outlineLevel="0" collapsed="false">
      <c r="A426" s="43" t="s">
        <v>63</v>
      </c>
      <c r="B426" s="43" t="n">
        <v>2025</v>
      </c>
      <c r="C426" s="43" t="n">
        <v>4</v>
      </c>
      <c r="D426" s="43" t="s">
        <v>52</v>
      </c>
      <c r="E426" s="43" t="s">
        <v>1086</v>
      </c>
      <c r="F426" s="44" t="n">
        <v>159302</v>
      </c>
      <c r="G426" s="43" t="s">
        <v>515</v>
      </c>
      <c r="H426" s="43" t="s">
        <v>1089</v>
      </c>
    </row>
    <row r="427" customFormat="false" ht="15" hidden="false" customHeight="false" outlineLevel="0" collapsed="false">
      <c r="A427" s="43" t="s">
        <v>63</v>
      </c>
      <c r="B427" s="43" t="n">
        <v>2025</v>
      </c>
      <c r="C427" s="43" t="n">
        <v>5</v>
      </c>
      <c r="D427" s="43" t="s">
        <v>53</v>
      </c>
      <c r="E427" s="43" t="s">
        <v>1086</v>
      </c>
      <c r="F427" s="44" t="n">
        <v>-134434</v>
      </c>
      <c r="G427" s="43" t="s">
        <v>515</v>
      </c>
      <c r="H427" s="43" t="s">
        <v>1089</v>
      </c>
    </row>
    <row r="428" customFormat="false" ht="15" hidden="false" customHeight="false" outlineLevel="0" collapsed="false">
      <c r="A428" s="43" t="s">
        <v>63</v>
      </c>
      <c r="B428" s="43" t="n">
        <v>2025</v>
      </c>
      <c r="C428" s="43" t="n">
        <v>6</v>
      </c>
      <c r="D428" s="43" t="s">
        <v>54</v>
      </c>
      <c r="E428" s="43" t="s">
        <v>1086</v>
      </c>
      <c r="F428" s="44" t="n">
        <v>57618</v>
      </c>
      <c r="G428" s="43" t="s">
        <v>515</v>
      </c>
      <c r="H428" s="43" t="s">
        <v>1089</v>
      </c>
    </row>
    <row r="429" customFormat="false" ht="15" hidden="false" customHeight="false" outlineLevel="0" collapsed="false">
      <c r="A429" s="43" t="s">
        <v>63</v>
      </c>
      <c r="B429" s="43" t="n">
        <v>2025</v>
      </c>
      <c r="C429" s="43" t="n">
        <v>7</v>
      </c>
      <c r="D429" s="43" t="s">
        <v>55</v>
      </c>
      <c r="E429" s="43" t="s">
        <v>1086</v>
      </c>
      <c r="F429" s="44" t="n">
        <v>-10017</v>
      </c>
      <c r="G429" s="43" t="s">
        <v>515</v>
      </c>
      <c r="H429" s="43" t="s">
        <v>1089</v>
      </c>
    </row>
    <row r="430" customFormat="false" ht="15" hidden="false" customHeight="false" outlineLevel="0" collapsed="false">
      <c r="A430" s="43" t="s">
        <v>63</v>
      </c>
      <c r="B430" s="43" t="n">
        <v>2025</v>
      </c>
      <c r="C430" s="43" t="n">
        <v>8</v>
      </c>
      <c r="D430" s="43" t="s">
        <v>56</v>
      </c>
      <c r="E430" s="43" t="s">
        <v>1086</v>
      </c>
      <c r="F430" s="44" t="n">
        <v>18985</v>
      </c>
      <c r="G430" s="43" t="s">
        <v>515</v>
      </c>
      <c r="H430" s="43" t="s">
        <v>1089</v>
      </c>
    </row>
    <row r="431" customFormat="false" ht="15" hidden="false" customHeight="false" outlineLevel="0" collapsed="false">
      <c r="A431" s="43" t="s">
        <v>63</v>
      </c>
      <c r="B431" s="43" t="n">
        <v>2025</v>
      </c>
      <c r="C431" s="43" t="n">
        <v>9</v>
      </c>
      <c r="D431" s="43" t="s">
        <v>57</v>
      </c>
      <c r="E431" s="43" t="s">
        <v>1086</v>
      </c>
      <c r="F431" s="44" t="n">
        <v>-1000</v>
      </c>
      <c r="G431" s="43" t="s">
        <v>515</v>
      </c>
      <c r="H431" s="43" t="s">
        <v>1089</v>
      </c>
    </row>
    <row r="432" customFormat="false" ht="15" hidden="false" customHeight="false" outlineLevel="0" collapsed="false">
      <c r="A432" s="43" t="s">
        <v>63</v>
      </c>
      <c r="B432" s="43" t="n">
        <v>2025</v>
      </c>
      <c r="C432" s="43" t="n">
        <v>10</v>
      </c>
      <c r="D432" s="43" t="s">
        <v>58</v>
      </c>
      <c r="E432" s="43" t="s">
        <v>1086</v>
      </c>
      <c r="F432" s="44" t="n">
        <v>-154165</v>
      </c>
      <c r="G432" s="43" t="s">
        <v>515</v>
      </c>
      <c r="H432" s="43" t="s">
        <v>1089</v>
      </c>
    </row>
    <row r="433" customFormat="false" ht="15" hidden="false" customHeight="false" outlineLevel="0" collapsed="false">
      <c r="A433" s="43" t="s">
        <v>63</v>
      </c>
      <c r="B433" s="43" t="n">
        <v>2025</v>
      </c>
      <c r="C433" s="43" t="n">
        <v>11</v>
      </c>
      <c r="D433" s="43" t="s">
        <v>59</v>
      </c>
      <c r="E433" s="43" t="s">
        <v>1086</v>
      </c>
      <c r="F433" s="44" t="n">
        <v>-7408</v>
      </c>
      <c r="G433" s="43" t="s">
        <v>515</v>
      </c>
      <c r="H433" s="43" t="s">
        <v>1089</v>
      </c>
    </row>
    <row r="434" customFormat="false" ht="15" hidden="false" customHeight="false" outlineLevel="0" collapsed="false">
      <c r="A434" s="43" t="s">
        <v>63</v>
      </c>
      <c r="B434" s="43" t="n">
        <v>2025</v>
      </c>
      <c r="C434" s="43" t="n">
        <v>12</v>
      </c>
      <c r="D434" s="43" t="s">
        <v>60</v>
      </c>
      <c r="E434" s="43" t="s">
        <v>1086</v>
      </c>
      <c r="F434" s="44" t="n">
        <v>-389139</v>
      </c>
      <c r="G434" s="43" t="s">
        <v>515</v>
      </c>
      <c r="H434" s="43" t="s">
        <v>1089</v>
      </c>
    </row>
    <row r="435" customFormat="false" ht="15" hidden="false" customHeight="false" outlineLevel="0" collapsed="false">
      <c r="A435" s="43" t="s">
        <v>179</v>
      </c>
      <c r="B435" s="43" t="n">
        <v>2025</v>
      </c>
      <c r="C435" s="43" t="n">
        <v>1</v>
      </c>
      <c r="D435" s="43" t="s">
        <v>49</v>
      </c>
      <c r="E435" s="43" t="s">
        <v>214</v>
      </c>
      <c r="F435" s="44" t="n">
        <v>0</v>
      </c>
      <c r="G435" s="43" t="s">
        <v>515</v>
      </c>
      <c r="H435" s="43" t="s">
        <v>1090</v>
      </c>
    </row>
    <row r="436" customFormat="false" ht="15" hidden="false" customHeight="false" outlineLevel="0" collapsed="false">
      <c r="A436" s="43" t="s">
        <v>179</v>
      </c>
      <c r="B436" s="43" t="n">
        <v>2025</v>
      </c>
      <c r="C436" s="43" t="n">
        <v>2</v>
      </c>
      <c r="D436" s="43" t="s">
        <v>50</v>
      </c>
      <c r="E436" s="43" t="s">
        <v>214</v>
      </c>
      <c r="F436" s="44" t="n">
        <v>-14044</v>
      </c>
      <c r="G436" s="43" t="s">
        <v>515</v>
      </c>
      <c r="H436" s="43" t="s">
        <v>1090</v>
      </c>
    </row>
    <row r="437" customFormat="false" ht="15" hidden="false" customHeight="false" outlineLevel="0" collapsed="false">
      <c r="A437" s="43" t="s">
        <v>179</v>
      </c>
      <c r="B437" s="43" t="n">
        <v>2025</v>
      </c>
      <c r="C437" s="43" t="n">
        <v>3</v>
      </c>
      <c r="D437" s="43" t="s">
        <v>51</v>
      </c>
      <c r="E437" s="43" t="s">
        <v>214</v>
      </c>
      <c r="F437" s="44" t="n">
        <v>7638</v>
      </c>
      <c r="G437" s="43" t="s">
        <v>515</v>
      </c>
      <c r="H437" s="43" t="s">
        <v>1090</v>
      </c>
    </row>
    <row r="438" customFormat="false" ht="15" hidden="false" customHeight="false" outlineLevel="0" collapsed="false">
      <c r="A438" s="43" t="s">
        <v>179</v>
      </c>
      <c r="B438" s="43" t="n">
        <v>2025</v>
      </c>
      <c r="C438" s="43" t="n">
        <v>4</v>
      </c>
      <c r="D438" s="43" t="s">
        <v>52</v>
      </c>
      <c r="E438" s="43" t="s">
        <v>214</v>
      </c>
      <c r="F438" s="44" t="n">
        <v>53116</v>
      </c>
      <c r="G438" s="43" t="s">
        <v>515</v>
      </c>
      <c r="H438" s="43" t="s">
        <v>1090</v>
      </c>
    </row>
    <row r="439" customFormat="false" ht="15" hidden="false" customHeight="false" outlineLevel="0" collapsed="false">
      <c r="A439" s="43" t="s">
        <v>179</v>
      </c>
      <c r="B439" s="43" t="n">
        <v>2025</v>
      </c>
      <c r="C439" s="43" t="n">
        <v>5</v>
      </c>
      <c r="D439" s="43" t="s">
        <v>53</v>
      </c>
      <c r="E439" s="43" t="s">
        <v>214</v>
      </c>
      <c r="F439" s="44" t="n">
        <v>38736</v>
      </c>
      <c r="G439" s="43" t="s">
        <v>515</v>
      </c>
      <c r="H439" s="43" t="s">
        <v>1090</v>
      </c>
    </row>
    <row r="440" customFormat="false" ht="15" hidden="false" customHeight="false" outlineLevel="0" collapsed="false">
      <c r="A440" s="43" t="s">
        <v>179</v>
      </c>
      <c r="B440" s="43" t="n">
        <v>2025</v>
      </c>
      <c r="C440" s="43" t="n">
        <v>6</v>
      </c>
      <c r="D440" s="43" t="s">
        <v>54</v>
      </c>
      <c r="E440" s="43" t="s">
        <v>214</v>
      </c>
      <c r="F440" s="44" t="n">
        <v>438304</v>
      </c>
      <c r="G440" s="43" t="s">
        <v>515</v>
      </c>
      <c r="H440" s="43" t="s">
        <v>1090</v>
      </c>
    </row>
    <row r="441" customFormat="false" ht="15" hidden="false" customHeight="false" outlineLevel="0" collapsed="false">
      <c r="A441" s="43" t="s">
        <v>179</v>
      </c>
      <c r="B441" s="43" t="n">
        <v>2025</v>
      </c>
      <c r="C441" s="43" t="n">
        <v>7</v>
      </c>
      <c r="D441" s="43" t="s">
        <v>55</v>
      </c>
      <c r="E441" s="43" t="s">
        <v>214</v>
      </c>
      <c r="F441" s="44" t="n">
        <v>595255</v>
      </c>
      <c r="G441" s="43" t="s">
        <v>515</v>
      </c>
      <c r="H441" s="43" t="s">
        <v>1090</v>
      </c>
    </row>
    <row r="442" customFormat="false" ht="15" hidden="false" customHeight="false" outlineLevel="0" collapsed="false">
      <c r="A442" s="43" t="s">
        <v>179</v>
      </c>
      <c r="B442" s="43" t="n">
        <v>2025</v>
      </c>
      <c r="C442" s="43" t="n">
        <v>8</v>
      </c>
      <c r="D442" s="43" t="s">
        <v>56</v>
      </c>
      <c r="E442" s="43" t="s">
        <v>214</v>
      </c>
      <c r="F442" s="44" t="n">
        <v>589570.2</v>
      </c>
      <c r="G442" s="43" t="s">
        <v>515</v>
      </c>
      <c r="H442" s="43" t="s">
        <v>1090</v>
      </c>
    </row>
    <row r="443" customFormat="false" ht="15" hidden="false" customHeight="false" outlineLevel="0" collapsed="false">
      <c r="A443" s="43" t="s">
        <v>179</v>
      </c>
      <c r="B443" s="43" t="n">
        <v>2025</v>
      </c>
      <c r="C443" s="43" t="n">
        <v>9</v>
      </c>
      <c r="D443" s="43" t="s">
        <v>57</v>
      </c>
      <c r="E443" s="43" t="s">
        <v>214</v>
      </c>
      <c r="F443" s="44" t="n">
        <v>683409.4</v>
      </c>
      <c r="G443" s="43" t="s">
        <v>515</v>
      </c>
      <c r="H443" s="43" t="s">
        <v>1090</v>
      </c>
    </row>
    <row r="444" customFormat="false" ht="15" hidden="false" customHeight="false" outlineLevel="0" collapsed="false">
      <c r="A444" s="43" t="s">
        <v>179</v>
      </c>
      <c r="B444" s="43" t="n">
        <v>2025</v>
      </c>
      <c r="C444" s="43" t="n">
        <v>10</v>
      </c>
      <c r="D444" s="43" t="s">
        <v>58</v>
      </c>
      <c r="E444" s="43" t="s">
        <v>214</v>
      </c>
      <c r="F444" s="44" t="n">
        <v>677724.6</v>
      </c>
      <c r="G444" s="43" t="s">
        <v>515</v>
      </c>
      <c r="H444" s="43" t="s">
        <v>1090</v>
      </c>
    </row>
    <row r="445" customFormat="false" ht="15" hidden="false" customHeight="false" outlineLevel="0" collapsed="false">
      <c r="A445" s="43" t="s">
        <v>179</v>
      </c>
      <c r="B445" s="43" t="n">
        <v>2025</v>
      </c>
      <c r="C445" s="43" t="n">
        <v>11</v>
      </c>
      <c r="D445" s="43" t="s">
        <v>59</v>
      </c>
      <c r="E445" s="43" t="s">
        <v>214</v>
      </c>
      <c r="F445" s="44" t="n">
        <v>782793.8</v>
      </c>
      <c r="G445" s="43" t="s">
        <v>515</v>
      </c>
      <c r="H445" s="43" t="s">
        <v>1090</v>
      </c>
    </row>
    <row r="446" customFormat="false" ht="15" hidden="false" customHeight="false" outlineLevel="0" collapsed="false">
      <c r="A446" s="43" t="s">
        <v>179</v>
      </c>
      <c r="B446" s="43" t="n">
        <v>2025</v>
      </c>
      <c r="C446" s="43" t="n">
        <v>12</v>
      </c>
      <c r="D446" s="43" t="s">
        <v>60</v>
      </c>
      <c r="E446" s="43" t="s">
        <v>214</v>
      </c>
      <c r="F446" s="44" t="n">
        <v>1055322</v>
      </c>
      <c r="G446" s="43" t="s">
        <v>515</v>
      </c>
      <c r="H446" s="43" t="s">
        <v>1090</v>
      </c>
    </row>
    <row r="447" customFormat="false" ht="15" hidden="false" customHeight="false" outlineLevel="0" collapsed="false">
      <c r="A447" s="43" t="s">
        <v>179</v>
      </c>
      <c r="B447" s="43" t="n">
        <v>2025</v>
      </c>
      <c r="C447" s="43" t="n">
        <v>1</v>
      </c>
      <c r="D447" s="43" t="s">
        <v>49</v>
      </c>
      <c r="E447" s="43" t="s">
        <v>1079</v>
      </c>
      <c r="F447" s="44" t="n">
        <v>0</v>
      </c>
      <c r="G447" s="43" t="s">
        <v>515</v>
      </c>
      <c r="H447" s="43" t="s">
        <v>1090</v>
      </c>
    </row>
    <row r="448" customFormat="false" ht="15" hidden="false" customHeight="false" outlineLevel="0" collapsed="false">
      <c r="A448" s="43" t="s">
        <v>179</v>
      </c>
      <c r="B448" s="43" t="n">
        <v>2025</v>
      </c>
      <c r="C448" s="43" t="n">
        <v>2</v>
      </c>
      <c r="D448" s="43" t="s">
        <v>50</v>
      </c>
      <c r="E448" s="43" t="s">
        <v>1079</v>
      </c>
      <c r="F448" s="44" t="n">
        <v>21682</v>
      </c>
      <c r="G448" s="43" t="s">
        <v>515</v>
      </c>
      <c r="H448" s="43" t="s">
        <v>1090</v>
      </c>
    </row>
    <row r="449" customFormat="false" ht="15" hidden="false" customHeight="false" outlineLevel="0" collapsed="false">
      <c r="A449" s="43" t="s">
        <v>179</v>
      </c>
      <c r="B449" s="43" t="n">
        <v>2025</v>
      </c>
      <c r="C449" s="43" t="n">
        <v>3</v>
      </c>
      <c r="D449" s="43" t="s">
        <v>51</v>
      </c>
      <c r="E449" s="43" t="s">
        <v>1079</v>
      </c>
      <c r="F449" s="44" t="n">
        <v>45478</v>
      </c>
      <c r="G449" s="43" t="s">
        <v>515</v>
      </c>
      <c r="H449" s="43" t="s">
        <v>1090</v>
      </c>
    </row>
    <row r="450" customFormat="false" ht="15" hidden="false" customHeight="false" outlineLevel="0" collapsed="false">
      <c r="A450" s="43" t="s">
        <v>179</v>
      </c>
      <c r="B450" s="43" t="n">
        <v>2025</v>
      </c>
      <c r="C450" s="43" t="n">
        <v>4</v>
      </c>
      <c r="D450" s="43" t="s">
        <v>52</v>
      </c>
      <c r="E450" s="43" t="s">
        <v>1079</v>
      </c>
      <c r="F450" s="44" t="n">
        <v>0</v>
      </c>
      <c r="G450" s="43" t="s">
        <v>515</v>
      </c>
      <c r="H450" s="43" t="s">
        <v>1090</v>
      </c>
    </row>
    <row r="451" customFormat="false" ht="15" hidden="false" customHeight="false" outlineLevel="0" collapsed="false">
      <c r="A451" s="43" t="s">
        <v>179</v>
      </c>
      <c r="B451" s="43" t="n">
        <v>2025</v>
      </c>
      <c r="C451" s="43" t="n">
        <v>5</v>
      </c>
      <c r="D451" s="43" t="s">
        <v>53</v>
      </c>
      <c r="E451" s="43" t="s">
        <v>1079</v>
      </c>
      <c r="F451" s="44" t="n">
        <v>0</v>
      </c>
      <c r="G451" s="43" t="s">
        <v>515</v>
      </c>
      <c r="H451" s="43" t="s">
        <v>1090</v>
      </c>
    </row>
    <row r="452" customFormat="false" ht="15" hidden="false" customHeight="false" outlineLevel="0" collapsed="false">
      <c r="A452" s="43" t="s">
        <v>179</v>
      </c>
      <c r="B452" s="43" t="n">
        <v>2025</v>
      </c>
      <c r="C452" s="43" t="n">
        <v>6</v>
      </c>
      <c r="D452" s="43" t="s">
        <v>54</v>
      </c>
      <c r="E452" s="43" t="s">
        <v>1079</v>
      </c>
      <c r="F452" s="44" t="n">
        <v>172045</v>
      </c>
      <c r="G452" s="43" t="s">
        <v>515</v>
      </c>
      <c r="H452" s="43" t="s">
        <v>1090</v>
      </c>
    </row>
    <row r="453" customFormat="false" ht="15" hidden="false" customHeight="false" outlineLevel="0" collapsed="false">
      <c r="A453" s="43" t="s">
        <v>179</v>
      </c>
      <c r="B453" s="43" t="n">
        <v>2025</v>
      </c>
      <c r="C453" s="43" t="n">
        <v>7</v>
      </c>
      <c r="D453" s="43" t="s">
        <v>55</v>
      </c>
      <c r="E453" s="43" t="s">
        <v>1079</v>
      </c>
      <c r="F453" s="44" t="n">
        <v>0</v>
      </c>
      <c r="G453" s="43" t="s">
        <v>515</v>
      </c>
      <c r="H453" s="43" t="s">
        <v>1090</v>
      </c>
    </row>
    <row r="454" customFormat="false" ht="15" hidden="false" customHeight="false" outlineLevel="0" collapsed="false">
      <c r="A454" s="43" t="s">
        <v>179</v>
      </c>
      <c r="B454" s="43" t="n">
        <v>2025</v>
      </c>
      <c r="C454" s="43" t="n">
        <v>8</v>
      </c>
      <c r="D454" s="43" t="s">
        <v>56</v>
      </c>
      <c r="E454" s="43" t="s">
        <v>1079</v>
      </c>
      <c r="F454" s="44" t="n">
        <v>99524</v>
      </c>
      <c r="G454" s="43" t="s">
        <v>515</v>
      </c>
      <c r="H454" s="43" t="s">
        <v>1090</v>
      </c>
    </row>
    <row r="455" customFormat="false" ht="15" hidden="false" customHeight="false" outlineLevel="0" collapsed="false">
      <c r="A455" s="43" t="s">
        <v>179</v>
      </c>
      <c r="B455" s="43" t="n">
        <v>2025</v>
      </c>
      <c r="C455" s="43" t="n">
        <v>9</v>
      </c>
      <c r="D455" s="43" t="s">
        <v>57</v>
      </c>
      <c r="E455" s="43" t="s">
        <v>1079</v>
      </c>
      <c r="F455" s="44" t="n">
        <v>0</v>
      </c>
      <c r="G455" s="43" t="s">
        <v>515</v>
      </c>
      <c r="H455" s="43" t="s">
        <v>1090</v>
      </c>
    </row>
    <row r="456" customFormat="false" ht="15" hidden="false" customHeight="false" outlineLevel="0" collapsed="false">
      <c r="A456" s="43" t="s">
        <v>179</v>
      </c>
      <c r="B456" s="43" t="n">
        <v>2025</v>
      </c>
      <c r="C456" s="43" t="n">
        <v>10</v>
      </c>
      <c r="D456" s="43" t="s">
        <v>58</v>
      </c>
      <c r="E456" s="43" t="s">
        <v>1079</v>
      </c>
      <c r="F456" s="44" t="n">
        <v>0</v>
      </c>
      <c r="G456" s="43" t="s">
        <v>515</v>
      </c>
      <c r="H456" s="43" t="s">
        <v>1090</v>
      </c>
    </row>
    <row r="457" customFormat="false" ht="15" hidden="false" customHeight="false" outlineLevel="0" collapsed="false">
      <c r="A457" s="43" t="s">
        <v>179</v>
      </c>
      <c r="B457" s="43" t="n">
        <v>2025</v>
      </c>
      <c r="C457" s="43" t="n">
        <v>11</v>
      </c>
      <c r="D457" s="43" t="s">
        <v>59</v>
      </c>
      <c r="E457" s="43" t="s">
        <v>1079</v>
      </c>
      <c r="F457" s="44" t="n">
        <v>0</v>
      </c>
      <c r="G457" s="43" t="s">
        <v>515</v>
      </c>
      <c r="H457" s="43" t="s">
        <v>1090</v>
      </c>
    </row>
    <row r="458" customFormat="false" ht="15" hidden="false" customHeight="false" outlineLevel="0" collapsed="false">
      <c r="A458" s="43" t="s">
        <v>179</v>
      </c>
      <c r="B458" s="43" t="n">
        <v>2025</v>
      </c>
      <c r="C458" s="43" t="n">
        <v>12</v>
      </c>
      <c r="D458" s="43" t="s">
        <v>60</v>
      </c>
      <c r="E458" s="43" t="s">
        <v>1079</v>
      </c>
      <c r="F458" s="44" t="n">
        <v>0</v>
      </c>
      <c r="G458" s="43" t="s">
        <v>515</v>
      </c>
      <c r="H458" s="43" t="s">
        <v>1090</v>
      </c>
    </row>
    <row r="459" customFormat="false" ht="15" hidden="false" customHeight="false" outlineLevel="0" collapsed="false">
      <c r="A459" s="43" t="s">
        <v>179</v>
      </c>
      <c r="B459" s="43" t="n">
        <v>2025</v>
      </c>
      <c r="C459" s="43" t="n">
        <v>1</v>
      </c>
      <c r="D459" s="43" t="s">
        <v>49</v>
      </c>
      <c r="E459" s="43" t="s">
        <v>1080</v>
      </c>
      <c r="F459" s="44" t="n">
        <v>0</v>
      </c>
      <c r="G459" s="43" t="s">
        <v>515</v>
      </c>
      <c r="H459" s="43" t="s">
        <v>1090</v>
      </c>
    </row>
    <row r="460" customFormat="false" ht="15" hidden="false" customHeight="false" outlineLevel="0" collapsed="false">
      <c r="A460" s="43" t="s">
        <v>179</v>
      </c>
      <c r="B460" s="43" t="n">
        <v>2025</v>
      </c>
      <c r="C460" s="43" t="n">
        <v>2</v>
      </c>
      <c r="D460" s="43" t="s">
        <v>50</v>
      </c>
      <c r="E460" s="43" t="s">
        <v>1080</v>
      </c>
      <c r="F460" s="44" t="n">
        <v>0</v>
      </c>
      <c r="G460" s="43" t="s">
        <v>515</v>
      </c>
      <c r="H460" s="43" t="s">
        <v>1090</v>
      </c>
    </row>
    <row r="461" customFormat="false" ht="15" hidden="false" customHeight="false" outlineLevel="0" collapsed="false">
      <c r="A461" s="43" t="s">
        <v>179</v>
      </c>
      <c r="B461" s="43" t="n">
        <v>2025</v>
      </c>
      <c r="C461" s="43" t="n">
        <v>3</v>
      </c>
      <c r="D461" s="43" t="s">
        <v>51</v>
      </c>
      <c r="E461" s="43" t="s">
        <v>1080</v>
      </c>
      <c r="F461" s="44" t="n">
        <v>0</v>
      </c>
      <c r="G461" s="43" t="s">
        <v>515</v>
      </c>
      <c r="H461" s="43" t="s">
        <v>1090</v>
      </c>
    </row>
    <row r="462" customFormat="false" ht="15" hidden="false" customHeight="false" outlineLevel="0" collapsed="false">
      <c r="A462" s="43" t="s">
        <v>179</v>
      </c>
      <c r="B462" s="43" t="n">
        <v>2025</v>
      </c>
      <c r="C462" s="43" t="n">
        <v>4</v>
      </c>
      <c r="D462" s="43" t="s">
        <v>52</v>
      </c>
      <c r="E462" s="43" t="s">
        <v>1080</v>
      </c>
      <c r="F462" s="44" t="n">
        <v>0</v>
      </c>
      <c r="G462" s="43" t="s">
        <v>515</v>
      </c>
      <c r="H462" s="43" t="s">
        <v>1090</v>
      </c>
    </row>
    <row r="463" customFormat="false" ht="15" hidden="false" customHeight="false" outlineLevel="0" collapsed="false">
      <c r="A463" s="43" t="s">
        <v>179</v>
      </c>
      <c r="B463" s="43" t="n">
        <v>2025</v>
      </c>
      <c r="C463" s="43" t="n">
        <v>5</v>
      </c>
      <c r="D463" s="43" t="s">
        <v>53</v>
      </c>
      <c r="E463" s="43" t="s">
        <v>1080</v>
      </c>
      <c r="F463" s="44" t="n">
        <v>415568</v>
      </c>
      <c r="G463" s="43" t="s">
        <v>515</v>
      </c>
      <c r="H463" s="43" t="s">
        <v>1090</v>
      </c>
    </row>
    <row r="464" customFormat="false" ht="15" hidden="false" customHeight="false" outlineLevel="0" collapsed="false">
      <c r="A464" s="43" t="s">
        <v>179</v>
      </c>
      <c r="B464" s="43" t="n">
        <v>2025</v>
      </c>
      <c r="C464" s="43" t="n">
        <v>6</v>
      </c>
      <c r="D464" s="43" t="s">
        <v>54</v>
      </c>
      <c r="E464" s="43" t="s">
        <v>1080</v>
      </c>
      <c r="F464" s="44" t="n">
        <v>0</v>
      </c>
      <c r="G464" s="43" t="s">
        <v>515</v>
      </c>
      <c r="H464" s="43" t="s">
        <v>1090</v>
      </c>
    </row>
    <row r="465" customFormat="false" ht="15" hidden="false" customHeight="false" outlineLevel="0" collapsed="false">
      <c r="A465" s="43" t="s">
        <v>179</v>
      </c>
      <c r="B465" s="43" t="n">
        <v>2025</v>
      </c>
      <c r="C465" s="43" t="n">
        <v>7</v>
      </c>
      <c r="D465" s="43" t="s">
        <v>55</v>
      </c>
      <c r="E465" s="43" t="s">
        <v>1080</v>
      </c>
      <c r="F465" s="44" t="n">
        <v>0</v>
      </c>
      <c r="G465" s="43" t="s">
        <v>515</v>
      </c>
      <c r="H465" s="43" t="s">
        <v>1090</v>
      </c>
    </row>
    <row r="466" customFormat="false" ht="15" hidden="false" customHeight="false" outlineLevel="0" collapsed="false">
      <c r="A466" s="43" t="s">
        <v>179</v>
      </c>
      <c r="B466" s="43" t="n">
        <v>2025</v>
      </c>
      <c r="C466" s="43" t="n">
        <v>8</v>
      </c>
      <c r="D466" s="43" t="s">
        <v>56</v>
      </c>
      <c r="E466" s="43" t="s">
        <v>1080</v>
      </c>
      <c r="F466" s="44" t="n">
        <v>0</v>
      </c>
      <c r="G466" s="43" t="s">
        <v>515</v>
      </c>
      <c r="H466" s="43" t="s">
        <v>1090</v>
      </c>
    </row>
    <row r="467" customFormat="false" ht="15" hidden="false" customHeight="false" outlineLevel="0" collapsed="false">
      <c r="A467" s="43" t="s">
        <v>179</v>
      </c>
      <c r="B467" s="43" t="n">
        <v>2025</v>
      </c>
      <c r="C467" s="43" t="n">
        <v>9</v>
      </c>
      <c r="D467" s="43" t="s">
        <v>57</v>
      </c>
      <c r="E467" s="43" t="s">
        <v>1080</v>
      </c>
      <c r="F467" s="44" t="n">
        <v>0</v>
      </c>
      <c r="G467" s="43" t="s">
        <v>515</v>
      </c>
      <c r="H467" s="43" t="s">
        <v>1090</v>
      </c>
    </row>
    <row r="468" customFormat="false" ht="15" hidden="false" customHeight="false" outlineLevel="0" collapsed="false">
      <c r="A468" s="43" t="s">
        <v>179</v>
      </c>
      <c r="B468" s="43" t="n">
        <v>2025</v>
      </c>
      <c r="C468" s="43" t="n">
        <v>10</v>
      </c>
      <c r="D468" s="43" t="s">
        <v>58</v>
      </c>
      <c r="E468" s="43" t="s">
        <v>1080</v>
      </c>
      <c r="F468" s="44" t="n">
        <v>110754</v>
      </c>
      <c r="G468" s="43" t="s">
        <v>515</v>
      </c>
      <c r="H468" s="43" t="s">
        <v>1090</v>
      </c>
    </row>
    <row r="469" customFormat="false" ht="15" hidden="false" customHeight="false" outlineLevel="0" collapsed="false">
      <c r="A469" s="43" t="s">
        <v>179</v>
      </c>
      <c r="B469" s="43" t="n">
        <v>2025</v>
      </c>
      <c r="C469" s="43" t="n">
        <v>11</v>
      </c>
      <c r="D469" s="43" t="s">
        <v>59</v>
      </c>
      <c r="E469" s="43" t="s">
        <v>1080</v>
      </c>
      <c r="F469" s="44" t="n">
        <v>278213</v>
      </c>
      <c r="G469" s="43" t="s">
        <v>515</v>
      </c>
      <c r="H469" s="43" t="s">
        <v>1090</v>
      </c>
    </row>
    <row r="470" customFormat="false" ht="15" hidden="false" customHeight="false" outlineLevel="0" collapsed="false">
      <c r="A470" s="43" t="s">
        <v>179</v>
      </c>
      <c r="B470" s="43" t="n">
        <v>2025</v>
      </c>
      <c r="C470" s="43" t="n">
        <v>12</v>
      </c>
      <c r="D470" s="43" t="s">
        <v>60</v>
      </c>
      <c r="E470" s="43" t="s">
        <v>1080</v>
      </c>
      <c r="F470" s="44" t="n">
        <v>349514</v>
      </c>
      <c r="G470" s="43" t="s">
        <v>515</v>
      </c>
      <c r="H470" s="43" t="s">
        <v>1090</v>
      </c>
    </row>
    <row r="471" customFormat="false" ht="15" hidden="false" customHeight="false" outlineLevel="0" collapsed="false">
      <c r="A471" s="43" t="s">
        <v>179</v>
      </c>
      <c r="B471" s="43" t="n">
        <v>2025</v>
      </c>
      <c r="C471" s="43" t="n">
        <v>1</v>
      </c>
      <c r="D471" s="43" t="s">
        <v>49</v>
      </c>
      <c r="E471" s="43" t="s">
        <v>1081</v>
      </c>
      <c r="F471" s="44" t="n">
        <v>14044</v>
      </c>
      <c r="G471" s="43" t="s">
        <v>515</v>
      </c>
      <c r="H471" s="43" t="s">
        <v>1090</v>
      </c>
    </row>
    <row r="472" customFormat="false" ht="15" hidden="false" customHeight="false" outlineLevel="0" collapsed="false">
      <c r="A472" s="43" t="s">
        <v>179</v>
      </c>
      <c r="B472" s="43" t="n">
        <v>2025</v>
      </c>
      <c r="C472" s="43" t="n">
        <v>2</v>
      </c>
      <c r="D472" s="43" t="s">
        <v>50</v>
      </c>
      <c r="E472" s="43" t="s">
        <v>1081</v>
      </c>
      <c r="F472" s="44" t="n">
        <v>0</v>
      </c>
      <c r="G472" s="43" t="s">
        <v>515</v>
      </c>
      <c r="H472" s="43" t="s">
        <v>1090</v>
      </c>
    </row>
    <row r="473" customFormat="false" ht="15" hidden="false" customHeight="false" outlineLevel="0" collapsed="false">
      <c r="A473" s="43" t="s">
        <v>179</v>
      </c>
      <c r="B473" s="43" t="n">
        <v>2025</v>
      </c>
      <c r="C473" s="43" t="n">
        <v>3</v>
      </c>
      <c r="D473" s="43" t="s">
        <v>51</v>
      </c>
      <c r="E473" s="43" t="s">
        <v>1081</v>
      </c>
      <c r="F473" s="44" t="n">
        <v>0</v>
      </c>
      <c r="G473" s="43" t="s">
        <v>515</v>
      </c>
      <c r="H473" s="43" t="s">
        <v>1090</v>
      </c>
    </row>
    <row r="474" customFormat="false" ht="15" hidden="false" customHeight="false" outlineLevel="0" collapsed="false">
      <c r="A474" s="43" t="s">
        <v>179</v>
      </c>
      <c r="B474" s="43" t="n">
        <v>2025</v>
      </c>
      <c r="C474" s="43" t="n">
        <v>4</v>
      </c>
      <c r="D474" s="43" t="s">
        <v>52</v>
      </c>
      <c r="E474" s="43" t="s">
        <v>1081</v>
      </c>
      <c r="F474" s="44" t="n">
        <v>14380</v>
      </c>
      <c r="G474" s="43" t="s">
        <v>515</v>
      </c>
      <c r="H474" s="43" t="s">
        <v>1090</v>
      </c>
    </row>
    <row r="475" customFormat="false" ht="15" hidden="false" customHeight="false" outlineLevel="0" collapsed="false">
      <c r="A475" s="43" t="s">
        <v>179</v>
      </c>
      <c r="B475" s="43" t="n">
        <v>2025</v>
      </c>
      <c r="C475" s="43" t="n">
        <v>5</v>
      </c>
      <c r="D475" s="43" t="s">
        <v>53</v>
      </c>
      <c r="E475" s="43" t="s">
        <v>1081</v>
      </c>
      <c r="F475" s="44" t="n">
        <v>0</v>
      </c>
      <c r="G475" s="43" t="s">
        <v>515</v>
      </c>
      <c r="H475" s="43" t="s">
        <v>1090</v>
      </c>
    </row>
    <row r="476" customFormat="false" ht="15" hidden="false" customHeight="false" outlineLevel="0" collapsed="false">
      <c r="A476" s="43" t="s">
        <v>179</v>
      </c>
      <c r="B476" s="43" t="n">
        <v>2025</v>
      </c>
      <c r="C476" s="43" t="n">
        <v>6</v>
      </c>
      <c r="D476" s="43" t="s">
        <v>54</v>
      </c>
      <c r="E476" s="43" t="s">
        <v>1081</v>
      </c>
      <c r="F476" s="44" t="n">
        <v>15094</v>
      </c>
      <c r="G476" s="43" t="s">
        <v>515</v>
      </c>
      <c r="H476" s="43" t="s">
        <v>1090</v>
      </c>
    </row>
    <row r="477" customFormat="false" ht="15" hidden="false" customHeight="false" outlineLevel="0" collapsed="false">
      <c r="A477" s="43" t="s">
        <v>179</v>
      </c>
      <c r="B477" s="43" t="n">
        <v>2025</v>
      </c>
      <c r="C477" s="43" t="n">
        <v>7</v>
      </c>
      <c r="D477" s="43" t="s">
        <v>55</v>
      </c>
      <c r="E477" s="43" t="s">
        <v>1081</v>
      </c>
      <c r="F477" s="44" t="n">
        <v>5684.8</v>
      </c>
      <c r="G477" s="43" t="s">
        <v>515</v>
      </c>
      <c r="H477" s="43" t="s">
        <v>1090</v>
      </c>
    </row>
    <row r="478" customFormat="false" ht="15" hidden="false" customHeight="false" outlineLevel="0" collapsed="false">
      <c r="A478" s="43" t="s">
        <v>179</v>
      </c>
      <c r="B478" s="43" t="n">
        <v>2025</v>
      </c>
      <c r="C478" s="43" t="n">
        <v>8</v>
      </c>
      <c r="D478" s="43" t="s">
        <v>56</v>
      </c>
      <c r="E478" s="43" t="s">
        <v>1081</v>
      </c>
      <c r="F478" s="44" t="n">
        <v>5684.8</v>
      </c>
      <c r="G478" s="43" t="s">
        <v>515</v>
      </c>
      <c r="H478" s="43" t="s">
        <v>1090</v>
      </c>
    </row>
    <row r="479" customFormat="false" ht="15" hidden="false" customHeight="false" outlineLevel="0" collapsed="false">
      <c r="A479" s="43" t="s">
        <v>179</v>
      </c>
      <c r="B479" s="43" t="n">
        <v>2025</v>
      </c>
      <c r="C479" s="43" t="n">
        <v>9</v>
      </c>
      <c r="D479" s="43" t="s">
        <v>57</v>
      </c>
      <c r="E479" s="43" t="s">
        <v>1081</v>
      </c>
      <c r="F479" s="44" t="n">
        <v>5684.8</v>
      </c>
      <c r="G479" s="43" t="s">
        <v>515</v>
      </c>
      <c r="H479" s="43" t="s">
        <v>1090</v>
      </c>
    </row>
    <row r="480" customFormat="false" ht="15" hidden="false" customHeight="false" outlineLevel="0" collapsed="false">
      <c r="A480" s="43" t="s">
        <v>179</v>
      </c>
      <c r="B480" s="43" t="n">
        <v>2025</v>
      </c>
      <c r="C480" s="43" t="n">
        <v>10</v>
      </c>
      <c r="D480" s="43" t="s">
        <v>58</v>
      </c>
      <c r="E480" s="43" t="s">
        <v>1081</v>
      </c>
      <c r="F480" s="44" t="n">
        <v>5684.8</v>
      </c>
      <c r="G480" s="43" t="s">
        <v>515</v>
      </c>
      <c r="H480" s="43" t="s">
        <v>1090</v>
      </c>
    </row>
    <row r="481" customFormat="false" ht="15" hidden="false" customHeight="false" outlineLevel="0" collapsed="false">
      <c r="A481" s="43" t="s">
        <v>179</v>
      </c>
      <c r="B481" s="43" t="n">
        <v>2025</v>
      </c>
      <c r="C481" s="43" t="n">
        <v>11</v>
      </c>
      <c r="D481" s="43" t="s">
        <v>59</v>
      </c>
      <c r="E481" s="43" t="s">
        <v>1081</v>
      </c>
      <c r="F481" s="44" t="n">
        <v>5684.8</v>
      </c>
      <c r="G481" s="43" t="s">
        <v>515</v>
      </c>
      <c r="H481" s="43" t="s">
        <v>1090</v>
      </c>
    </row>
    <row r="482" customFormat="false" ht="15" hidden="false" customHeight="false" outlineLevel="0" collapsed="false">
      <c r="A482" s="43" t="s">
        <v>179</v>
      </c>
      <c r="B482" s="43" t="n">
        <v>2025</v>
      </c>
      <c r="C482" s="43" t="n">
        <v>12</v>
      </c>
      <c r="D482" s="43" t="s">
        <v>60</v>
      </c>
      <c r="E482" s="43" t="s">
        <v>1081</v>
      </c>
      <c r="F482" s="44" t="n">
        <v>5684.8</v>
      </c>
      <c r="G482" s="43" t="s">
        <v>515</v>
      </c>
      <c r="H482" s="43" t="s">
        <v>1090</v>
      </c>
    </row>
    <row r="483" customFormat="false" ht="15" hidden="false" customHeight="false" outlineLevel="0" collapsed="false">
      <c r="A483" s="43" t="s">
        <v>179</v>
      </c>
      <c r="B483" s="43" t="n">
        <v>2025</v>
      </c>
      <c r="C483" s="43" t="n">
        <v>1</v>
      </c>
      <c r="D483" s="43" t="s">
        <v>49</v>
      </c>
      <c r="E483" s="43" t="s">
        <v>1082</v>
      </c>
      <c r="F483" s="44" t="n">
        <v>0</v>
      </c>
      <c r="G483" s="43" t="s">
        <v>515</v>
      </c>
      <c r="H483" s="43" t="s">
        <v>1090</v>
      </c>
    </row>
    <row r="484" customFormat="false" ht="15" hidden="false" customHeight="false" outlineLevel="0" collapsed="false">
      <c r="A484" s="43" t="s">
        <v>179</v>
      </c>
      <c r="B484" s="43" t="n">
        <v>2025</v>
      </c>
      <c r="C484" s="43" t="n">
        <v>2</v>
      </c>
      <c r="D484" s="43" t="s">
        <v>50</v>
      </c>
      <c r="E484" s="43" t="s">
        <v>1082</v>
      </c>
      <c r="F484" s="44" t="n">
        <v>0</v>
      </c>
      <c r="G484" s="43" t="s">
        <v>515</v>
      </c>
      <c r="H484" s="43" t="s">
        <v>1090</v>
      </c>
    </row>
    <row r="485" customFormat="false" ht="15" hidden="false" customHeight="false" outlineLevel="0" collapsed="false">
      <c r="A485" s="43" t="s">
        <v>179</v>
      </c>
      <c r="B485" s="43" t="n">
        <v>2025</v>
      </c>
      <c r="C485" s="43" t="n">
        <v>3</v>
      </c>
      <c r="D485" s="43" t="s">
        <v>51</v>
      </c>
      <c r="E485" s="43" t="s">
        <v>1082</v>
      </c>
      <c r="F485" s="44" t="n">
        <v>0</v>
      </c>
      <c r="G485" s="43" t="s">
        <v>515</v>
      </c>
      <c r="H485" s="43" t="s">
        <v>1090</v>
      </c>
    </row>
    <row r="486" customFormat="false" ht="15" hidden="false" customHeight="false" outlineLevel="0" collapsed="false">
      <c r="A486" s="43" t="s">
        <v>179</v>
      </c>
      <c r="B486" s="43" t="n">
        <v>2025</v>
      </c>
      <c r="C486" s="43" t="n">
        <v>4</v>
      </c>
      <c r="D486" s="43" t="s">
        <v>52</v>
      </c>
      <c r="E486" s="43" t="s">
        <v>1082</v>
      </c>
      <c r="F486" s="44" t="n">
        <v>0</v>
      </c>
      <c r="G486" s="43" t="s">
        <v>515</v>
      </c>
      <c r="H486" s="43" t="s">
        <v>1090</v>
      </c>
    </row>
    <row r="487" customFormat="false" ht="15" hidden="false" customHeight="false" outlineLevel="0" collapsed="false">
      <c r="A487" s="43" t="s">
        <v>179</v>
      </c>
      <c r="B487" s="43" t="n">
        <v>2025</v>
      </c>
      <c r="C487" s="43" t="n">
        <v>5</v>
      </c>
      <c r="D487" s="43" t="s">
        <v>53</v>
      </c>
      <c r="E487" s="43" t="s">
        <v>1082</v>
      </c>
      <c r="F487" s="44" t="n">
        <v>0</v>
      </c>
      <c r="G487" s="43" t="s">
        <v>515</v>
      </c>
      <c r="H487" s="43" t="s">
        <v>1090</v>
      </c>
    </row>
    <row r="488" customFormat="false" ht="15" hidden="false" customHeight="false" outlineLevel="0" collapsed="false">
      <c r="A488" s="43" t="s">
        <v>179</v>
      </c>
      <c r="B488" s="43" t="n">
        <v>2025</v>
      </c>
      <c r="C488" s="43" t="n">
        <v>6</v>
      </c>
      <c r="D488" s="43" t="s">
        <v>54</v>
      </c>
      <c r="E488" s="43" t="s">
        <v>1082</v>
      </c>
      <c r="F488" s="44" t="n">
        <v>0</v>
      </c>
      <c r="G488" s="43" t="s">
        <v>515</v>
      </c>
      <c r="H488" s="43" t="s">
        <v>1090</v>
      </c>
    </row>
    <row r="489" customFormat="false" ht="15" hidden="false" customHeight="false" outlineLevel="0" collapsed="false">
      <c r="A489" s="43" t="s">
        <v>179</v>
      </c>
      <c r="B489" s="43" t="n">
        <v>2025</v>
      </c>
      <c r="C489" s="43" t="n">
        <v>7</v>
      </c>
      <c r="D489" s="43" t="s">
        <v>55</v>
      </c>
      <c r="E489" s="43" t="s">
        <v>1082</v>
      </c>
      <c r="F489" s="44" t="n">
        <v>0</v>
      </c>
      <c r="G489" s="43" t="s">
        <v>515</v>
      </c>
      <c r="H489" s="43" t="s">
        <v>1090</v>
      </c>
    </row>
    <row r="490" customFormat="false" ht="15" hidden="false" customHeight="false" outlineLevel="0" collapsed="false">
      <c r="A490" s="43" t="s">
        <v>179</v>
      </c>
      <c r="B490" s="43" t="n">
        <v>2025</v>
      </c>
      <c r="C490" s="43" t="n">
        <v>8</v>
      </c>
      <c r="D490" s="43" t="s">
        <v>56</v>
      </c>
      <c r="E490" s="43" t="s">
        <v>1082</v>
      </c>
      <c r="F490" s="44" t="n">
        <v>0</v>
      </c>
      <c r="G490" s="43" t="s">
        <v>515</v>
      </c>
      <c r="H490" s="43" t="s">
        <v>1090</v>
      </c>
    </row>
    <row r="491" customFormat="false" ht="15" hidden="false" customHeight="false" outlineLevel="0" collapsed="false">
      <c r="A491" s="43" t="s">
        <v>179</v>
      </c>
      <c r="B491" s="43" t="n">
        <v>2025</v>
      </c>
      <c r="C491" s="43" t="n">
        <v>9</v>
      </c>
      <c r="D491" s="43" t="s">
        <v>57</v>
      </c>
      <c r="E491" s="43" t="s">
        <v>1082</v>
      </c>
      <c r="F491" s="44" t="n">
        <v>0</v>
      </c>
      <c r="G491" s="43" t="s">
        <v>515</v>
      </c>
      <c r="H491" s="43" t="s">
        <v>1090</v>
      </c>
    </row>
    <row r="492" customFormat="false" ht="15" hidden="false" customHeight="false" outlineLevel="0" collapsed="false">
      <c r="A492" s="43" t="s">
        <v>179</v>
      </c>
      <c r="B492" s="43" t="n">
        <v>2025</v>
      </c>
      <c r="C492" s="43" t="n">
        <v>10</v>
      </c>
      <c r="D492" s="43" t="s">
        <v>58</v>
      </c>
      <c r="E492" s="43" t="s">
        <v>1082</v>
      </c>
      <c r="F492" s="44" t="n">
        <v>0</v>
      </c>
      <c r="G492" s="43" t="s">
        <v>515</v>
      </c>
      <c r="H492" s="43" t="s">
        <v>1090</v>
      </c>
    </row>
    <row r="493" customFormat="false" ht="15" hidden="false" customHeight="false" outlineLevel="0" collapsed="false">
      <c r="A493" s="43" t="s">
        <v>179</v>
      </c>
      <c r="B493" s="43" t="n">
        <v>2025</v>
      </c>
      <c r="C493" s="43" t="n">
        <v>11</v>
      </c>
      <c r="D493" s="43" t="s">
        <v>59</v>
      </c>
      <c r="E493" s="43" t="s">
        <v>1082</v>
      </c>
      <c r="F493" s="44" t="n">
        <v>0</v>
      </c>
      <c r="G493" s="43" t="s">
        <v>515</v>
      </c>
      <c r="H493" s="43" t="s">
        <v>1090</v>
      </c>
    </row>
    <row r="494" customFormat="false" ht="15" hidden="false" customHeight="false" outlineLevel="0" collapsed="false">
      <c r="A494" s="43" t="s">
        <v>179</v>
      </c>
      <c r="B494" s="43" t="n">
        <v>2025</v>
      </c>
      <c r="C494" s="43" t="n">
        <v>12</v>
      </c>
      <c r="D494" s="43" t="s">
        <v>60</v>
      </c>
      <c r="E494" s="43" t="s">
        <v>1082</v>
      </c>
      <c r="F494" s="44" t="n">
        <v>0</v>
      </c>
      <c r="G494" s="43" t="s">
        <v>515</v>
      </c>
      <c r="H494" s="43" t="s">
        <v>1090</v>
      </c>
    </row>
    <row r="495" customFormat="false" ht="15" hidden="false" customHeight="false" outlineLevel="0" collapsed="false">
      <c r="A495" s="43" t="s">
        <v>179</v>
      </c>
      <c r="B495" s="43" t="n">
        <v>2025</v>
      </c>
      <c r="C495" s="43" t="n">
        <v>1</v>
      </c>
      <c r="D495" s="43" t="s">
        <v>49</v>
      </c>
      <c r="E495" s="43" t="s">
        <v>1083</v>
      </c>
      <c r="F495" s="44" t="n">
        <v>0</v>
      </c>
      <c r="G495" s="43" t="s">
        <v>515</v>
      </c>
      <c r="H495" s="43" t="s">
        <v>1090</v>
      </c>
    </row>
    <row r="496" customFormat="false" ht="15" hidden="false" customHeight="false" outlineLevel="0" collapsed="false">
      <c r="A496" s="43" t="s">
        <v>179</v>
      </c>
      <c r="B496" s="43" t="n">
        <v>2025</v>
      </c>
      <c r="C496" s="43" t="n">
        <v>2</v>
      </c>
      <c r="D496" s="43" t="s">
        <v>50</v>
      </c>
      <c r="E496" s="43" t="s">
        <v>1083</v>
      </c>
      <c r="F496" s="44" t="n">
        <v>0</v>
      </c>
      <c r="G496" s="43" t="s">
        <v>515</v>
      </c>
      <c r="H496" s="43" t="s">
        <v>1090</v>
      </c>
    </row>
    <row r="497" customFormat="false" ht="15" hidden="false" customHeight="false" outlineLevel="0" collapsed="false">
      <c r="A497" s="43" t="s">
        <v>179</v>
      </c>
      <c r="B497" s="43" t="n">
        <v>2025</v>
      </c>
      <c r="C497" s="43" t="n">
        <v>3</v>
      </c>
      <c r="D497" s="43" t="s">
        <v>51</v>
      </c>
      <c r="E497" s="43" t="s">
        <v>1083</v>
      </c>
      <c r="F497" s="44" t="n">
        <v>0</v>
      </c>
      <c r="G497" s="43" t="s">
        <v>515</v>
      </c>
      <c r="H497" s="43" t="s">
        <v>1090</v>
      </c>
    </row>
    <row r="498" customFormat="false" ht="15" hidden="false" customHeight="false" outlineLevel="0" collapsed="false">
      <c r="A498" s="43" t="s">
        <v>179</v>
      </c>
      <c r="B498" s="43" t="n">
        <v>2025</v>
      </c>
      <c r="C498" s="43" t="n">
        <v>4</v>
      </c>
      <c r="D498" s="43" t="s">
        <v>52</v>
      </c>
      <c r="E498" s="43" t="s">
        <v>1083</v>
      </c>
      <c r="F498" s="44" t="n">
        <v>0</v>
      </c>
      <c r="G498" s="43" t="s">
        <v>515</v>
      </c>
      <c r="H498" s="43" t="s">
        <v>1090</v>
      </c>
    </row>
    <row r="499" customFormat="false" ht="15" hidden="false" customHeight="false" outlineLevel="0" collapsed="false">
      <c r="A499" s="43" t="s">
        <v>179</v>
      </c>
      <c r="B499" s="43" t="n">
        <v>2025</v>
      </c>
      <c r="C499" s="43" t="n">
        <v>5</v>
      </c>
      <c r="D499" s="43" t="s">
        <v>53</v>
      </c>
      <c r="E499" s="43" t="s">
        <v>1083</v>
      </c>
      <c r="F499" s="44" t="n">
        <v>16000</v>
      </c>
      <c r="G499" s="43" t="s">
        <v>515</v>
      </c>
      <c r="H499" s="43" t="s">
        <v>1090</v>
      </c>
    </row>
    <row r="500" customFormat="false" ht="15" hidden="false" customHeight="false" outlineLevel="0" collapsed="false">
      <c r="A500" s="43" t="s">
        <v>179</v>
      </c>
      <c r="B500" s="43" t="n">
        <v>2025</v>
      </c>
      <c r="C500" s="43" t="n">
        <v>6</v>
      </c>
      <c r="D500" s="43" t="s">
        <v>54</v>
      </c>
      <c r="E500" s="43" t="s">
        <v>1083</v>
      </c>
      <c r="F500" s="44" t="n">
        <v>0</v>
      </c>
      <c r="G500" s="43" t="s">
        <v>515</v>
      </c>
      <c r="H500" s="43" t="s">
        <v>1090</v>
      </c>
    </row>
    <row r="501" customFormat="false" ht="15" hidden="false" customHeight="false" outlineLevel="0" collapsed="false">
      <c r="A501" s="43" t="s">
        <v>179</v>
      </c>
      <c r="B501" s="43" t="n">
        <v>2025</v>
      </c>
      <c r="C501" s="43" t="n">
        <v>7</v>
      </c>
      <c r="D501" s="43" t="s">
        <v>55</v>
      </c>
      <c r="E501" s="43" t="s">
        <v>1083</v>
      </c>
      <c r="F501" s="44" t="n">
        <v>0</v>
      </c>
      <c r="G501" s="43" t="s">
        <v>515</v>
      </c>
      <c r="H501" s="43" t="s">
        <v>1090</v>
      </c>
    </row>
    <row r="502" customFormat="false" ht="15" hidden="false" customHeight="false" outlineLevel="0" collapsed="false">
      <c r="A502" s="43" t="s">
        <v>179</v>
      </c>
      <c r="B502" s="43" t="n">
        <v>2025</v>
      </c>
      <c r="C502" s="43" t="n">
        <v>8</v>
      </c>
      <c r="D502" s="43" t="s">
        <v>56</v>
      </c>
      <c r="E502" s="43" t="s">
        <v>1083</v>
      </c>
      <c r="F502" s="44" t="n">
        <v>0</v>
      </c>
      <c r="G502" s="43" t="s">
        <v>515</v>
      </c>
      <c r="H502" s="43" t="s">
        <v>1090</v>
      </c>
    </row>
    <row r="503" customFormat="false" ht="15" hidden="false" customHeight="false" outlineLevel="0" collapsed="false">
      <c r="A503" s="43" t="s">
        <v>179</v>
      </c>
      <c r="B503" s="43" t="n">
        <v>2025</v>
      </c>
      <c r="C503" s="43" t="n">
        <v>9</v>
      </c>
      <c r="D503" s="43" t="s">
        <v>57</v>
      </c>
      <c r="E503" s="43" t="s">
        <v>1083</v>
      </c>
      <c r="F503" s="44" t="n">
        <v>0</v>
      </c>
      <c r="G503" s="43" t="s">
        <v>515</v>
      </c>
      <c r="H503" s="43" t="s">
        <v>1090</v>
      </c>
    </row>
    <row r="504" customFormat="false" ht="15" hidden="false" customHeight="false" outlineLevel="0" collapsed="false">
      <c r="A504" s="43" t="s">
        <v>179</v>
      </c>
      <c r="B504" s="43" t="n">
        <v>2025</v>
      </c>
      <c r="C504" s="43" t="n">
        <v>10</v>
      </c>
      <c r="D504" s="43" t="s">
        <v>58</v>
      </c>
      <c r="E504" s="43" t="s">
        <v>1083</v>
      </c>
      <c r="F504" s="44" t="n">
        <v>0</v>
      </c>
      <c r="G504" s="43" t="s">
        <v>515</v>
      </c>
      <c r="H504" s="43" t="s">
        <v>1090</v>
      </c>
    </row>
    <row r="505" customFormat="false" ht="15" hidden="false" customHeight="false" outlineLevel="0" collapsed="false">
      <c r="A505" s="43" t="s">
        <v>179</v>
      </c>
      <c r="B505" s="43" t="n">
        <v>2025</v>
      </c>
      <c r="C505" s="43" t="n">
        <v>11</v>
      </c>
      <c r="D505" s="43" t="s">
        <v>59</v>
      </c>
      <c r="E505" s="43" t="s">
        <v>1083</v>
      </c>
      <c r="F505" s="44" t="n">
        <v>0</v>
      </c>
      <c r="G505" s="43" t="s">
        <v>515</v>
      </c>
      <c r="H505" s="43" t="s">
        <v>1090</v>
      </c>
    </row>
    <row r="506" customFormat="false" ht="15" hidden="false" customHeight="false" outlineLevel="0" collapsed="false">
      <c r="A506" s="43" t="s">
        <v>179</v>
      </c>
      <c r="B506" s="43" t="n">
        <v>2025</v>
      </c>
      <c r="C506" s="43" t="n">
        <v>12</v>
      </c>
      <c r="D506" s="43" t="s">
        <v>60</v>
      </c>
      <c r="E506" s="43" t="s">
        <v>1083</v>
      </c>
      <c r="F506" s="44" t="n">
        <v>0</v>
      </c>
      <c r="G506" s="43" t="s">
        <v>515</v>
      </c>
      <c r="H506" s="43" t="s">
        <v>1090</v>
      </c>
    </row>
    <row r="507" customFormat="false" ht="15" hidden="false" customHeight="false" outlineLevel="0" collapsed="false">
      <c r="A507" s="43" t="s">
        <v>179</v>
      </c>
      <c r="B507" s="43" t="n">
        <v>2025</v>
      </c>
      <c r="C507" s="43" t="n">
        <v>1</v>
      </c>
      <c r="D507" s="43" t="s">
        <v>49</v>
      </c>
      <c r="E507" s="43" t="s">
        <v>1084</v>
      </c>
      <c r="F507" s="44" t="n">
        <v>0</v>
      </c>
      <c r="G507" s="43" t="s">
        <v>515</v>
      </c>
      <c r="H507" s="43" t="s">
        <v>1090</v>
      </c>
    </row>
    <row r="508" customFormat="false" ht="15" hidden="false" customHeight="false" outlineLevel="0" collapsed="false">
      <c r="A508" s="43" t="s">
        <v>179</v>
      </c>
      <c r="B508" s="43" t="n">
        <v>2025</v>
      </c>
      <c r="C508" s="43" t="n">
        <v>2</v>
      </c>
      <c r="D508" s="43" t="s">
        <v>50</v>
      </c>
      <c r="E508" s="43" t="s">
        <v>1084</v>
      </c>
      <c r="F508" s="44" t="n">
        <v>0</v>
      </c>
      <c r="G508" s="43" t="s">
        <v>515</v>
      </c>
      <c r="H508" s="43" t="s">
        <v>1090</v>
      </c>
    </row>
    <row r="509" customFormat="false" ht="15" hidden="false" customHeight="false" outlineLevel="0" collapsed="false">
      <c r="A509" s="43" t="s">
        <v>179</v>
      </c>
      <c r="B509" s="43" t="n">
        <v>2025</v>
      </c>
      <c r="C509" s="43" t="n">
        <v>3</v>
      </c>
      <c r="D509" s="43" t="s">
        <v>51</v>
      </c>
      <c r="E509" s="43" t="s">
        <v>1084</v>
      </c>
      <c r="F509" s="44" t="n">
        <v>0</v>
      </c>
      <c r="G509" s="43" t="s">
        <v>515</v>
      </c>
      <c r="H509" s="43" t="s">
        <v>1090</v>
      </c>
    </row>
    <row r="510" customFormat="false" ht="15" hidden="false" customHeight="false" outlineLevel="0" collapsed="false">
      <c r="A510" s="43" t="s">
        <v>179</v>
      </c>
      <c r="B510" s="43" t="n">
        <v>2025</v>
      </c>
      <c r="C510" s="43" t="n">
        <v>4</v>
      </c>
      <c r="D510" s="43" t="s">
        <v>52</v>
      </c>
      <c r="E510" s="43" t="s">
        <v>1084</v>
      </c>
      <c r="F510" s="44" t="n">
        <v>0</v>
      </c>
      <c r="G510" s="43" t="s">
        <v>515</v>
      </c>
      <c r="H510" s="43" t="s">
        <v>1090</v>
      </c>
    </row>
    <row r="511" customFormat="false" ht="15" hidden="false" customHeight="false" outlineLevel="0" collapsed="false">
      <c r="A511" s="43" t="s">
        <v>179</v>
      </c>
      <c r="B511" s="43" t="n">
        <v>2025</v>
      </c>
      <c r="C511" s="43" t="n">
        <v>5</v>
      </c>
      <c r="D511" s="43" t="s">
        <v>53</v>
      </c>
      <c r="E511" s="43" t="s">
        <v>1084</v>
      </c>
      <c r="F511" s="44" t="n">
        <v>0</v>
      </c>
      <c r="G511" s="43" t="s">
        <v>515</v>
      </c>
      <c r="H511" s="43" t="s">
        <v>1090</v>
      </c>
    </row>
    <row r="512" customFormat="false" ht="15" hidden="false" customHeight="false" outlineLevel="0" collapsed="false">
      <c r="A512" s="43" t="s">
        <v>179</v>
      </c>
      <c r="B512" s="43" t="n">
        <v>2025</v>
      </c>
      <c r="C512" s="43" t="n">
        <v>6</v>
      </c>
      <c r="D512" s="43" t="s">
        <v>54</v>
      </c>
      <c r="E512" s="43" t="s">
        <v>1084</v>
      </c>
      <c r="F512" s="44" t="n">
        <v>0</v>
      </c>
      <c r="G512" s="43" t="s">
        <v>515</v>
      </c>
      <c r="H512" s="43" t="s">
        <v>1090</v>
      </c>
    </row>
    <row r="513" customFormat="false" ht="15" hidden="false" customHeight="false" outlineLevel="0" collapsed="false">
      <c r="A513" s="43" t="s">
        <v>179</v>
      </c>
      <c r="B513" s="43" t="n">
        <v>2025</v>
      </c>
      <c r="C513" s="43" t="n">
        <v>7</v>
      </c>
      <c r="D513" s="43" t="s">
        <v>55</v>
      </c>
      <c r="E513" s="43" t="s">
        <v>1084</v>
      </c>
      <c r="F513" s="44" t="n">
        <v>0</v>
      </c>
      <c r="G513" s="43" t="s">
        <v>515</v>
      </c>
      <c r="H513" s="43" t="s">
        <v>1090</v>
      </c>
    </row>
    <row r="514" customFormat="false" ht="15" hidden="false" customHeight="false" outlineLevel="0" collapsed="false">
      <c r="A514" s="43" t="s">
        <v>179</v>
      </c>
      <c r="B514" s="43" t="n">
        <v>2025</v>
      </c>
      <c r="C514" s="43" t="n">
        <v>8</v>
      </c>
      <c r="D514" s="43" t="s">
        <v>56</v>
      </c>
      <c r="E514" s="43" t="s">
        <v>1084</v>
      </c>
      <c r="F514" s="44" t="n">
        <v>0</v>
      </c>
      <c r="G514" s="43" t="s">
        <v>515</v>
      </c>
      <c r="H514" s="43" t="s">
        <v>1090</v>
      </c>
    </row>
    <row r="515" customFormat="false" ht="15" hidden="false" customHeight="false" outlineLevel="0" collapsed="false">
      <c r="A515" s="43" t="s">
        <v>179</v>
      </c>
      <c r="B515" s="43" t="n">
        <v>2025</v>
      </c>
      <c r="C515" s="43" t="n">
        <v>9</v>
      </c>
      <c r="D515" s="43" t="s">
        <v>57</v>
      </c>
      <c r="E515" s="43" t="s">
        <v>1084</v>
      </c>
      <c r="F515" s="44" t="n">
        <v>0</v>
      </c>
      <c r="G515" s="43" t="s">
        <v>515</v>
      </c>
      <c r="H515" s="43" t="s">
        <v>1090</v>
      </c>
    </row>
    <row r="516" customFormat="false" ht="15" hidden="false" customHeight="false" outlineLevel="0" collapsed="false">
      <c r="A516" s="43" t="s">
        <v>179</v>
      </c>
      <c r="B516" s="43" t="n">
        <v>2025</v>
      </c>
      <c r="C516" s="43" t="n">
        <v>10</v>
      </c>
      <c r="D516" s="43" t="s">
        <v>58</v>
      </c>
      <c r="E516" s="43" t="s">
        <v>1084</v>
      </c>
      <c r="F516" s="44" t="n">
        <v>0</v>
      </c>
      <c r="G516" s="43" t="s">
        <v>515</v>
      </c>
      <c r="H516" s="43" t="s">
        <v>1090</v>
      </c>
    </row>
    <row r="517" customFormat="false" ht="15" hidden="false" customHeight="false" outlineLevel="0" collapsed="false">
      <c r="A517" s="43" t="s">
        <v>179</v>
      </c>
      <c r="B517" s="43" t="n">
        <v>2025</v>
      </c>
      <c r="C517" s="43" t="n">
        <v>11</v>
      </c>
      <c r="D517" s="43" t="s">
        <v>59</v>
      </c>
      <c r="E517" s="43" t="s">
        <v>1084</v>
      </c>
      <c r="F517" s="44" t="n">
        <v>0</v>
      </c>
      <c r="G517" s="43" t="s">
        <v>515</v>
      </c>
      <c r="H517" s="43" t="s">
        <v>1090</v>
      </c>
    </row>
    <row r="518" customFormat="false" ht="15" hidden="false" customHeight="false" outlineLevel="0" collapsed="false">
      <c r="A518" s="43" t="s">
        <v>179</v>
      </c>
      <c r="B518" s="43" t="n">
        <v>2025</v>
      </c>
      <c r="C518" s="43" t="n">
        <v>12</v>
      </c>
      <c r="D518" s="43" t="s">
        <v>60</v>
      </c>
      <c r="E518" s="43" t="s">
        <v>1084</v>
      </c>
      <c r="F518" s="44" t="n">
        <v>0</v>
      </c>
      <c r="G518" s="43" t="s">
        <v>515</v>
      </c>
      <c r="H518" s="43" t="s">
        <v>1090</v>
      </c>
    </row>
    <row r="519" customFormat="false" ht="15" hidden="false" customHeight="false" outlineLevel="0" collapsed="false">
      <c r="A519" s="43" t="s">
        <v>179</v>
      </c>
      <c r="B519" s="43" t="n">
        <v>2025</v>
      </c>
      <c r="C519" s="43" t="n">
        <v>1</v>
      </c>
      <c r="D519" s="43" t="s">
        <v>49</v>
      </c>
      <c r="E519" s="43" t="s">
        <v>1085</v>
      </c>
      <c r="F519" s="44" t="n">
        <v>0</v>
      </c>
      <c r="G519" s="43" t="s">
        <v>515</v>
      </c>
      <c r="H519" s="43" t="s">
        <v>1090</v>
      </c>
    </row>
    <row r="520" customFormat="false" ht="15" hidden="false" customHeight="false" outlineLevel="0" collapsed="false">
      <c r="A520" s="43" t="s">
        <v>179</v>
      </c>
      <c r="B520" s="43" t="n">
        <v>2025</v>
      </c>
      <c r="C520" s="43" t="n">
        <v>2</v>
      </c>
      <c r="D520" s="43" t="s">
        <v>50</v>
      </c>
      <c r="E520" s="43" t="s">
        <v>1085</v>
      </c>
      <c r="F520" s="44" t="n">
        <v>0</v>
      </c>
      <c r="G520" s="43" t="s">
        <v>515</v>
      </c>
      <c r="H520" s="43" t="s">
        <v>1090</v>
      </c>
    </row>
    <row r="521" customFormat="false" ht="15" hidden="false" customHeight="false" outlineLevel="0" collapsed="false">
      <c r="A521" s="43" t="s">
        <v>179</v>
      </c>
      <c r="B521" s="43" t="n">
        <v>2025</v>
      </c>
      <c r="C521" s="43" t="n">
        <v>3</v>
      </c>
      <c r="D521" s="43" t="s">
        <v>51</v>
      </c>
      <c r="E521" s="43" t="s">
        <v>1085</v>
      </c>
      <c r="F521" s="44" t="n">
        <v>0</v>
      </c>
      <c r="G521" s="43" t="s">
        <v>515</v>
      </c>
      <c r="H521" s="43" t="s">
        <v>1090</v>
      </c>
    </row>
    <row r="522" customFormat="false" ht="15" hidden="false" customHeight="false" outlineLevel="0" collapsed="false">
      <c r="A522" s="43" t="s">
        <v>179</v>
      </c>
      <c r="B522" s="43" t="n">
        <v>2025</v>
      </c>
      <c r="C522" s="43" t="n">
        <v>4</v>
      </c>
      <c r="D522" s="43" t="s">
        <v>52</v>
      </c>
      <c r="E522" s="43" t="s">
        <v>1085</v>
      </c>
      <c r="F522" s="44" t="n">
        <v>0</v>
      </c>
      <c r="G522" s="43" t="s">
        <v>515</v>
      </c>
      <c r="H522" s="43" t="s">
        <v>1090</v>
      </c>
    </row>
    <row r="523" customFormat="false" ht="15" hidden="false" customHeight="false" outlineLevel="0" collapsed="false">
      <c r="A523" s="43" t="s">
        <v>179</v>
      </c>
      <c r="B523" s="43" t="n">
        <v>2025</v>
      </c>
      <c r="C523" s="43" t="n">
        <v>5</v>
      </c>
      <c r="D523" s="43" t="s">
        <v>53</v>
      </c>
      <c r="E523" s="43" t="s">
        <v>1085</v>
      </c>
      <c r="F523" s="44" t="n">
        <v>0</v>
      </c>
      <c r="G523" s="43" t="s">
        <v>515</v>
      </c>
      <c r="H523" s="43" t="s">
        <v>1090</v>
      </c>
    </row>
    <row r="524" customFormat="false" ht="15" hidden="false" customHeight="false" outlineLevel="0" collapsed="false">
      <c r="A524" s="43" t="s">
        <v>179</v>
      </c>
      <c r="B524" s="43" t="n">
        <v>2025</v>
      </c>
      <c r="C524" s="43" t="n">
        <v>6</v>
      </c>
      <c r="D524" s="43" t="s">
        <v>54</v>
      </c>
      <c r="E524" s="43" t="s">
        <v>1085</v>
      </c>
      <c r="F524" s="44" t="n">
        <v>0</v>
      </c>
      <c r="G524" s="43" t="s">
        <v>515</v>
      </c>
      <c r="H524" s="43" t="s">
        <v>1090</v>
      </c>
    </row>
    <row r="525" customFormat="false" ht="15" hidden="false" customHeight="false" outlineLevel="0" collapsed="false">
      <c r="A525" s="43" t="s">
        <v>179</v>
      </c>
      <c r="B525" s="43" t="n">
        <v>2025</v>
      </c>
      <c r="C525" s="43" t="n">
        <v>7</v>
      </c>
      <c r="D525" s="43" t="s">
        <v>55</v>
      </c>
      <c r="E525" s="43" t="s">
        <v>1085</v>
      </c>
      <c r="F525" s="44" t="n">
        <v>0</v>
      </c>
      <c r="G525" s="43" t="s">
        <v>515</v>
      </c>
      <c r="H525" s="43" t="s">
        <v>1090</v>
      </c>
    </row>
    <row r="526" customFormat="false" ht="15" hidden="false" customHeight="false" outlineLevel="0" collapsed="false">
      <c r="A526" s="43" t="s">
        <v>179</v>
      </c>
      <c r="B526" s="43" t="n">
        <v>2025</v>
      </c>
      <c r="C526" s="43" t="n">
        <v>8</v>
      </c>
      <c r="D526" s="43" t="s">
        <v>56</v>
      </c>
      <c r="E526" s="43" t="s">
        <v>1085</v>
      </c>
      <c r="F526" s="44" t="n">
        <v>0</v>
      </c>
      <c r="G526" s="43" t="s">
        <v>515</v>
      </c>
      <c r="H526" s="43" t="s">
        <v>1090</v>
      </c>
    </row>
    <row r="527" customFormat="false" ht="15" hidden="false" customHeight="false" outlineLevel="0" collapsed="false">
      <c r="A527" s="43" t="s">
        <v>179</v>
      </c>
      <c r="B527" s="43" t="n">
        <v>2025</v>
      </c>
      <c r="C527" s="43" t="n">
        <v>9</v>
      </c>
      <c r="D527" s="43" t="s">
        <v>57</v>
      </c>
      <c r="E527" s="43" t="s">
        <v>1085</v>
      </c>
      <c r="F527" s="44" t="n">
        <v>0</v>
      </c>
      <c r="G527" s="43" t="s">
        <v>515</v>
      </c>
      <c r="H527" s="43" t="s">
        <v>1090</v>
      </c>
    </row>
    <row r="528" customFormat="false" ht="15" hidden="false" customHeight="false" outlineLevel="0" collapsed="false">
      <c r="A528" s="43" t="s">
        <v>179</v>
      </c>
      <c r="B528" s="43" t="n">
        <v>2025</v>
      </c>
      <c r="C528" s="43" t="n">
        <v>10</v>
      </c>
      <c r="D528" s="43" t="s">
        <v>58</v>
      </c>
      <c r="E528" s="43" t="s">
        <v>1085</v>
      </c>
      <c r="F528" s="44" t="n">
        <v>0</v>
      </c>
      <c r="G528" s="43" t="s">
        <v>515</v>
      </c>
      <c r="H528" s="43" t="s">
        <v>1090</v>
      </c>
    </row>
    <row r="529" customFormat="false" ht="15" hidden="false" customHeight="false" outlineLevel="0" collapsed="false">
      <c r="A529" s="43" t="s">
        <v>179</v>
      </c>
      <c r="B529" s="43" t="n">
        <v>2025</v>
      </c>
      <c r="C529" s="43" t="n">
        <v>11</v>
      </c>
      <c r="D529" s="43" t="s">
        <v>59</v>
      </c>
      <c r="E529" s="43" t="s">
        <v>1085</v>
      </c>
      <c r="F529" s="44" t="n">
        <v>0</v>
      </c>
      <c r="G529" s="43" t="s">
        <v>515</v>
      </c>
      <c r="H529" s="43" t="s">
        <v>1090</v>
      </c>
    </row>
    <row r="530" customFormat="false" ht="15" hidden="false" customHeight="false" outlineLevel="0" collapsed="false">
      <c r="A530" s="43" t="s">
        <v>179</v>
      </c>
      <c r="B530" s="43" t="n">
        <v>2025</v>
      </c>
      <c r="C530" s="43" t="n">
        <v>12</v>
      </c>
      <c r="D530" s="43" t="s">
        <v>60</v>
      </c>
      <c r="E530" s="43" t="s">
        <v>1085</v>
      </c>
      <c r="F530" s="44" t="n">
        <v>0</v>
      </c>
      <c r="G530" s="43" t="s">
        <v>515</v>
      </c>
      <c r="H530" s="43" t="s">
        <v>1090</v>
      </c>
    </row>
    <row r="531" customFormat="false" ht="15" hidden="false" customHeight="false" outlineLevel="0" collapsed="false">
      <c r="A531" s="43" t="s">
        <v>179</v>
      </c>
      <c r="B531" s="43" t="n">
        <v>2025</v>
      </c>
      <c r="C531" s="43" t="n">
        <v>1</v>
      </c>
      <c r="D531" s="43" t="s">
        <v>49</v>
      </c>
      <c r="E531" s="43" t="s">
        <v>1086</v>
      </c>
      <c r="F531" s="44" t="n">
        <v>-14044</v>
      </c>
      <c r="G531" s="43" t="s">
        <v>515</v>
      </c>
      <c r="H531" s="43" t="s">
        <v>1090</v>
      </c>
    </row>
    <row r="532" customFormat="false" ht="15" hidden="false" customHeight="false" outlineLevel="0" collapsed="false">
      <c r="A532" s="43" t="s">
        <v>179</v>
      </c>
      <c r="B532" s="43" t="n">
        <v>2025</v>
      </c>
      <c r="C532" s="43" t="n">
        <v>2</v>
      </c>
      <c r="D532" s="43" t="s">
        <v>50</v>
      </c>
      <c r="E532" s="43" t="s">
        <v>1086</v>
      </c>
      <c r="F532" s="44" t="n">
        <v>21682</v>
      </c>
      <c r="G532" s="43" t="s">
        <v>515</v>
      </c>
      <c r="H532" s="43" t="s">
        <v>1090</v>
      </c>
    </row>
    <row r="533" customFormat="false" ht="15" hidden="false" customHeight="false" outlineLevel="0" collapsed="false">
      <c r="A533" s="43" t="s">
        <v>179</v>
      </c>
      <c r="B533" s="43" t="n">
        <v>2025</v>
      </c>
      <c r="C533" s="43" t="n">
        <v>3</v>
      </c>
      <c r="D533" s="43" t="s">
        <v>51</v>
      </c>
      <c r="E533" s="43" t="s">
        <v>1086</v>
      </c>
      <c r="F533" s="44" t="n">
        <v>45478</v>
      </c>
      <c r="G533" s="43" t="s">
        <v>515</v>
      </c>
      <c r="H533" s="43" t="s">
        <v>1090</v>
      </c>
    </row>
    <row r="534" customFormat="false" ht="15" hidden="false" customHeight="false" outlineLevel="0" collapsed="false">
      <c r="A534" s="43" t="s">
        <v>179</v>
      </c>
      <c r="B534" s="43" t="n">
        <v>2025</v>
      </c>
      <c r="C534" s="43" t="n">
        <v>4</v>
      </c>
      <c r="D534" s="43" t="s">
        <v>52</v>
      </c>
      <c r="E534" s="43" t="s">
        <v>1086</v>
      </c>
      <c r="F534" s="44" t="n">
        <v>-14380</v>
      </c>
      <c r="G534" s="43" t="s">
        <v>515</v>
      </c>
      <c r="H534" s="43" t="s">
        <v>1090</v>
      </c>
    </row>
    <row r="535" customFormat="false" ht="15" hidden="false" customHeight="false" outlineLevel="0" collapsed="false">
      <c r="A535" s="43" t="s">
        <v>179</v>
      </c>
      <c r="B535" s="43" t="n">
        <v>2025</v>
      </c>
      <c r="C535" s="43" t="n">
        <v>5</v>
      </c>
      <c r="D535" s="43" t="s">
        <v>53</v>
      </c>
      <c r="E535" s="43" t="s">
        <v>1086</v>
      </c>
      <c r="F535" s="44" t="n">
        <v>399568</v>
      </c>
      <c r="G535" s="43" t="s">
        <v>515</v>
      </c>
      <c r="H535" s="43" t="s">
        <v>1090</v>
      </c>
    </row>
    <row r="536" customFormat="false" ht="15" hidden="false" customHeight="false" outlineLevel="0" collapsed="false">
      <c r="A536" s="43" t="s">
        <v>179</v>
      </c>
      <c r="B536" s="43" t="n">
        <v>2025</v>
      </c>
      <c r="C536" s="43" t="n">
        <v>6</v>
      </c>
      <c r="D536" s="43" t="s">
        <v>54</v>
      </c>
      <c r="E536" s="43" t="s">
        <v>1086</v>
      </c>
      <c r="F536" s="44" t="n">
        <v>156951</v>
      </c>
      <c r="G536" s="43" t="s">
        <v>515</v>
      </c>
      <c r="H536" s="43" t="s">
        <v>1090</v>
      </c>
    </row>
    <row r="537" customFormat="false" ht="15" hidden="false" customHeight="false" outlineLevel="0" collapsed="false">
      <c r="A537" s="43" t="s">
        <v>179</v>
      </c>
      <c r="B537" s="43" t="n">
        <v>2025</v>
      </c>
      <c r="C537" s="43" t="n">
        <v>7</v>
      </c>
      <c r="D537" s="43" t="s">
        <v>55</v>
      </c>
      <c r="E537" s="43" t="s">
        <v>1086</v>
      </c>
      <c r="F537" s="44" t="n">
        <v>-5684.8</v>
      </c>
      <c r="G537" s="43" t="s">
        <v>515</v>
      </c>
      <c r="H537" s="43" t="s">
        <v>1090</v>
      </c>
    </row>
    <row r="538" customFormat="false" ht="15" hidden="false" customHeight="false" outlineLevel="0" collapsed="false">
      <c r="A538" s="43" t="s">
        <v>179</v>
      </c>
      <c r="B538" s="43" t="n">
        <v>2025</v>
      </c>
      <c r="C538" s="43" t="n">
        <v>8</v>
      </c>
      <c r="D538" s="43" t="s">
        <v>56</v>
      </c>
      <c r="E538" s="43" t="s">
        <v>1086</v>
      </c>
      <c r="F538" s="44" t="n">
        <v>93839.2</v>
      </c>
      <c r="G538" s="43" t="s">
        <v>515</v>
      </c>
      <c r="H538" s="43" t="s">
        <v>1090</v>
      </c>
    </row>
    <row r="539" customFormat="false" ht="15" hidden="false" customHeight="false" outlineLevel="0" collapsed="false">
      <c r="A539" s="43" t="s">
        <v>179</v>
      </c>
      <c r="B539" s="43" t="n">
        <v>2025</v>
      </c>
      <c r="C539" s="43" t="n">
        <v>9</v>
      </c>
      <c r="D539" s="43" t="s">
        <v>57</v>
      </c>
      <c r="E539" s="43" t="s">
        <v>1086</v>
      </c>
      <c r="F539" s="44" t="n">
        <v>-5684.8</v>
      </c>
      <c r="G539" s="43" t="s">
        <v>515</v>
      </c>
      <c r="H539" s="43" t="s">
        <v>1090</v>
      </c>
    </row>
    <row r="540" customFormat="false" ht="15" hidden="false" customHeight="false" outlineLevel="0" collapsed="false">
      <c r="A540" s="43" t="s">
        <v>179</v>
      </c>
      <c r="B540" s="43" t="n">
        <v>2025</v>
      </c>
      <c r="C540" s="43" t="n">
        <v>10</v>
      </c>
      <c r="D540" s="43" t="s">
        <v>58</v>
      </c>
      <c r="E540" s="43" t="s">
        <v>1086</v>
      </c>
      <c r="F540" s="44" t="n">
        <v>105069.2</v>
      </c>
      <c r="G540" s="43" t="s">
        <v>515</v>
      </c>
      <c r="H540" s="43" t="s">
        <v>1090</v>
      </c>
    </row>
    <row r="541" customFormat="false" ht="15" hidden="false" customHeight="false" outlineLevel="0" collapsed="false">
      <c r="A541" s="43" t="s">
        <v>179</v>
      </c>
      <c r="B541" s="43" t="n">
        <v>2025</v>
      </c>
      <c r="C541" s="43" t="n">
        <v>11</v>
      </c>
      <c r="D541" s="43" t="s">
        <v>59</v>
      </c>
      <c r="E541" s="43" t="s">
        <v>1086</v>
      </c>
      <c r="F541" s="44" t="n">
        <v>272528.2</v>
      </c>
      <c r="G541" s="43" t="s">
        <v>515</v>
      </c>
      <c r="H541" s="43" t="s">
        <v>1090</v>
      </c>
    </row>
    <row r="542" customFormat="false" ht="15" hidden="false" customHeight="false" outlineLevel="0" collapsed="false">
      <c r="A542" s="43" t="s">
        <v>179</v>
      </c>
      <c r="B542" s="43" t="n">
        <v>2025</v>
      </c>
      <c r="C542" s="43" t="n">
        <v>12</v>
      </c>
      <c r="D542" s="43" t="s">
        <v>60</v>
      </c>
      <c r="E542" s="43" t="s">
        <v>1086</v>
      </c>
      <c r="F542" s="44" t="n">
        <v>343829.2</v>
      </c>
      <c r="G542" s="43" t="s">
        <v>515</v>
      </c>
      <c r="H542" s="43" t="s">
        <v>1090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3" min="1" style="0" width="9"/>
    <col collapsed="false" customWidth="true" hidden="false" outlineLevel="0" max="4" min="4" style="0" width="13"/>
    <col collapsed="false" customWidth="true" hidden="false" outlineLevel="0" max="5" min="5" style="0" width="12"/>
    <col collapsed="false" customWidth="true" hidden="false" outlineLevel="0" max="6" min="6" style="0" width="40"/>
    <col collapsed="false" customWidth="true" hidden="false" outlineLevel="0" max="7" min="7" style="0" width="22"/>
  </cols>
  <sheetData>
    <row r="1" customFormat="false" ht="15" hidden="false" customHeight="false" outlineLevel="0" collapsed="false">
      <c r="A1" s="41" t="s">
        <v>1091</v>
      </c>
    </row>
    <row r="2" customFormat="false" ht="15" hidden="false" customHeight="false" outlineLevel="0" collapsed="false">
      <c r="A2" s="42" t="s">
        <v>509</v>
      </c>
      <c r="B2" s="42" t="s">
        <v>43</v>
      </c>
      <c r="C2" s="42" t="s">
        <v>510</v>
      </c>
      <c r="D2" s="42" t="s">
        <v>226</v>
      </c>
      <c r="E2" s="42" t="s">
        <v>511</v>
      </c>
      <c r="F2" s="42" t="s">
        <v>512</v>
      </c>
      <c r="G2" s="42" t="s">
        <v>513</v>
      </c>
    </row>
    <row r="3" customFormat="false" ht="15" hidden="false" customHeight="false" outlineLevel="0" collapsed="false">
      <c r="A3" s="43" t="n">
        <v>2025</v>
      </c>
      <c r="B3" s="43" t="n">
        <v>1</v>
      </c>
      <c r="C3" s="43" t="s">
        <v>49</v>
      </c>
      <c r="D3" s="43" t="s">
        <v>1092</v>
      </c>
      <c r="E3" s="44" t="n">
        <v>2212000</v>
      </c>
      <c r="F3" s="43" t="s">
        <v>528</v>
      </c>
      <c r="G3" s="43" t="s">
        <v>1093</v>
      </c>
    </row>
    <row r="4" customFormat="false" ht="15" hidden="false" customHeight="false" outlineLevel="0" collapsed="false">
      <c r="A4" s="43" t="n">
        <v>2025</v>
      </c>
      <c r="B4" s="43" t="n">
        <v>2</v>
      </c>
      <c r="C4" s="43" t="s">
        <v>50</v>
      </c>
      <c r="D4" s="43" t="s">
        <v>1092</v>
      </c>
      <c r="E4" s="44" t="n">
        <v>2571000</v>
      </c>
      <c r="F4" s="43" t="s">
        <v>528</v>
      </c>
      <c r="G4" s="43" t="s">
        <v>1093</v>
      </c>
    </row>
    <row r="5" customFormat="false" ht="15" hidden="false" customHeight="false" outlineLevel="0" collapsed="false">
      <c r="A5" s="43" t="n">
        <v>2025</v>
      </c>
      <c r="B5" s="43" t="n">
        <v>3</v>
      </c>
      <c r="C5" s="43" t="s">
        <v>51</v>
      </c>
      <c r="D5" s="43" t="s">
        <v>1092</v>
      </c>
      <c r="E5" s="44" t="n">
        <v>6130000</v>
      </c>
      <c r="F5" s="43" t="s">
        <v>528</v>
      </c>
      <c r="G5" s="43" t="s">
        <v>1093</v>
      </c>
    </row>
    <row r="6" customFormat="false" ht="15" hidden="false" customHeight="false" outlineLevel="0" collapsed="false">
      <c r="A6" s="43" t="n">
        <v>2025</v>
      </c>
      <c r="B6" s="43" t="n">
        <v>4</v>
      </c>
      <c r="C6" s="43" t="s">
        <v>52</v>
      </c>
      <c r="D6" s="43" t="s">
        <v>1092</v>
      </c>
      <c r="E6" s="44" t="n">
        <v>4378000</v>
      </c>
      <c r="F6" s="43" t="s">
        <v>528</v>
      </c>
      <c r="G6" s="43" t="s">
        <v>1093</v>
      </c>
    </row>
    <row r="7" customFormat="false" ht="15" hidden="false" customHeight="false" outlineLevel="0" collapsed="false">
      <c r="A7" s="43" t="n">
        <v>2025</v>
      </c>
      <c r="B7" s="43" t="n">
        <v>5</v>
      </c>
      <c r="C7" s="43" t="s">
        <v>53</v>
      </c>
      <c r="D7" s="43" t="s">
        <v>1092</v>
      </c>
      <c r="E7" s="44" t="n">
        <v>3026000</v>
      </c>
      <c r="F7" s="43" t="s">
        <v>528</v>
      </c>
      <c r="G7" s="43" t="s">
        <v>1093</v>
      </c>
    </row>
    <row r="8" customFormat="false" ht="15" hidden="false" customHeight="false" outlineLevel="0" collapsed="false">
      <c r="A8" s="43" t="n">
        <v>2025</v>
      </c>
      <c r="B8" s="43" t="n">
        <v>6</v>
      </c>
      <c r="C8" s="43" t="s">
        <v>54</v>
      </c>
      <c r="D8" s="43" t="s">
        <v>1092</v>
      </c>
      <c r="E8" s="44" t="n">
        <v>1618604.65</v>
      </c>
      <c r="F8" s="43" t="s">
        <v>528</v>
      </c>
      <c r="G8" s="43" t="s">
        <v>1093</v>
      </c>
    </row>
    <row r="9" customFormat="false" ht="15" hidden="false" customHeight="false" outlineLevel="0" collapsed="false">
      <c r="A9" s="43" t="n">
        <v>2025</v>
      </c>
      <c r="B9" s="43" t="n">
        <v>7</v>
      </c>
      <c r="C9" s="43" t="s">
        <v>55</v>
      </c>
      <c r="D9" s="43" t="s">
        <v>1092</v>
      </c>
      <c r="E9" s="44" t="n">
        <v>1531627.91</v>
      </c>
      <c r="F9" s="43" t="s">
        <v>528</v>
      </c>
      <c r="G9" s="43" t="s">
        <v>1093</v>
      </c>
    </row>
    <row r="10" customFormat="false" ht="15" hidden="false" customHeight="false" outlineLevel="0" collapsed="false">
      <c r="A10" s="43" t="n">
        <v>2025</v>
      </c>
      <c r="B10" s="43" t="n">
        <v>8</v>
      </c>
      <c r="C10" s="43" t="s">
        <v>56</v>
      </c>
      <c r="D10" s="43" t="s">
        <v>1092</v>
      </c>
      <c r="E10" s="44" t="n">
        <v>2046511.63</v>
      </c>
      <c r="F10" s="43" t="s">
        <v>528</v>
      </c>
      <c r="G10" s="43" t="s">
        <v>1093</v>
      </c>
    </row>
    <row r="11" customFormat="false" ht="15" hidden="false" customHeight="false" outlineLevel="0" collapsed="false">
      <c r="A11" s="43" t="n">
        <v>2025</v>
      </c>
      <c r="B11" s="43" t="n">
        <v>9</v>
      </c>
      <c r="C11" s="43" t="s">
        <v>57</v>
      </c>
      <c r="D11" s="43" t="s">
        <v>1092</v>
      </c>
      <c r="E11" s="44" t="n">
        <v>1472093.02</v>
      </c>
      <c r="F11" s="43" t="s">
        <v>528</v>
      </c>
      <c r="G11" s="43" t="s">
        <v>1093</v>
      </c>
    </row>
    <row r="12" customFormat="false" ht="15" hidden="false" customHeight="false" outlineLevel="0" collapsed="false">
      <c r="A12" s="43" t="n">
        <v>2025</v>
      </c>
      <c r="B12" s="43" t="n">
        <v>10</v>
      </c>
      <c r="C12" s="43" t="s">
        <v>58</v>
      </c>
      <c r="D12" s="43" t="s">
        <v>1092</v>
      </c>
      <c r="E12" s="44" t="n">
        <v>1006976.74</v>
      </c>
      <c r="F12" s="43" t="s">
        <v>528</v>
      </c>
      <c r="G12" s="43" t="s">
        <v>1093</v>
      </c>
    </row>
    <row r="13" customFormat="false" ht="15" hidden="false" customHeight="false" outlineLevel="0" collapsed="false">
      <c r="A13" s="43" t="n">
        <v>2025</v>
      </c>
      <c r="B13" s="43" t="n">
        <v>11</v>
      </c>
      <c r="C13" s="43" t="s">
        <v>59</v>
      </c>
      <c r="D13" s="43" t="s">
        <v>1092</v>
      </c>
      <c r="E13" s="44" t="n">
        <v>1393023.26</v>
      </c>
      <c r="F13" s="43" t="s">
        <v>528</v>
      </c>
      <c r="G13" s="43" t="s">
        <v>1093</v>
      </c>
    </row>
    <row r="14" customFormat="false" ht="15" hidden="false" customHeight="false" outlineLevel="0" collapsed="false">
      <c r="A14" s="43" t="n">
        <v>2025</v>
      </c>
      <c r="B14" s="43" t="n">
        <v>12</v>
      </c>
      <c r="C14" s="43" t="s">
        <v>60</v>
      </c>
      <c r="D14" s="43" t="s">
        <v>1092</v>
      </c>
      <c r="E14" s="44" t="n">
        <v>3037209.3</v>
      </c>
      <c r="F14" s="43" t="s">
        <v>528</v>
      </c>
      <c r="G14" s="43" t="s">
        <v>1093</v>
      </c>
    </row>
    <row r="15" customFormat="false" ht="15" hidden="false" customHeight="false" outlineLevel="0" collapsed="false">
      <c r="A15" s="43" t="n">
        <v>2025</v>
      </c>
      <c r="B15" s="43" t="n">
        <v>1</v>
      </c>
      <c r="C15" s="43" t="s">
        <v>49</v>
      </c>
      <c r="D15" s="43" t="s">
        <v>1094</v>
      </c>
      <c r="E15" s="44" t="n">
        <v>1056000</v>
      </c>
      <c r="F15" s="43" t="s">
        <v>528</v>
      </c>
      <c r="G15" s="43" t="s">
        <v>1093</v>
      </c>
    </row>
    <row r="16" customFormat="false" ht="15" hidden="false" customHeight="false" outlineLevel="0" collapsed="false">
      <c r="A16" s="43" t="n">
        <v>2025</v>
      </c>
      <c r="B16" s="43" t="n">
        <v>2</v>
      </c>
      <c r="C16" s="43" t="s">
        <v>50</v>
      </c>
      <c r="D16" s="43" t="s">
        <v>1094</v>
      </c>
      <c r="E16" s="44" t="n">
        <v>1246000</v>
      </c>
      <c r="F16" s="43" t="s">
        <v>528</v>
      </c>
      <c r="G16" s="43" t="s">
        <v>1093</v>
      </c>
    </row>
    <row r="17" customFormat="false" ht="15" hidden="false" customHeight="false" outlineLevel="0" collapsed="false">
      <c r="A17" s="43" t="n">
        <v>2025</v>
      </c>
      <c r="B17" s="43" t="n">
        <v>3</v>
      </c>
      <c r="C17" s="43" t="s">
        <v>51</v>
      </c>
      <c r="D17" s="43" t="s">
        <v>1094</v>
      </c>
      <c r="E17" s="44" t="n">
        <v>736000</v>
      </c>
      <c r="F17" s="43" t="s">
        <v>528</v>
      </c>
      <c r="G17" s="43" t="s">
        <v>1093</v>
      </c>
    </row>
    <row r="18" customFormat="false" ht="15" hidden="false" customHeight="false" outlineLevel="0" collapsed="false">
      <c r="A18" s="43" t="n">
        <v>2025</v>
      </c>
      <c r="B18" s="43" t="n">
        <v>4</v>
      </c>
      <c r="C18" s="43" t="s">
        <v>52</v>
      </c>
      <c r="D18" s="43" t="s">
        <v>1094</v>
      </c>
      <c r="E18" s="44" t="n">
        <v>1013000</v>
      </c>
      <c r="F18" s="43" t="s">
        <v>528</v>
      </c>
      <c r="G18" s="43" t="s">
        <v>1093</v>
      </c>
    </row>
    <row r="19" customFormat="false" ht="15" hidden="false" customHeight="false" outlineLevel="0" collapsed="false">
      <c r="A19" s="43" t="n">
        <v>2025</v>
      </c>
      <c r="B19" s="43" t="n">
        <v>5</v>
      </c>
      <c r="C19" s="43" t="s">
        <v>53</v>
      </c>
      <c r="D19" s="43" t="s">
        <v>1094</v>
      </c>
      <c r="E19" s="44" t="n">
        <v>968000</v>
      </c>
      <c r="F19" s="43" t="s">
        <v>528</v>
      </c>
      <c r="G19" s="43" t="s">
        <v>1093</v>
      </c>
    </row>
    <row r="20" customFormat="false" ht="15" hidden="false" customHeight="false" outlineLevel="0" collapsed="false">
      <c r="A20" s="43" t="n">
        <v>2025</v>
      </c>
      <c r="B20" s="43" t="n">
        <v>6</v>
      </c>
      <c r="C20" s="43" t="s">
        <v>54</v>
      </c>
      <c r="D20" s="43" t="s">
        <v>1094</v>
      </c>
      <c r="E20" s="44" t="n">
        <v>696000</v>
      </c>
      <c r="F20" s="43" t="s">
        <v>528</v>
      </c>
      <c r="G20" s="43" t="s">
        <v>1093</v>
      </c>
    </row>
    <row r="21" customFormat="false" ht="15" hidden="false" customHeight="false" outlineLevel="0" collapsed="false">
      <c r="A21" s="43" t="n">
        <v>2025</v>
      </c>
      <c r="B21" s="43" t="n">
        <v>7</v>
      </c>
      <c r="C21" s="43" t="s">
        <v>55</v>
      </c>
      <c r="D21" s="43" t="s">
        <v>1094</v>
      </c>
      <c r="E21" s="44" t="n">
        <v>658600</v>
      </c>
      <c r="F21" s="43" t="s">
        <v>528</v>
      </c>
      <c r="G21" s="43" t="s">
        <v>1093</v>
      </c>
    </row>
    <row r="22" customFormat="false" ht="15" hidden="false" customHeight="false" outlineLevel="0" collapsed="false">
      <c r="A22" s="43" t="n">
        <v>2025</v>
      </c>
      <c r="B22" s="43" t="n">
        <v>8</v>
      </c>
      <c r="C22" s="43" t="s">
        <v>56</v>
      </c>
      <c r="D22" s="43" t="s">
        <v>1094</v>
      </c>
      <c r="E22" s="44" t="n">
        <v>880000</v>
      </c>
      <c r="F22" s="43" t="s">
        <v>528</v>
      </c>
      <c r="G22" s="43" t="s">
        <v>1093</v>
      </c>
    </row>
    <row r="23" customFormat="false" ht="15" hidden="false" customHeight="false" outlineLevel="0" collapsed="false">
      <c r="A23" s="43" t="n">
        <v>2025</v>
      </c>
      <c r="B23" s="43" t="n">
        <v>9</v>
      </c>
      <c r="C23" s="43" t="s">
        <v>57</v>
      </c>
      <c r="D23" s="43" t="s">
        <v>1094</v>
      </c>
      <c r="E23" s="44" t="n">
        <v>633000</v>
      </c>
      <c r="F23" s="43" t="s">
        <v>528</v>
      </c>
      <c r="G23" s="43" t="s">
        <v>1093</v>
      </c>
    </row>
    <row r="24" customFormat="false" ht="15" hidden="false" customHeight="false" outlineLevel="0" collapsed="false">
      <c r="A24" s="43" t="n">
        <v>2025</v>
      </c>
      <c r="B24" s="43" t="n">
        <v>10</v>
      </c>
      <c r="C24" s="43" t="s">
        <v>58</v>
      </c>
      <c r="D24" s="43" t="s">
        <v>1094</v>
      </c>
      <c r="E24" s="44" t="n">
        <v>433000</v>
      </c>
      <c r="F24" s="43" t="s">
        <v>528</v>
      </c>
      <c r="G24" s="43" t="s">
        <v>1093</v>
      </c>
    </row>
    <row r="25" customFormat="false" ht="15" hidden="false" customHeight="false" outlineLevel="0" collapsed="false">
      <c r="A25" s="43" t="n">
        <v>2025</v>
      </c>
      <c r="B25" s="43" t="n">
        <v>11</v>
      </c>
      <c r="C25" s="43" t="s">
        <v>59</v>
      </c>
      <c r="D25" s="43" t="s">
        <v>1094</v>
      </c>
      <c r="E25" s="44" t="n">
        <v>599000</v>
      </c>
      <c r="F25" s="43" t="s">
        <v>528</v>
      </c>
      <c r="G25" s="43" t="s">
        <v>1093</v>
      </c>
    </row>
    <row r="26" customFormat="false" ht="15" hidden="false" customHeight="false" outlineLevel="0" collapsed="false">
      <c r="A26" s="43" t="n">
        <v>2025</v>
      </c>
      <c r="B26" s="43" t="n">
        <v>12</v>
      </c>
      <c r="C26" s="43" t="s">
        <v>60</v>
      </c>
      <c r="D26" s="43" t="s">
        <v>1094</v>
      </c>
      <c r="E26" s="44" t="n">
        <v>1306000</v>
      </c>
      <c r="F26" s="43" t="s">
        <v>528</v>
      </c>
      <c r="G26" s="43" t="s">
        <v>1093</v>
      </c>
    </row>
    <row r="27" customFormat="false" ht="15" hidden="false" customHeight="false" outlineLevel="0" collapsed="false">
      <c r="A27" s="43" t="n">
        <v>2025</v>
      </c>
      <c r="B27" s="43" t="n">
        <v>1</v>
      </c>
      <c r="C27" s="43" t="s">
        <v>49</v>
      </c>
      <c r="D27" s="43" t="s">
        <v>227</v>
      </c>
      <c r="E27" s="44" t="n">
        <v>669095</v>
      </c>
      <c r="F27" s="43" t="s">
        <v>528</v>
      </c>
      <c r="G27" s="43" t="s">
        <v>1093</v>
      </c>
    </row>
    <row r="28" customFormat="false" ht="15" hidden="false" customHeight="false" outlineLevel="0" collapsed="false">
      <c r="A28" s="43" t="n">
        <v>2025</v>
      </c>
      <c r="B28" s="43" t="n">
        <v>2</v>
      </c>
      <c r="C28" s="43" t="s">
        <v>50</v>
      </c>
      <c r="D28" s="43" t="s">
        <v>227</v>
      </c>
      <c r="E28" s="44" t="n">
        <v>891968.7</v>
      </c>
      <c r="F28" s="43" t="s">
        <v>528</v>
      </c>
      <c r="G28" s="43" t="s">
        <v>1093</v>
      </c>
    </row>
    <row r="29" customFormat="false" ht="15" hidden="false" customHeight="false" outlineLevel="0" collapsed="false">
      <c r="A29" s="43" t="n">
        <v>2025</v>
      </c>
      <c r="B29" s="43" t="n">
        <v>3</v>
      </c>
      <c r="C29" s="43" t="s">
        <v>51</v>
      </c>
      <c r="D29" s="43" t="s">
        <v>227</v>
      </c>
      <c r="E29" s="44" t="n">
        <v>693813.29</v>
      </c>
      <c r="F29" s="43" t="s">
        <v>528</v>
      </c>
      <c r="G29" s="43" t="s">
        <v>1093</v>
      </c>
    </row>
    <row r="30" customFormat="false" ht="15" hidden="false" customHeight="false" outlineLevel="0" collapsed="false">
      <c r="A30" s="43" t="n">
        <v>2025</v>
      </c>
      <c r="B30" s="43" t="n">
        <v>4</v>
      </c>
      <c r="C30" s="43" t="s">
        <v>52</v>
      </c>
      <c r="D30" s="43" t="s">
        <v>227</v>
      </c>
      <c r="E30" s="44" t="n">
        <v>704049.73</v>
      </c>
      <c r="F30" s="43" t="s">
        <v>528</v>
      </c>
      <c r="G30" s="43" t="s">
        <v>1093</v>
      </c>
    </row>
    <row r="31" customFormat="false" ht="15" hidden="false" customHeight="false" outlineLevel="0" collapsed="false">
      <c r="A31" s="43" t="n">
        <v>2025</v>
      </c>
      <c r="B31" s="43" t="n">
        <v>5</v>
      </c>
      <c r="C31" s="43" t="s">
        <v>53</v>
      </c>
      <c r="D31" s="43" t="s">
        <v>227</v>
      </c>
      <c r="E31" s="44" t="n">
        <v>730257</v>
      </c>
      <c r="F31" s="43" t="s">
        <v>528</v>
      </c>
      <c r="G31" s="43" t="s">
        <v>1093</v>
      </c>
    </row>
    <row r="32" customFormat="false" ht="15" hidden="false" customHeight="false" outlineLevel="0" collapsed="false">
      <c r="A32" s="43" t="n">
        <v>2025</v>
      </c>
      <c r="B32" s="43" t="n">
        <v>6</v>
      </c>
      <c r="C32" s="43" t="s">
        <v>54</v>
      </c>
      <c r="D32" s="43" t="s">
        <v>227</v>
      </c>
      <c r="E32" s="44" t="n">
        <v>1177546.59</v>
      </c>
      <c r="F32" s="43" t="s">
        <v>528</v>
      </c>
      <c r="G32" s="43" t="s">
        <v>1093</v>
      </c>
    </row>
    <row r="33" customFormat="false" ht="15" hidden="false" customHeight="false" outlineLevel="0" collapsed="false">
      <c r="A33" s="43" t="n">
        <v>2025</v>
      </c>
      <c r="B33" s="43" t="n">
        <v>7</v>
      </c>
      <c r="C33" s="43" t="s">
        <v>55</v>
      </c>
      <c r="D33" s="43" t="s">
        <v>227</v>
      </c>
      <c r="E33" s="44" t="n">
        <v>742586.85</v>
      </c>
      <c r="F33" s="43" t="s">
        <v>528</v>
      </c>
      <c r="G33" s="43" t="s">
        <v>1093</v>
      </c>
    </row>
    <row r="34" customFormat="false" ht="15" hidden="false" customHeight="false" outlineLevel="0" collapsed="false">
      <c r="A34" s="43" t="n">
        <v>2025</v>
      </c>
      <c r="B34" s="43" t="n">
        <v>8</v>
      </c>
      <c r="C34" s="43" t="s">
        <v>56</v>
      </c>
      <c r="D34" s="43" t="s">
        <v>227</v>
      </c>
      <c r="E34" s="44" t="n">
        <v>784663</v>
      </c>
      <c r="F34" s="43" t="s">
        <v>528</v>
      </c>
      <c r="G34" s="43" t="s">
        <v>1093</v>
      </c>
    </row>
    <row r="35" customFormat="false" ht="15" hidden="false" customHeight="false" outlineLevel="0" collapsed="false">
      <c r="A35" s="43" t="n">
        <v>2025</v>
      </c>
      <c r="B35" s="43" t="n">
        <v>9</v>
      </c>
      <c r="C35" s="43" t="s">
        <v>57</v>
      </c>
      <c r="D35" s="43" t="s">
        <v>227</v>
      </c>
      <c r="E35" s="44" t="n">
        <v>676238.04</v>
      </c>
      <c r="F35" s="43" t="s">
        <v>528</v>
      </c>
      <c r="G35" s="43" t="s">
        <v>1093</v>
      </c>
    </row>
    <row r="36" customFormat="false" ht="15" hidden="false" customHeight="false" outlineLevel="0" collapsed="false">
      <c r="A36" s="43" t="n">
        <v>2025</v>
      </c>
      <c r="B36" s="43" t="n">
        <v>10</v>
      </c>
      <c r="C36" s="43" t="s">
        <v>58</v>
      </c>
      <c r="D36" s="43" t="s">
        <v>227</v>
      </c>
      <c r="E36" s="44" t="n">
        <v>860166.81</v>
      </c>
      <c r="F36" s="43" t="s">
        <v>528</v>
      </c>
      <c r="G36" s="43" t="s">
        <v>1093</v>
      </c>
    </row>
    <row r="37" customFormat="false" ht="15" hidden="false" customHeight="false" outlineLevel="0" collapsed="false">
      <c r="A37" s="43" t="n">
        <v>2025</v>
      </c>
      <c r="B37" s="43" t="n">
        <v>11</v>
      </c>
      <c r="C37" s="43" t="s">
        <v>59</v>
      </c>
      <c r="D37" s="43" t="s">
        <v>227</v>
      </c>
      <c r="E37" s="44" t="n">
        <v>803242.9</v>
      </c>
      <c r="F37" s="43" t="s">
        <v>528</v>
      </c>
      <c r="G37" s="43" t="s">
        <v>1093</v>
      </c>
    </row>
    <row r="38" customFormat="false" ht="15" hidden="false" customHeight="false" outlineLevel="0" collapsed="false">
      <c r="A38" s="43" t="n">
        <v>2025</v>
      </c>
      <c r="B38" s="43" t="n">
        <v>12</v>
      </c>
      <c r="C38" s="43" t="s">
        <v>60</v>
      </c>
      <c r="D38" s="43" t="s">
        <v>227</v>
      </c>
      <c r="E38" s="44" t="n">
        <v>611272</v>
      </c>
      <c r="F38" s="43" t="s">
        <v>528</v>
      </c>
      <c r="G38" s="43" t="s">
        <v>1093</v>
      </c>
    </row>
    <row r="39" customFormat="false" ht="15" hidden="false" customHeight="false" outlineLevel="0" collapsed="false">
      <c r="A39" s="43" t="n">
        <v>2025</v>
      </c>
      <c r="B39" s="43" t="n">
        <v>1</v>
      </c>
      <c r="C39" s="43" t="s">
        <v>49</v>
      </c>
      <c r="D39" s="43" t="s">
        <v>228</v>
      </c>
      <c r="E39" s="44" t="n">
        <v>822535</v>
      </c>
      <c r="F39" s="43" t="s">
        <v>528</v>
      </c>
      <c r="G39" s="43" t="s">
        <v>1093</v>
      </c>
    </row>
    <row r="40" customFormat="false" ht="15" hidden="false" customHeight="false" outlineLevel="0" collapsed="false">
      <c r="A40" s="43" t="n">
        <v>2025</v>
      </c>
      <c r="B40" s="43" t="n">
        <v>2</v>
      </c>
      <c r="C40" s="43" t="s">
        <v>50</v>
      </c>
      <c r="D40" s="43" t="s">
        <v>228</v>
      </c>
      <c r="E40" s="44" t="n">
        <v>313029</v>
      </c>
      <c r="F40" s="43" t="s">
        <v>528</v>
      </c>
      <c r="G40" s="43" t="s">
        <v>1093</v>
      </c>
    </row>
    <row r="41" customFormat="false" ht="15" hidden="false" customHeight="false" outlineLevel="0" collapsed="false">
      <c r="A41" s="43" t="n">
        <v>2025</v>
      </c>
      <c r="B41" s="43" t="n">
        <v>3</v>
      </c>
      <c r="C41" s="43" t="s">
        <v>51</v>
      </c>
      <c r="D41" s="43" t="s">
        <v>228</v>
      </c>
      <c r="E41" s="44" t="n">
        <v>798159.16</v>
      </c>
      <c r="F41" s="43" t="s">
        <v>528</v>
      </c>
      <c r="G41" s="43" t="s">
        <v>1093</v>
      </c>
    </row>
    <row r="42" customFormat="false" ht="15" hidden="false" customHeight="false" outlineLevel="0" collapsed="false">
      <c r="A42" s="43" t="n">
        <v>2025</v>
      </c>
      <c r="B42" s="43" t="n">
        <v>4</v>
      </c>
      <c r="C42" s="43" t="s">
        <v>52</v>
      </c>
      <c r="D42" s="43" t="s">
        <v>228</v>
      </c>
      <c r="E42" s="44" t="n">
        <v>702127.86</v>
      </c>
      <c r="F42" s="43" t="s">
        <v>528</v>
      </c>
      <c r="G42" s="43" t="s">
        <v>1093</v>
      </c>
    </row>
    <row r="43" customFormat="false" ht="15" hidden="false" customHeight="false" outlineLevel="0" collapsed="false">
      <c r="A43" s="43" t="n">
        <v>2025</v>
      </c>
      <c r="B43" s="43" t="n">
        <v>5</v>
      </c>
      <c r="C43" s="43" t="s">
        <v>53</v>
      </c>
      <c r="D43" s="43" t="s">
        <v>228</v>
      </c>
      <c r="E43" s="44" t="n">
        <v>916262</v>
      </c>
      <c r="F43" s="43" t="s">
        <v>528</v>
      </c>
      <c r="G43" s="43" t="s">
        <v>1093</v>
      </c>
    </row>
    <row r="44" customFormat="false" ht="15" hidden="false" customHeight="false" outlineLevel="0" collapsed="false">
      <c r="A44" s="43" t="n">
        <v>2025</v>
      </c>
      <c r="B44" s="43" t="n">
        <v>6</v>
      </c>
      <c r="C44" s="43" t="s">
        <v>54</v>
      </c>
      <c r="D44" s="43" t="s">
        <v>228</v>
      </c>
      <c r="E44" s="44" t="n">
        <v>782343</v>
      </c>
      <c r="F44" s="43" t="s">
        <v>528</v>
      </c>
      <c r="G44" s="43" t="s">
        <v>1093</v>
      </c>
    </row>
    <row r="45" customFormat="false" ht="15" hidden="false" customHeight="false" outlineLevel="0" collapsed="false">
      <c r="A45" s="43" t="n">
        <v>2025</v>
      </c>
      <c r="B45" s="43" t="n">
        <v>7</v>
      </c>
      <c r="C45" s="43" t="s">
        <v>55</v>
      </c>
      <c r="D45" s="43" t="s">
        <v>228</v>
      </c>
      <c r="E45" s="44" t="n">
        <v>894861.26</v>
      </c>
      <c r="F45" s="43" t="s">
        <v>528</v>
      </c>
      <c r="G45" s="43" t="s">
        <v>1093</v>
      </c>
    </row>
    <row r="46" customFormat="false" ht="15" hidden="false" customHeight="false" outlineLevel="0" collapsed="false">
      <c r="A46" s="43" t="n">
        <v>2025</v>
      </c>
      <c r="B46" s="43" t="n">
        <v>8</v>
      </c>
      <c r="C46" s="43" t="s">
        <v>56</v>
      </c>
      <c r="D46" s="43" t="s">
        <v>228</v>
      </c>
      <c r="E46" s="44" t="n">
        <v>1334014.59</v>
      </c>
      <c r="F46" s="43" t="s">
        <v>528</v>
      </c>
      <c r="G46" s="43" t="s">
        <v>1093</v>
      </c>
    </row>
    <row r="47" customFormat="false" ht="15" hidden="false" customHeight="false" outlineLevel="0" collapsed="false">
      <c r="A47" s="43" t="n">
        <v>2025</v>
      </c>
      <c r="B47" s="43" t="n">
        <v>9</v>
      </c>
      <c r="C47" s="43" t="s">
        <v>57</v>
      </c>
      <c r="D47" s="43" t="s">
        <v>228</v>
      </c>
      <c r="E47" s="44" t="n">
        <v>726924.49</v>
      </c>
      <c r="F47" s="43" t="s">
        <v>528</v>
      </c>
      <c r="G47" s="43" t="s">
        <v>1093</v>
      </c>
    </row>
    <row r="48" customFormat="false" ht="15" hidden="false" customHeight="false" outlineLevel="0" collapsed="false">
      <c r="A48" s="43" t="n">
        <v>2025</v>
      </c>
      <c r="B48" s="43" t="n">
        <v>10</v>
      </c>
      <c r="C48" s="43" t="s">
        <v>58</v>
      </c>
      <c r="D48" s="43" t="s">
        <v>228</v>
      </c>
      <c r="E48" s="44" t="n">
        <v>884482</v>
      </c>
      <c r="F48" s="43" t="s">
        <v>528</v>
      </c>
      <c r="G48" s="43" t="s">
        <v>1093</v>
      </c>
    </row>
    <row r="49" customFormat="false" ht="15" hidden="false" customHeight="false" outlineLevel="0" collapsed="false">
      <c r="A49" s="43" t="n">
        <v>2025</v>
      </c>
      <c r="B49" s="43" t="n">
        <v>11</v>
      </c>
      <c r="C49" s="43" t="s">
        <v>59</v>
      </c>
      <c r="D49" s="43" t="s">
        <v>228</v>
      </c>
      <c r="E49" s="44" t="n">
        <v>735770.82</v>
      </c>
      <c r="F49" s="43" t="s">
        <v>528</v>
      </c>
      <c r="G49" s="43" t="s">
        <v>1093</v>
      </c>
    </row>
    <row r="50" customFormat="false" ht="15" hidden="false" customHeight="false" outlineLevel="0" collapsed="false">
      <c r="A50" s="43" t="n">
        <v>2025</v>
      </c>
      <c r="B50" s="43" t="n">
        <v>12</v>
      </c>
      <c r="C50" s="43" t="s">
        <v>60</v>
      </c>
      <c r="D50" s="43" t="s">
        <v>228</v>
      </c>
      <c r="E50" s="44" t="n">
        <v>886419.68</v>
      </c>
      <c r="F50" s="43" t="s">
        <v>528</v>
      </c>
      <c r="G50" s="43" t="s">
        <v>1093</v>
      </c>
    </row>
    <row r="51" customFormat="false" ht="15" hidden="false" customHeight="false" outlineLevel="0" collapsed="false">
      <c r="A51" s="43" t="n">
        <v>2025</v>
      </c>
      <c r="B51" s="43" t="n">
        <v>1</v>
      </c>
      <c r="C51" s="43" t="s">
        <v>49</v>
      </c>
      <c r="D51" s="43" t="s">
        <v>221</v>
      </c>
      <c r="E51" s="44" t="n">
        <v>717165.73</v>
      </c>
      <c r="F51" s="43" t="s">
        <v>528</v>
      </c>
      <c r="G51" s="43" t="s">
        <v>1093</v>
      </c>
    </row>
    <row r="52" customFormat="false" ht="15" hidden="false" customHeight="false" outlineLevel="0" collapsed="false">
      <c r="A52" s="43" t="n">
        <v>2025</v>
      </c>
      <c r="B52" s="43" t="n">
        <v>2</v>
      </c>
      <c r="C52" s="43" t="s">
        <v>50</v>
      </c>
      <c r="D52" s="43" t="s">
        <v>221</v>
      </c>
      <c r="E52" s="44" t="n">
        <v>934594.83</v>
      </c>
      <c r="F52" s="43" t="s">
        <v>528</v>
      </c>
      <c r="G52" s="43" t="s">
        <v>1093</v>
      </c>
    </row>
    <row r="53" customFormat="false" ht="15" hidden="false" customHeight="false" outlineLevel="0" collapsed="false">
      <c r="A53" s="43" t="n">
        <v>2025</v>
      </c>
      <c r="B53" s="43" t="n">
        <v>3</v>
      </c>
      <c r="C53" s="43" t="s">
        <v>51</v>
      </c>
      <c r="D53" s="43" t="s">
        <v>221</v>
      </c>
      <c r="E53" s="44" t="n">
        <v>778430.46</v>
      </c>
      <c r="F53" s="43" t="s">
        <v>528</v>
      </c>
      <c r="G53" s="43" t="s">
        <v>1093</v>
      </c>
    </row>
    <row r="54" customFormat="false" ht="15" hidden="false" customHeight="false" outlineLevel="0" collapsed="false">
      <c r="A54" s="43" t="n">
        <v>2025</v>
      </c>
      <c r="B54" s="43" t="n">
        <v>4</v>
      </c>
      <c r="C54" s="43" t="s">
        <v>52</v>
      </c>
      <c r="D54" s="43" t="s">
        <v>221</v>
      </c>
      <c r="E54" s="44" t="n">
        <v>613921.18</v>
      </c>
      <c r="F54" s="43" t="s">
        <v>528</v>
      </c>
      <c r="G54" s="43" t="s">
        <v>1093</v>
      </c>
    </row>
    <row r="55" customFormat="false" ht="15" hidden="false" customHeight="false" outlineLevel="0" collapsed="false">
      <c r="A55" s="43" t="n">
        <v>2025</v>
      </c>
      <c r="B55" s="43" t="n">
        <v>5</v>
      </c>
      <c r="C55" s="43" t="s">
        <v>53</v>
      </c>
      <c r="D55" s="43" t="s">
        <v>221</v>
      </c>
      <c r="E55" s="44" t="n">
        <v>647405.08</v>
      </c>
      <c r="F55" s="43" t="s">
        <v>528</v>
      </c>
      <c r="G55" s="43" t="s">
        <v>1093</v>
      </c>
    </row>
    <row r="56" customFormat="false" ht="15" hidden="false" customHeight="false" outlineLevel="0" collapsed="false">
      <c r="A56" s="43" t="n">
        <v>2025</v>
      </c>
      <c r="B56" s="43" t="n">
        <v>6</v>
      </c>
      <c r="C56" s="43" t="s">
        <v>54</v>
      </c>
      <c r="D56" s="43" t="s">
        <v>221</v>
      </c>
      <c r="E56" s="44" t="n">
        <v>807411.07</v>
      </c>
      <c r="F56" s="43" t="s">
        <v>528</v>
      </c>
      <c r="G56" s="43" t="s">
        <v>1093</v>
      </c>
    </row>
    <row r="57" customFormat="false" ht="15" hidden="false" customHeight="false" outlineLevel="0" collapsed="false">
      <c r="A57" s="43" t="n">
        <v>2025</v>
      </c>
      <c r="B57" s="43" t="n">
        <v>7</v>
      </c>
      <c r="C57" s="43" t="s">
        <v>55</v>
      </c>
      <c r="D57" s="43" t="s">
        <v>221</v>
      </c>
      <c r="E57" s="44" t="n">
        <v>774989.75</v>
      </c>
      <c r="F57" s="43" t="s">
        <v>528</v>
      </c>
      <c r="G57" s="43" t="s">
        <v>1093</v>
      </c>
    </row>
    <row r="58" customFormat="false" ht="15" hidden="false" customHeight="false" outlineLevel="0" collapsed="false">
      <c r="A58" s="43" t="n">
        <v>2025</v>
      </c>
      <c r="B58" s="43" t="n">
        <v>8</v>
      </c>
      <c r="C58" s="43" t="s">
        <v>56</v>
      </c>
      <c r="D58" s="43" t="s">
        <v>221</v>
      </c>
      <c r="E58" s="44" t="n">
        <v>1032231.74</v>
      </c>
      <c r="F58" s="43" t="s">
        <v>528</v>
      </c>
      <c r="G58" s="43" t="s">
        <v>1093</v>
      </c>
    </row>
    <row r="59" customFormat="false" ht="15" hidden="false" customHeight="false" outlineLevel="0" collapsed="false">
      <c r="A59" s="43" t="n">
        <v>2025</v>
      </c>
      <c r="B59" s="43" t="n">
        <v>9</v>
      </c>
      <c r="C59" s="43" t="s">
        <v>57</v>
      </c>
      <c r="D59" s="43" t="s">
        <v>221</v>
      </c>
      <c r="E59" s="44" t="n">
        <v>620646.05</v>
      </c>
      <c r="F59" s="43" t="s">
        <v>528</v>
      </c>
      <c r="G59" s="43" t="s">
        <v>1093</v>
      </c>
    </row>
    <row r="60" customFormat="false" ht="15" hidden="false" customHeight="false" outlineLevel="0" collapsed="false">
      <c r="A60" s="43" t="n">
        <v>2025</v>
      </c>
      <c r="B60" s="43" t="n">
        <v>10</v>
      </c>
      <c r="C60" s="43" t="s">
        <v>58</v>
      </c>
      <c r="D60" s="43" t="s">
        <v>221</v>
      </c>
      <c r="E60" s="44" t="n">
        <v>793777.46</v>
      </c>
      <c r="F60" s="43" t="s">
        <v>528</v>
      </c>
      <c r="G60" s="43" t="s">
        <v>1093</v>
      </c>
    </row>
    <row r="61" customFormat="false" ht="15" hidden="false" customHeight="false" outlineLevel="0" collapsed="false">
      <c r="A61" s="43" t="n">
        <v>2025</v>
      </c>
      <c r="B61" s="43" t="n">
        <v>11</v>
      </c>
      <c r="C61" s="43" t="s">
        <v>59</v>
      </c>
      <c r="D61" s="43" t="s">
        <v>221</v>
      </c>
      <c r="E61" s="44" t="n">
        <v>584501.93</v>
      </c>
      <c r="F61" s="43" t="s">
        <v>528</v>
      </c>
      <c r="G61" s="43" t="s">
        <v>1093</v>
      </c>
    </row>
    <row r="62" customFormat="false" ht="15" hidden="false" customHeight="false" outlineLevel="0" collapsed="false">
      <c r="A62" s="43" t="n">
        <v>2025</v>
      </c>
      <c r="B62" s="43" t="n">
        <v>12</v>
      </c>
      <c r="C62" s="43" t="s">
        <v>60</v>
      </c>
      <c r="D62" s="43" t="s">
        <v>221</v>
      </c>
      <c r="E62" s="44" t="n">
        <v>845541.06</v>
      </c>
      <c r="F62" s="43" t="s">
        <v>528</v>
      </c>
      <c r="G62" s="43" t="s">
        <v>1093</v>
      </c>
    </row>
    <row r="63" customFormat="false" ht="15" hidden="false" customHeight="false" outlineLevel="0" collapsed="false">
      <c r="A63" s="43" t="n">
        <v>2025</v>
      </c>
      <c r="B63" s="43" t="n">
        <v>1</v>
      </c>
      <c r="C63" s="43" t="s">
        <v>49</v>
      </c>
      <c r="D63" s="43" t="s">
        <v>229</v>
      </c>
      <c r="E63" s="44" t="n">
        <v>502981.61</v>
      </c>
      <c r="F63" s="43" t="s">
        <v>528</v>
      </c>
      <c r="G63" s="43" t="s">
        <v>1093</v>
      </c>
    </row>
    <row r="64" customFormat="false" ht="15" hidden="false" customHeight="false" outlineLevel="0" collapsed="false">
      <c r="A64" s="43" t="n">
        <v>2025</v>
      </c>
      <c r="B64" s="43" t="n">
        <v>2</v>
      </c>
      <c r="C64" s="43" t="s">
        <v>50</v>
      </c>
      <c r="D64" s="43" t="s">
        <v>229</v>
      </c>
      <c r="E64" s="44" t="n">
        <v>509774</v>
      </c>
      <c r="F64" s="43" t="s">
        <v>528</v>
      </c>
      <c r="G64" s="43" t="s">
        <v>1093</v>
      </c>
    </row>
    <row r="65" customFormat="false" ht="15" hidden="false" customHeight="false" outlineLevel="0" collapsed="false">
      <c r="A65" s="43" t="n">
        <v>2025</v>
      </c>
      <c r="B65" s="43" t="n">
        <v>3</v>
      </c>
      <c r="C65" s="43" t="s">
        <v>51</v>
      </c>
      <c r="D65" s="43" t="s">
        <v>229</v>
      </c>
      <c r="E65" s="44" t="n">
        <v>535881.32</v>
      </c>
      <c r="F65" s="43" t="s">
        <v>528</v>
      </c>
      <c r="G65" s="43" t="s">
        <v>1093</v>
      </c>
    </row>
    <row r="66" customFormat="false" ht="15" hidden="false" customHeight="false" outlineLevel="0" collapsed="false">
      <c r="A66" s="43" t="n">
        <v>2025</v>
      </c>
      <c r="B66" s="43" t="n">
        <v>4</v>
      </c>
      <c r="C66" s="43" t="s">
        <v>52</v>
      </c>
      <c r="D66" s="43" t="s">
        <v>229</v>
      </c>
      <c r="E66" s="44" t="n">
        <v>549836.71</v>
      </c>
      <c r="F66" s="43" t="s">
        <v>528</v>
      </c>
      <c r="G66" s="43" t="s">
        <v>1093</v>
      </c>
    </row>
    <row r="67" customFormat="false" ht="15" hidden="false" customHeight="false" outlineLevel="0" collapsed="false">
      <c r="A67" s="43" t="n">
        <v>2025</v>
      </c>
      <c r="B67" s="43" t="n">
        <v>5</v>
      </c>
      <c r="C67" s="43" t="s">
        <v>53</v>
      </c>
      <c r="D67" s="43" t="s">
        <v>229</v>
      </c>
      <c r="E67" s="44" t="n">
        <v>550671.96</v>
      </c>
      <c r="F67" s="43" t="s">
        <v>528</v>
      </c>
      <c r="G67" s="43" t="s">
        <v>1093</v>
      </c>
    </row>
    <row r="68" customFormat="false" ht="15" hidden="false" customHeight="false" outlineLevel="0" collapsed="false">
      <c r="A68" s="43" t="n">
        <v>2025</v>
      </c>
      <c r="B68" s="43" t="n">
        <v>6</v>
      </c>
      <c r="C68" s="43" t="s">
        <v>54</v>
      </c>
      <c r="D68" s="43" t="s">
        <v>229</v>
      </c>
      <c r="E68" s="44" t="n">
        <v>638751.26</v>
      </c>
      <c r="F68" s="43" t="s">
        <v>528</v>
      </c>
      <c r="G68" s="43" t="s">
        <v>1093</v>
      </c>
    </row>
    <row r="69" customFormat="false" ht="15" hidden="false" customHeight="false" outlineLevel="0" collapsed="false">
      <c r="A69" s="43" t="n">
        <v>2025</v>
      </c>
      <c r="B69" s="43" t="n">
        <v>7</v>
      </c>
      <c r="C69" s="43" t="s">
        <v>55</v>
      </c>
      <c r="D69" s="43" t="s">
        <v>229</v>
      </c>
      <c r="E69" s="44" t="n">
        <v>597911.54</v>
      </c>
      <c r="F69" s="43" t="s">
        <v>528</v>
      </c>
      <c r="G69" s="43" t="s">
        <v>1093</v>
      </c>
    </row>
    <row r="70" customFormat="false" ht="15" hidden="false" customHeight="false" outlineLevel="0" collapsed="false">
      <c r="A70" s="43" t="n">
        <v>2025</v>
      </c>
      <c r="B70" s="43" t="n">
        <v>8</v>
      </c>
      <c r="C70" s="43" t="s">
        <v>56</v>
      </c>
      <c r="D70" s="43" t="s">
        <v>229</v>
      </c>
      <c r="E70" s="44" t="n">
        <v>664684.84</v>
      </c>
      <c r="F70" s="43" t="s">
        <v>528</v>
      </c>
      <c r="G70" s="43" t="s">
        <v>1093</v>
      </c>
    </row>
    <row r="71" customFormat="false" ht="15" hidden="false" customHeight="false" outlineLevel="0" collapsed="false">
      <c r="A71" s="43" t="n">
        <v>2025</v>
      </c>
      <c r="B71" s="43" t="n">
        <v>9</v>
      </c>
      <c r="C71" s="43" t="s">
        <v>57</v>
      </c>
      <c r="D71" s="43" t="s">
        <v>229</v>
      </c>
      <c r="E71" s="44" t="n">
        <v>642343.95</v>
      </c>
      <c r="F71" s="43" t="s">
        <v>528</v>
      </c>
      <c r="G71" s="43" t="s">
        <v>1093</v>
      </c>
    </row>
    <row r="72" customFormat="false" ht="15" hidden="false" customHeight="false" outlineLevel="0" collapsed="false">
      <c r="A72" s="43" t="n">
        <v>2025</v>
      </c>
      <c r="B72" s="43" t="n">
        <v>10</v>
      </c>
      <c r="C72" s="43" t="s">
        <v>58</v>
      </c>
      <c r="D72" s="43" t="s">
        <v>229</v>
      </c>
      <c r="E72" s="44" t="n">
        <v>659040.33</v>
      </c>
      <c r="F72" s="43" t="s">
        <v>528</v>
      </c>
      <c r="G72" s="43" t="s">
        <v>1093</v>
      </c>
    </row>
    <row r="73" customFormat="false" ht="15" hidden="false" customHeight="false" outlineLevel="0" collapsed="false">
      <c r="A73" s="43" t="n">
        <v>2025</v>
      </c>
      <c r="B73" s="43" t="n">
        <v>11</v>
      </c>
      <c r="C73" s="43" t="s">
        <v>59</v>
      </c>
      <c r="D73" s="43" t="s">
        <v>229</v>
      </c>
      <c r="E73" s="44" t="n">
        <v>623303.99</v>
      </c>
      <c r="F73" s="43" t="s">
        <v>528</v>
      </c>
      <c r="G73" s="43" t="s">
        <v>1093</v>
      </c>
    </row>
    <row r="74" customFormat="false" ht="15" hidden="false" customHeight="false" outlineLevel="0" collapsed="false">
      <c r="A74" s="43" t="n">
        <v>2025</v>
      </c>
      <c r="B74" s="43" t="n">
        <v>12</v>
      </c>
      <c r="C74" s="43" t="s">
        <v>60</v>
      </c>
      <c r="D74" s="43" t="s">
        <v>229</v>
      </c>
      <c r="E74" s="44" t="n">
        <v>959542.97</v>
      </c>
      <c r="F74" s="43" t="s">
        <v>528</v>
      </c>
      <c r="G74" s="43" t="s">
        <v>1093</v>
      </c>
    </row>
    <row r="75" customFormat="false" ht="15" hidden="false" customHeight="false" outlineLevel="0" collapsed="false">
      <c r="A75" s="43" t="n">
        <v>2025</v>
      </c>
      <c r="B75" s="43" t="n">
        <v>1</v>
      </c>
      <c r="C75" s="43" t="s">
        <v>49</v>
      </c>
      <c r="D75" s="43" t="s">
        <v>230</v>
      </c>
      <c r="E75" s="44" t="n">
        <v>214184.13</v>
      </c>
      <c r="F75" s="43" t="s">
        <v>528</v>
      </c>
      <c r="G75" s="43" t="s">
        <v>1093</v>
      </c>
    </row>
    <row r="76" customFormat="false" ht="15" hidden="false" customHeight="false" outlineLevel="0" collapsed="false">
      <c r="A76" s="43" t="n">
        <v>2025</v>
      </c>
      <c r="B76" s="43" t="n">
        <v>2</v>
      </c>
      <c r="C76" s="43" t="s">
        <v>50</v>
      </c>
      <c r="D76" s="43" t="s">
        <v>230</v>
      </c>
      <c r="E76" s="44" t="n">
        <v>424820.83</v>
      </c>
      <c r="F76" s="43" t="s">
        <v>528</v>
      </c>
      <c r="G76" s="43" t="s">
        <v>1093</v>
      </c>
    </row>
    <row r="77" customFormat="false" ht="15" hidden="false" customHeight="false" outlineLevel="0" collapsed="false">
      <c r="A77" s="43" t="n">
        <v>2025</v>
      </c>
      <c r="B77" s="43" t="n">
        <v>3</v>
      </c>
      <c r="C77" s="43" t="s">
        <v>51</v>
      </c>
      <c r="D77" s="43" t="s">
        <v>230</v>
      </c>
      <c r="E77" s="44" t="n">
        <v>242549.14</v>
      </c>
      <c r="F77" s="43" t="s">
        <v>528</v>
      </c>
      <c r="G77" s="43" t="s">
        <v>1093</v>
      </c>
    </row>
    <row r="78" customFormat="false" ht="15" hidden="false" customHeight="false" outlineLevel="0" collapsed="false">
      <c r="A78" s="43" t="n">
        <v>2025</v>
      </c>
      <c r="B78" s="43" t="n">
        <v>4</v>
      </c>
      <c r="C78" s="43" t="s">
        <v>52</v>
      </c>
      <c r="D78" s="43" t="s">
        <v>230</v>
      </c>
      <c r="E78" s="44" t="n">
        <v>64084.47</v>
      </c>
      <c r="F78" s="43" t="s">
        <v>528</v>
      </c>
      <c r="G78" s="43" t="s">
        <v>1093</v>
      </c>
    </row>
    <row r="79" customFormat="false" ht="15" hidden="false" customHeight="false" outlineLevel="0" collapsed="false">
      <c r="A79" s="43" t="n">
        <v>2025</v>
      </c>
      <c r="B79" s="43" t="n">
        <v>5</v>
      </c>
      <c r="C79" s="43" t="s">
        <v>53</v>
      </c>
      <c r="D79" s="43" t="s">
        <v>230</v>
      </c>
      <c r="E79" s="44" t="n">
        <v>96733.13</v>
      </c>
      <c r="F79" s="43" t="s">
        <v>528</v>
      </c>
      <c r="G79" s="43" t="s">
        <v>1093</v>
      </c>
    </row>
    <row r="80" customFormat="false" ht="15" hidden="false" customHeight="false" outlineLevel="0" collapsed="false">
      <c r="A80" s="43" t="n">
        <v>2025</v>
      </c>
      <c r="B80" s="43" t="n">
        <v>6</v>
      </c>
      <c r="C80" s="43" t="s">
        <v>54</v>
      </c>
      <c r="D80" s="43" t="s">
        <v>230</v>
      </c>
      <c r="E80" s="44" t="n">
        <v>168659.81</v>
      </c>
      <c r="F80" s="43" t="s">
        <v>528</v>
      </c>
      <c r="G80" s="43" t="s">
        <v>1093</v>
      </c>
    </row>
    <row r="81" customFormat="false" ht="15" hidden="false" customHeight="false" outlineLevel="0" collapsed="false">
      <c r="A81" s="43" t="n">
        <v>2025</v>
      </c>
      <c r="B81" s="43" t="n">
        <v>7</v>
      </c>
      <c r="C81" s="43" t="s">
        <v>55</v>
      </c>
      <c r="D81" s="43" t="s">
        <v>230</v>
      </c>
      <c r="E81" s="44" t="n">
        <v>177078.21</v>
      </c>
      <c r="F81" s="43" t="s">
        <v>528</v>
      </c>
      <c r="G81" s="43" t="s">
        <v>1093</v>
      </c>
    </row>
    <row r="82" customFormat="false" ht="15" hidden="false" customHeight="false" outlineLevel="0" collapsed="false">
      <c r="A82" s="43" t="n">
        <v>2025</v>
      </c>
      <c r="B82" s="43" t="n">
        <v>8</v>
      </c>
      <c r="C82" s="43" t="s">
        <v>56</v>
      </c>
      <c r="D82" s="43" t="s">
        <v>230</v>
      </c>
      <c r="E82" s="44" t="n">
        <v>367546.9</v>
      </c>
      <c r="F82" s="43" t="s">
        <v>528</v>
      </c>
      <c r="G82" s="43" t="s">
        <v>1093</v>
      </c>
    </row>
    <row r="83" customFormat="false" ht="15" hidden="false" customHeight="false" outlineLevel="0" collapsed="false">
      <c r="A83" s="43" t="n">
        <v>2025</v>
      </c>
      <c r="B83" s="43" t="n">
        <v>9</v>
      </c>
      <c r="C83" s="43" t="s">
        <v>57</v>
      </c>
      <c r="D83" s="43" t="s">
        <v>230</v>
      </c>
      <c r="E83" s="44" t="n">
        <v>-21697.9</v>
      </c>
      <c r="F83" s="43" t="s">
        <v>528</v>
      </c>
      <c r="G83" s="43" t="s">
        <v>1093</v>
      </c>
    </row>
    <row r="84" customFormat="false" ht="15" hidden="false" customHeight="false" outlineLevel="0" collapsed="false">
      <c r="A84" s="43" t="n">
        <v>2025</v>
      </c>
      <c r="B84" s="43" t="n">
        <v>10</v>
      </c>
      <c r="C84" s="43" t="s">
        <v>58</v>
      </c>
      <c r="D84" s="43" t="s">
        <v>230</v>
      </c>
      <c r="E84" s="44" t="n">
        <v>134737.13</v>
      </c>
      <c r="F84" s="43" t="s">
        <v>528</v>
      </c>
      <c r="G84" s="43" t="s">
        <v>1093</v>
      </c>
    </row>
    <row r="85" customFormat="false" ht="15" hidden="false" customHeight="false" outlineLevel="0" collapsed="false">
      <c r="A85" s="43" t="n">
        <v>2025</v>
      </c>
      <c r="B85" s="43" t="n">
        <v>11</v>
      </c>
      <c r="C85" s="43" t="s">
        <v>59</v>
      </c>
      <c r="D85" s="43" t="s">
        <v>230</v>
      </c>
      <c r="E85" s="44" t="n">
        <v>-38802.07</v>
      </c>
      <c r="F85" s="43" t="s">
        <v>528</v>
      </c>
      <c r="G85" s="43" t="s">
        <v>1093</v>
      </c>
    </row>
    <row r="86" customFormat="false" ht="15" hidden="false" customHeight="false" outlineLevel="0" collapsed="false">
      <c r="A86" s="43" t="n">
        <v>2025</v>
      </c>
      <c r="B86" s="43" t="n">
        <v>12</v>
      </c>
      <c r="C86" s="43" t="s">
        <v>60</v>
      </c>
      <c r="D86" s="43" t="s">
        <v>230</v>
      </c>
      <c r="E86" s="44" t="n">
        <v>-114001.91</v>
      </c>
      <c r="F86" s="43" t="s">
        <v>528</v>
      </c>
      <c r="G86" s="43" t="s">
        <v>1093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4" min="1" style="0" width="9"/>
    <col collapsed="false" customWidth="true" hidden="false" outlineLevel="0" max="5" min="5" style="0" width="12"/>
    <col collapsed="false" customWidth="true" hidden="false" outlineLevel="0" max="6" min="6" style="0" width="35"/>
    <col collapsed="false" customWidth="true" hidden="false" outlineLevel="0" max="7" min="7" style="0" width="34"/>
  </cols>
  <sheetData>
    <row r="1" customFormat="false" ht="15" hidden="false" customHeight="false" outlineLevel="0" collapsed="false">
      <c r="A1" s="41" t="s">
        <v>1095</v>
      </c>
    </row>
    <row r="2" customFormat="false" ht="15" hidden="false" customHeight="false" outlineLevel="0" collapsed="false">
      <c r="A2" s="42" t="s">
        <v>508</v>
      </c>
      <c r="B2" s="42" t="s">
        <v>509</v>
      </c>
      <c r="C2" s="42" t="s">
        <v>43</v>
      </c>
      <c r="D2" s="42" t="s">
        <v>510</v>
      </c>
      <c r="E2" s="42" t="s">
        <v>1096</v>
      </c>
      <c r="F2" s="42" t="s">
        <v>512</v>
      </c>
      <c r="G2" s="42" t="s">
        <v>513</v>
      </c>
    </row>
    <row r="3" customFormat="false" ht="15" hidden="false" customHeight="false" outlineLevel="0" collapsed="false">
      <c r="A3" s="43" t="s">
        <v>62</v>
      </c>
      <c r="B3" s="43" t="n">
        <v>2024</v>
      </c>
      <c r="C3" s="43" t="n">
        <v>1</v>
      </c>
      <c r="D3" s="43" t="s">
        <v>49</v>
      </c>
      <c r="E3" s="44" t="n">
        <v>189158</v>
      </c>
      <c r="F3" s="43" t="s">
        <v>635</v>
      </c>
      <c r="G3" s="43" t="s">
        <v>1097</v>
      </c>
    </row>
    <row r="4" customFormat="false" ht="15" hidden="false" customHeight="false" outlineLevel="0" collapsed="false">
      <c r="A4" s="43" t="s">
        <v>62</v>
      </c>
      <c r="B4" s="43" t="n">
        <v>2024</v>
      </c>
      <c r="C4" s="43" t="n">
        <v>2</v>
      </c>
      <c r="D4" s="43" t="s">
        <v>50</v>
      </c>
      <c r="E4" s="44" t="n">
        <v>225732</v>
      </c>
      <c r="F4" s="43" t="s">
        <v>635</v>
      </c>
      <c r="G4" s="43" t="s">
        <v>1097</v>
      </c>
    </row>
    <row r="5" customFormat="false" ht="15" hidden="false" customHeight="false" outlineLevel="0" collapsed="false">
      <c r="A5" s="43" t="s">
        <v>62</v>
      </c>
      <c r="B5" s="43" t="n">
        <v>2024</v>
      </c>
      <c r="C5" s="43" t="n">
        <v>3</v>
      </c>
      <c r="D5" s="43" t="s">
        <v>51</v>
      </c>
      <c r="E5" s="44" t="n">
        <v>78646.28</v>
      </c>
      <c r="F5" s="43" t="s">
        <v>635</v>
      </c>
      <c r="G5" s="43" t="s">
        <v>1097</v>
      </c>
    </row>
    <row r="6" customFormat="false" ht="15" hidden="false" customHeight="false" outlineLevel="0" collapsed="false">
      <c r="A6" s="43" t="s">
        <v>62</v>
      </c>
      <c r="B6" s="43" t="n">
        <v>2024</v>
      </c>
      <c r="C6" s="43" t="n">
        <v>4</v>
      </c>
      <c r="D6" s="43" t="s">
        <v>52</v>
      </c>
      <c r="E6" s="44" t="n">
        <v>74596</v>
      </c>
      <c r="F6" s="43" t="s">
        <v>635</v>
      </c>
      <c r="G6" s="43" t="s">
        <v>1097</v>
      </c>
    </row>
    <row r="7" customFormat="false" ht="15" hidden="false" customHeight="false" outlineLevel="0" collapsed="false">
      <c r="A7" s="43" t="s">
        <v>62</v>
      </c>
      <c r="B7" s="43" t="n">
        <v>2024</v>
      </c>
      <c r="C7" s="43" t="n">
        <v>5</v>
      </c>
      <c r="D7" s="43" t="s">
        <v>53</v>
      </c>
      <c r="E7" s="44" t="n">
        <v>260230.35</v>
      </c>
      <c r="F7" s="43" t="s">
        <v>635</v>
      </c>
      <c r="G7" s="43" t="s">
        <v>1097</v>
      </c>
    </row>
    <row r="8" customFormat="false" ht="15" hidden="false" customHeight="false" outlineLevel="0" collapsed="false">
      <c r="A8" s="43" t="s">
        <v>62</v>
      </c>
      <c r="B8" s="43" t="n">
        <v>2024</v>
      </c>
      <c r="C8" s="43" t="n">
        <v>7</v>
      </c>
      <c r="D8" s="43" t="s">
        <v>55</v>
      </c>
      <c r="E8" s="44" t="n">
        <v>20440</v>
      </c>
      <c r="F8" s="43" t="s">
        <v>635</v>
      </c>
      <c r="G8" s="43" t="s">
        <v>1097</v>
      </c>
    </row>
    <row r="9" customFormat="false" ht="15" hidden="false" customHeight="false" outlineLevel="0" collapsed="false">
      <c r="A9" s="43" t="s">
        <v>62</v>
      </c>
      <c r="B9" s="43" t="n">
        <v>2024</v>
      </c>
      <c r="C9" s="43" t="n">
        <v>8</v>
      </c>
      <c r="D9" s="43" t="s">
        <v>56</v>
      </c>
      <c r="E9" s="44" t="n">
        <v>145281.06</v>
      </c>
      <c r="F9" s="43" t="s">
        <v>635</v>
      </c>
      <c r="G9" s="43" t="s">
        <v>1097</v>
      </c>
    </row>
    <row r="10" customFormat="false" ht="15" hidden="false" customHeight="false" outlineLevel="0" collapsed="false">
      <c r="A10" s="43" t="s">
        <v>62</v>
      </c>
      <c r="B10" s="43" t="n">
        <v>2024</v>
      </c>
      <c r="C10" s="43" t="n">
        <v>10</v>
      </c>
      <c r="D10" s="43" t="s">
        <v>58</v>
      </c>
      <c r="E10" s="44" t="n">
        <v>128801</v>
      </c>
      <c r="F10" s="43" t="s">
        <v>635</v>
      </c>
      <c r="G10" s="43" t="s">
        <v>1097</v>
      </c>
    </row>
    <row r="11" customFormat="false" ht="15" hidden="false" customHeight="false" outlineLevel="0" collapsed="false">
      <c r="A11" s="43" t="s">
        <v>62</v>
      </c>
      <c r="B11" s="43" t="n">
        <v>2024</v>
      </c>
      <c r="C11" s="43" t="n">
        <v>11</v>
      </c>
      <c r="D11" s="43" t="s">
        <v>59</v>
      </c>
      <c r="E11" s="44" t="n">
        <v>60895</v>
      </c>
      <c r="F11" s="43" t="s">
        <v>635</v>
      </c>
      <c r="G11" s="43" t="s">
        <v>1097</v>
      </c>
    </row>
    <row r="12" customFormat="false" ht="15" hidden="false" customHeight="false" outlineLevel="0" collapsed="false">
      <c r="A12" s="43" t="s">
        <v>62</v>
      </c>
      <c r="B12" s="43" t="n">
        <v>2024</v>
      </c>
      <c r="C12" s="43" t="n">
        <v>12</v>
      </c>
      <c r="D12" s="43" t="s">
        <v>60</v>
      </c>
      <c r="E12" s="44" t="n">
        <v>19954.09</v>
      </c>
      <c r="F12" s="43" t="s">
        <v>635</v>
      </c>
      <c r="G12" s="43" t="s">
        <v>1097</v>
      </c>
    </row>
    <row r="13" customFormat="false" ht="15" hidden="false" customHeight="false" outlineLevel="0" collapsed="false">
      <c r="A13" s="43" t="s">
        <v>48</v>
      </c>
      <c r="B13" s="43" t="n">
        <v>2024</v>
      </c>
      <c r="C13" s="43" t="n">
        <v>1</v>
      </c>
      <c r="D13" s="43" t="s">
        <v>49</v>
      </c>
      <c r="E13" s="44" t="n">
        <v>427785.65</v>
      </c>
      <c r="F13" s="43" t="s">
        <v>635</v>
      </c>
      <c r="G13" s="43" t="s">
        <v>1097</v>
      </c>
    </row>
    <row r="14" customFormat="false" ht="15" hidden="false" customHeight="false" outlineLevel="0" collapsed="false">
      <c r="A14" s="43" t="s">
        <v>48</v>
      </c>
      <c r="B14" s="43" t="n">
        <v>2024</v>
      </c>
      <c r="C14" s="43" t="n">
        <v>2</v>
      </c>
      <c r="D14" s="43" t="s">
        <v>50</v>
      </c>
      <c r="E14" s="44" t="n">
        <v>203475.73</v>
      </c>
      <c r="F14" s="43" t="s">
        <v>635</v>
      </c>
      <c r="G14" s="43" t="s">
        <v>1097</v>
      </c>
    </row>
    <row r="15" customFormat="false" ht="15" hidden="false" customHeight="false" outlineLevel="0" collapsed="false">
      <c r="A15" s="43" t="s">
        <v>48</v>
      </c>
      <c r="B15" s="43" t="n">
        <v>2024</v>
      </c>
      <c r="C15" s="43" t="n">
        <v>3</v>
      </c>
      <c r="D15" s="43" t="s">
        <v>51</v>
      </c>
      <c r="E15" s="44" t="n">
        <v>294697.49</v>
      </c>
      <c r="F15" s="43" t="s">
        <v>635</v>
      </c>
      <c r="G15" s="43" t="s">
        <v>1097</v>
      </c>
    </row>
    <row r="16" customFormat="false" ht="15" hidden="false" customHeight="false" outlineLevel="0" collapsed="false">
      <c r="A16" s="43" t="s">
        <v>48</v>
      </c>
      <c r="B16" s="43" t="n">
        <v>2024</v>
      </c>
      <c r="C16" s="43" t="n">
        <v>4</v>
      </c>
      <c r="D16" s="43" t="s">
        <v>52</v>
      </c>
      <c r="E16" s="44" t="n">
        <v>239030.2</v>
      </c>
      <c r="F16" s="43" t="s">
        <v>635</v>
      </c>
      <c r="G16" s="43" t="s">
        <v>1097</v>
      </c>
    </row>
    <row r="17" customFormat="false" ht="15" hidden="false" customHeight="false" outlineLevel="0" collapsed="false">
      <c r="A17" s="43" t="s">
        <v>48</v>
      </c>
      <c r="B17" s="43" t="n">
        <v>2024</v>
      </c>
      <c r="C17" s="43" t="n">
        <v>5</v>
      </c>
      <c r="D17" s="43" t="s">
        <v>53</v>
      </c>
      <c r="E17" s="44" t="n">
        <v>253748.15</v>
      </c>
      <c r="F17" s="43" t="s">
        <v>635</v>
      </c>
      <c r="G17" s="43" t="s">
        <v>1097</v>
      </c>
    </row>
    <row r="18" customFormat="false" ht="15" hidden="false" customHeight="false" outlineLevel="0" collapsed="false">
      <c r="A18" s="43" t="s">
        <v>48</v>
      </c>
      <c r="B18" s="43" t="n">
        <v>2024</v>
      </c>
      <c r="C18" s="43" t="n">
        <v>6</v>
      </c>
      <c r="D18" s="43" t="s">
        <v>54</v>
      </c>
      <c r="E18" s="44" t="n">
        <v>93352.85</v>
      </c>
      <c r="F18" s="43" t="s">
        <v>635</v>
      </c>
      <c r="G18" s="43" t="s">
        <v>1097</v>
      </c>
    </row>
    <row r="19" customFormat="false" ht="15" hidden="false" customHeight="false" outlineLevel="0" collapsed="false">
      <c r="A19" s="43" t="s">
        <v>48</v>
      </c>
      <c r="B19" s="43" t="n">
        <v>2024</v>
      </c>
      <c r="C19" s="43" t="n">
        <v>7</v>
      </c>
      <c r="D19" s="43" t="s">
        <v>55</v>
      </c>
      <c r="E19" s="44" t="n">
        <v>205183.7</v>
      </c>
      <c r="F19" s="43" t="s">
        <v>635</v>
      </c>
      <c r="G19" s="43" t="s">
        <v>1097</v>
      </c>
    </row>
    <row r="20" customFormat="false" ht="15" hidden="false" customHeight="false" outlineLevel="0" collapsed="false">
      <c r="A20" s="43" t="s">
        <v>48</v>
      </c>
      <c r="B20" s="43" t="n">
        <v>2024</v>
      </c>
      <c r="C20" s="43" t="n">
        <v>8</v>
      </c>
      <c r="D20" s="43" t="s">
        <v>56</v>
      </c>
      <c r="E20" s="44" t="n">
        <v>189363.48</v>
      </c>
      <c r="F20" s="43" t="s">
        <v>635</v>
      </c>
      <c r="G20" s="43" t="s">
        <v>1097</v>
      </c>
    </row>
    <row r="21" customFormat="false" ht="15" hidden="false" customHeight="false" outlineLevel="0" collapsed="false">
      <c r="A21" s="43" t="s">
        <v>48</v>
      </c>
      <c r="B21" s="43" t="n">
        <v>2024</v>
      </c>
      <c r="C21" s="43" t="n">
        <v>9</v>
      </c>
      <c r="D21" s="43" t="s">
        <v>57</v>
      </c>
      <c r="E21" s="44" t="n">
        <v>324783</v>
      </c>
      <c r="F21" s="43" t="s">
        <v>635</v>
      </c>
      <c r="G21" s="43" t="s">
        <v>1097</v>
      </c>
    </row>
    <row r="22" customFormat="false" ht="15" hidden="false" customHeight="false" outlineLevel="0" collapsed="false">
      <c r="A22" s="43" t="s">
        <v>48</v>
      </c>
      <c r="B22" s="43" t="n">
        <v>2024</v>
      </c>
      <c r="C22" s="43" t="n">
        <v>10</v>
      </c>
      <c r="D22" s="43" t="s">
        <v>58</v>
      </c>
      <c r="E22" s="44" t="n">
        <v>505284.85</v>
      </c>
      <c r="F22" s="43" t="s">
        <v>635</v>
      </c>
      <c r="G22" s="43" t="s">
        <v>1097</v>
      </c>
    </row>
    <row r="23" customFormat="false" ht="15" hidden="false" customHeight="false" outlineLevel="0" collapsed="false">
      <c r="A23" s="43" t="s">
        <v>48</v>
      </c>
      <c r="B23" s="43" t="n">
        <v>2024</v>
      </c>
      <c r="C23" s="43" t="n">
        <v>11</v>
      </c>
      <c r="D23" s="43" t="s">
        <v>59</v>
      </c>
      <c r="E23" s="44" t="n">
        <v>354325.85</v>
      </c>
      <c r="F23" s="43" t="s">
        <v>635</v>
      </c>
      <c r="G23" s="43" t="s">
        <v>1097</v>
      </c>
    </row>
    <row r="24" customFormat="false" ht="15" hidden="false" customHeight="false" outlineLevel="0" collapsed="false">
      <c r="A24" s="43" t="s">
        <v>48</v>
      </c>
      <c r="B24" s="43" t="n">
        <v>2024</v>
      </c>
      <c r="C24" s="43" t="n">
        <v>12</v>
      </c>
      <c r="D24" s="43" t="s">
        <v>60</v>
      </c>
      <c r="E24" s="44" t="n">
        <v>214110.95</v>
      </c>
      <c r="F24" s="43" t="s">
        <v>635</v>
      </c>
      <c r="G24" s="43" t="s">
        <v>1097</v>
      </c>
    </row>
    <row r="25" customFormat="false" ht="15" hidden="false" customHeight="false" outlineLevel="0" collapsed="false">
      <c r="A25" s="43" t="s">
        <v>61</v>
      </c>
      <c r="B25" s="43" t="n">
        <v>2024</v>
      </c>
      <c r="C25" s="43" t="n">
        <v>1</v>
      </c>
      <c r="D25" s="43" t="s">
        <v>49</v>
      </c>
      <c r="E25" s="44" t="n">
        <v>165529</v>
      </c>
      <c r="F25" s="43" t="s">
        <v>635</v>
      </c>
      <c r="G25" s="43" t="s">
        <v>1097</v>
      </c>
    </row>
    <row r="26" customFormat="false" ht="15" hidden="false" customHeight="false" outlineLevel="0" collapsed="false">
      <c r="A26" s="43" t="s">
        <v>61</v>
      </c>
      <c r="B26" s="43" t="n">
        <v>2024</v>
      </c>
      <c r="C26" s="43" t="n">
        <v>2</v>
      </c>
      <c r="D26" s="43" t="s">
        <v>50</v>
      </c>
      <c r="E26" s="44" t="n">
        <v>97072</v>
      </c>
      <c r="F26" s="43" t="s">
        <v>635</v>
      </c>
      <c r="G26" s="43" t="s">
        <v>1097</v>
      </c>
    </row>
    <row r="27" customFormat="false" ht="15" hidden="false" customHeight="false" outlineLevel="0" collapsed="false">
      <c r="A27" s="43" t="s">
        <v>61</v>
      </c>
      <c r="B27" s="43" t="n">
        <v>2024</v>
      </c>
      <c r="C27" s="43" t="n">
        <v>3</v>
      </c>
      <c r="D27" s="43" t="s">
        <v>51</v>
      </c>
      <c r="E27" s="44" t="n">
        <v>127385</v>
      </c>
      <c r="F27" s="43" t="s">
        <v>635</v>
      </c>
      <c r="G27" s="43" t="s">
        <v>1097</v>
      </c>
    </row>
    <row r="28" customFormat="false" ht="15" hidden="false" customHeight="false" outlineLevel="0" collapsed="false">
      <c r="A28" s="43" t="s">
        <v>61</v>
      </c>
      <c r="B28" s="43" t="n">
        <v>2024</v>
      </c>
      <c r="C28" s="43" t="n">
        <v>4</v>
      </c>
      <c r="D28" s="43" t="s">
        <v>52</v>
      </c>
      <c r="E28" s="44" t="n">
        <v>76133</v>
      </c>
      <c r="F28" s="43" t="s">
        <v>635</v>
      </c>
      <c r="G28" s="43" t="s">
        <v>1097</v>
      </c>
    </row>
    <row r="29" customFormat="false" ht="15" hidden="false" customHeight="false" outlineLevel="0" collapsed="false">
      <c r="A29" s="43" t="s">
        <v>61</v>
      </c>
      <c r="B29" s="43" t="n">
        <v>2024</v>
      </c>
      <c r="C29" s="43" t="n">
        <v>5</v>
      </c>
      <c r="D29" s="43" t="s">
        <v>53</v>
      </c>
      <c r="E29" s="44" t="n">
        <v>107995</v>
      </c>
      <c r="F29" s="43" t="s">
        <v>635</v>
      </c>
      <c r="G29" s="43" t="s">
        <v>1097</v>
      </c>
    </row>
    <row r="30" customFormat="false" ht="15" hidden="false" customHeight="false" outlineLevel="0" collapsed="false">
      <c r="A30" s="43" t="s">
        <v>61</v>
      </c>
      <c r="B30" s="43" t="n">
        <v>2024</v>
      </c>
      <c r="C30" s="43" t="n">
        <v>6</v>
      </c>
      <c r="D30" s="43" t="s">
        <v>54</v>
      </c>
      <c r="E30" s="44" t="n">
        <v>260367.19</v>
      </c>
      <c r="F30" s="43" t="s">
        <v>635</v>
      </c>
      <c r="G30" s="43" t="s">
        <v>1097</v>
      </c>
    </row>
    <row r="31" customFormat="false" ht="15" hidden="false" customHeight="false" outlineLevel="0" collapsed="false">
      <c r="A31" s="43" t="s">
        <v>61</v>
      </c>
      <c r="B31" s="43" t="n">
        <v>2024</v>
      </c>
      <c r="C31" s="43" t="n">
        <v>7</v>
      </c>
      <c r="D31" s="43" t="s">
        <v>55</v>
      </c>
      <c r="E31" s="44" t="n">
        <v>183964.41</v>
      </c>
      <c r="F31" s="43" t="s">
        <v>635</v>
      </c>
      <c r="G31" s="43" t="s">
        <v>1097</v>
      </c>
    </row>
    <row r="32" customFormat="false" ht="15" hidden="false" customHeight="false" outlineLevel="0" collapsed="false">
      <c r="A32" s="43" t="s">
        <v>61</v>
      </c>
      <c r="B32" s="43" t="n">
        <v>2024</v>
      </c>
      <c r="C32" s="43" t="n">
        <v>8</v>
      </c>
      <c r="D32" s="43" t="s">
        <v>56</v>
      </c>
      <c r="E32" s="44" t="n">
        <v>177962.46</v>
      </c>
      <c r="F32" s="43" t="s">
        <v>635</v>
      </c>
      <c r="G32" s="43" t="s">
        <v>1097</v>
      </c>
    </row>
    <row r="33" customFormat="false" ht="15" hidden="false" customHeight="false" outlineLevel="0" collapsed="false">
      <c r="A33" s="43" t="s">
        <v>61</v>
      </c>
      <c r="B33" s="43" t="n">
        <v>2024</v>
      </c>
      <c r="C33" s="43" t="n">
        <v>9</v>
      </c>
      <c r="D33" s="43" t="s">
        <v>57</v>
      </c>
      <c r="E33" s="44" t="n">
        <v>379457.84</v>
      </c>
      <c r="F33" s="43" t="s">
        <v>635</v>
      </c>
      <c r="G33" s="43" t="s">
        <v>1097</v>
      </c>
    </row>
    <row r="34" customFormat="false" ht="15" hidden="false" customHeight="false" outlineLevel="0" collapsed="false">
      <c r="A34" s="43" t="s">
        <v>61</v>
      </c>
      <c r="B34" s="43" t="n">
        <v>2024</v>
      </c>
      <c r="C34" s="43" t="n">
        <v>10</v>
      </c>
      <c r="D34" s="43" t="s">
        <v>58</v>
      </c>
      <c r="E34" s="44" t="n">
        <v>293429.08</v>
      </c>
      <c r="F34" s="43" t="s">
        <v>635</v>
      </c>
      <c r="G34" s="43" t="s">
        <v>1097</v>
      </c>
    </row>
    <row r="35" customFormat="false" ht="15" hidden="false" customHeight="false" outlineLevel="0" collapsed="false">
      <c r="A35" s="43" t="s">
        <v>61</v>
      </c>
      <c r="B35" s="43" t="n">
        <v>2024</v>
      </c>
      <c r="C35" s="43" t="n">
        <v>11</v>
      </c>
      <c r="D35" s="43" t="s">
        <v>59</v>
      </c>
      <c r="E35" s="44" t="n">
        <v>154562</v>
      </c>
      <c r="F35" s="43" t="s">
        <v>635</v>
      </c>
      <c r="G35" s="43" t="s">
        <v>1097</v>
      </c>
    </row>
    <row r="36" customFormat="false" ht="15" hidden="false" customHeight="false" outlineLevel="0" collapsed="false">
      <c r="A36" s="43" t="s">
        <v>61</v>
      </c>
      <c r="B36" s="43" t="n">
        <v>2024</v>
      </c>
      <c r="C36" s="43" t="n">
        <v>12</v>
      </c>
      <c r="D36" s="43" t="s">
        <v>60</v>
      </c>
      <c r="E36" s="44" t="n">
        <v>119107.45</v>
      </c>
      <c r="F36" s="43" t="s">
        <v>635</v>
      </c>
      <c r="G36" s="43" t="s">
        <v>1097</v>
      </c>
    </row>
    <row r="37" customFormat="false" ht="15" hidden="false" customHeight="false" outlineLevel="0" collapsed="false">
      <c r="A37" s="43" t="s">
        <v>76</v>
      </c>
      <c r="B37" s="43" t="n">
        <v>2024</v>
      </c>
      <c r="C37" s="43" t="n">
        <v>10</v>
      </c>
      <c r="D37" s="43" t="s">
        <v>58</v>
      </c>
      <c r="E37" s="44" t="n">
        <v>76050</v>
      </c>
      <c r="F37" s="43" t="s">
        <v>635</v>
      </c>
      <c r="G37" s="43" t="s">
        <v>1097</v>
      </c>
    </row>
    <row r="38" customFormat="false" ht="15" hidden="false" customHeight="false" outlineLevel="0" collapsed="false">
      <c r="A38" s="43" t="s">
        <v>76</v>
      </c>
      <c r="B38" s="43" t="n">
        <v>2024</v>
      </c>
      <c r="C38" s="43" t="n">
        <v>12</v>
      </c>
      <c r="D38" s="43" t="s">
        <v>60</v>
      </c>
      <c r="E38" s="44" t="n">
        <v>76050</v>
      </c>
      <c r="F38" s="43" t="s">
        <v>635</v>
      </c>
      <c r="G38" s="43" t="s">
        <v>1097</v>
      </c>
    </row>
    <row r="39" customFormat="false" ht="15" hidden="false" customHeight="false" outlineLevel="0" collapsed="false">
      <c r="A39" s="43" t="s">
        <v>63</v>
      </c>
      <c r="B39" s="43" t="n">
        <v>2024</v>
      </c>
      <c r="C39" s="43" t="n">
        <v>2</v>
      </c>
      <c r="D39" s="43" t="s">
        <v>50</v>
      </c>
      <c r="E39" s="44" t="n">
        <v>52804</v>
      </c>
      <c r="F39" s="43" t="s">
        <v>635</v>
      </c>
      <c r="G39" s="43" t="s">
        <v>1097</v>
      </c>
    </row>
    <row r="40" customFormat="false" ht="15" hidden="false" customHeight="false" outlineLevel="0" collapsed="false">
      <c r="A40" s="43" t="s">
        <v>63</v>
      </c>
      <c r="B40" s="43" t="n">
        <v>2024</v>
      </c>
      <c r="C40" s="43" t="n">
        <v>3</v>
      </c>
      <c r="D40" s="43" t="s">
        <v>51</v>
      </c>
      <c r="E40" s="44" t="n">
        <v>265888</v>
      </c>
      <c r="F40" s="43" t="s">
        <v>635</v>
      </c>
      <c r="G40" s="43" t="s">
        <v>1097</v>
      </c>
    </row>
    <row r="41" customFormat="false" ht="15" hidden="false" customHeight="false" outlineLevel="0" collapsed="false">
      <c r="A41" s="43" t="s">
        <v>63</v>
      </c>
      <c r="B41" s="43" t="n">
        <v>2024</v>
      </c>
      <c r="C41" s="43" t="n">
        <v>5</v>
      </c>
      <c r="D41" s="43" t="s">
        <v>53</v>
      </c>
      <c r="E41" s="44" t="n">
        <v>188633</v>
      </c>
      <c r="F41" s="43" t="s">
        <v>635</v>
      </c>
      <c r="G41" s="43" t="s">
        <v>1097</v>
      </c>
    </row>
    <row r="42" customFormat="false" ht="15" hidden="false" customHeight="false" outlineLevel="0" collapsed="false">
      <c r="A42" s="43" t="s">
        <v>63</v>
      </c>
      <c r="B42" s="43" t="n">
        <v>2024</v>
      </c>
      <c r="C42" s="43" t="n">
        <v>6</v>
      </c>
      <c r="D42" s="43" t="s">
        <v>54</v>
      </c>
      <c r="E42" s="44" t="n">
        <v>44291</v>
      </c>
      <c r="F42" s="43" t="s">
        <v>635</v>
      </c>
      <c r="G42" s="43" t="s">
        <v>1097</v>
      </c>
    </row>
    <row r="43" customFormat="false" ht="15" hidden="false" customHeight="false" outlineLevel="0" collapsed="false">
      <c r="A43" s="43" t="s">
        <v>63</v>
      </c>
      <c r="B43" s="43" t="n">
        <v>2024</v>
      </c>
      <c r="C43" s="43" t="n">
        <v>7</v>
      </c>
      <c r="D43" s="43" t="s">
        <v>55</v>
      </c>
      <c r="E43" s="44" t="n">
        <v>51739</v>
      </c>
      <c r="F43" s="43" t="s">
        <v>635</v>
      </c>
      <c r="G43" s="43" t="s">
        <v>1097</v>
      </c>
    </row>
    <row r="44" customFormat="false" ht="15" hidden="false" customHeight="false" outlineLevel="0" collapsed="false">
      <c r="A44" s="43" t="s">
        <v>63</v>
      </c>
      <c r="B44" s="43" t="n">
        <v>2024</v>
      </c>
      <c r="C44" s="43" t="n">
        <v>8</v>
      </c>
      <c r="D44" s="43" t="s">
        <v>56</v>
      </c>
      <c r="E44" s="44" t="n">
        <v>149821</v>
      </c>
      <c r="F44" s="43" t="s">
        <v>635</v>
      </c>
      <c r="G44" s="43" t="s">
        <v>1097</v>
      </c>
    </row>
    <row r="45" customFormat="false" ht="15" hidden="false" customHeight="false" outlineLevel="0" collapsed="false">
      <c r="A45" s="43" t="s">
        <v>63</v>
      </c>
      <c r="B45" s="43" t="n">
        <v>2024</v>
      </c>
      <c r="C45" s="43" t="n">
        <v>9</v>
      </c>
      <c r="D45" s="43" t="s">
        <v>57</v>
      </c>
      <c r="E45" s="44" t="n">
        <v>625516</v>
      </c>
      <c r="F45" s="43" t="s">
        <v>635</v>
      </c>
      <c r="G45" s="43" t="s">
        <v>1097</v>
      </c>
    </row>
    <row r="46" customFormat="false" ht="15" hidden="false" customHeight="false" outlineLevel="0" collapsed="false">
      <c r="A46" s="43" t="s">
        <v>63</v>
      </c>
      <c r="B46" s="43" t="n">
        <v>2024</v>
      </c>
      <c r="C46" s="43" t="n">
        <v>11</v>
      </c>
      <c r="D46" s="43" t="s">
        <v>59</v>
      </c>
      <c r="E46" s="44" t="n">
        <v>45925</v>
      </c>
      <c r="F46" s="43" t="s">
        <v>635</v>
      </c>
      <c r="G46" s="43" t="s">
        <v>1097</v>
      </c>
    </row>
    <row r="47" customFormat="false" ht="15" hidden="false" customHeight="false" outlineLevel="0" collapsed="false">
      <c r="A47" s="43" t="s">
        <v>63</v>
      </c>
      <c r="B47" s="43" t="n">
        <v>2024</v>
      </c>
      <c r="C47" s="43" t="n">
        <v>12</v>
      </c>
      <c r="D47" s="43" t="s">
        <v>60</v>
      </c>
      <c r="E47" s="44" t="n">
        <v>46640</v>
      </c>
      <c r="F47" s="43" t="s">
        <v>635</v>
      </c>
      <c r="G47" s="43" t="s">
        <v>1097</v>
      </c>
    </row>
    <row r="48" customFormat="false" ht="15" hidden="false" customHeight="false" outlineLevel="0" collapsed="false">
      <c r="A48" s="43" t="s">
        <v>179</v>
      </c>
      <c r="B48" s="43" t="n">
        <v>2025</v>
      </c>
      <c r="C48" s="43" t="n">
        <v>2</v>
      </c>
      <c r="D48" s="43" t="s">
        <v>50</v>
      </c>
      <c r="E48" s="44" t="n">
        <v>21682</v>
      </c>
      <c r="F48" s="43" t="s">
        <v>635</v>
      </c>
      <c r="G48" s="43" t="s">
        <v>1097</v>
      </c>
    </row>
    <row r="49" customFormat="false" ht="15" hidden="false" customHeight="false" outlineLevel="0" collapsed="false">
      <c r="A49" s="43" t="s">
        <v>179</v>
      </c>
      <c r="B49" s="43" t="n">
        <v>2025</v>
      </c>
      <c r="C49" s="43" t="n">
        <v>3</v>
      </c>
      <c r="D49" s="43" t="s">
        <v>51</v>
      </c>
      <c r="E49" s="44" t="n">
        <v>45478</v>
      </c>
      <c r="F49" s="43" t="s">
        <v>635</v>
      </c>
      <c r="G49" s="43" t="s">
        <v>1097</v>
      </c>
    </row>
    <row r="50" customFormat="false" ht="15" hidden="false" customHeight="false" outlineLevel="0" collapsed="false">
      <c r="A50" s="43" t="s">
        <v>179</v>
      </c>
      <c r="B50" s="43" t="n">
        <v>2025</v>
      </c>
      <c r="C50" s="43" t="n">
        <v>6</v>
      </c>
      <c r="D50" s="43" t="s">
        <v>54</v>
      </c>
      <c r="E50" s="44" t="n">
        <v>172507</v>
      </c>
      <c r="F50" s="43" t="s">
        <v>635</v>
      </c>
      <c r="G50" s="43" t="s">
        <v>1097</v>
      </c>
    </row>
    <row r="51" customFormat="false" ht="15" hidden="false" customHeight="false" outlineLevel="0" collapsed="false">
      <c r="A51" s="43" t="s">
        <v>179</v>
      </c>
      <c r="B51" s="43" t="n">
        <v>2025</v>
      </c>
      <c r="C51" s="43" t="n">
        <v>8</v>
      </c>
      <c r="D51" s="43" t="s">
        <v>56</v>
      </c>
      <c r="E51" s="44" t="n">
        <v>99524</v>
      </c>
      <c r="F51" s="43" t="s">
        <v>635</v>
      </c>
      <c r="G51" s="43" t="s">
        <v>1097</v>
      </c>
    </row>
    <row r="52" customFormat="false" ht="15" hidden="false" customHeight="false" outlineLevel="0" collapsed="false">
      <c r="A52" s="43" t="s">
        <v>62</v>
      </c>
      <c r="B52" s="43" t="n">
        <v>2025</v>
      </c>
      <c r="C52" s="43" t="n">
        <v>1</v>
      </c>
      <c r="D52" s="43" t="s">
        <v>49</v>
      </c>
      <c r="E52" s="44" t="n">
        <v>80518</v>
      </c>
      <c r="F52" s="43" t="s">
        <v>635</v>
      </c>
      <c r="G52" s="43" t="s">
        <v>1097</v>
      </c>
    </row>
    <row r="53" customFormat="false" ht="15" hidden="false" customHeight="false" outlineLevel="0" collapsed="false">
      <c r="A53" s="43" t="s">
        <v>62</v>
      </c>
      <c r="B53" s="43" t="n">
        <v>2025</v>
      </c>
      <c r="C53" s="43" t="n">
        <v>2</v>
      </c>
      <c r="D53" s="43" t="s">
        <v>50</v>
      </c>
      <c r="E53" s="44" t="n">
        <v>59683</v>
      </c>
      <c r="F53" s="43" t="s">
        <v>635</v>
      </c>
      <c r="G53" s="43" t="s">
        <v>1097</v>
      </c>
    </row>
    <row r="54" customFormat="false" ht="15" hidden="false" customHeight="false" outlineLevel="0" collapsed="false">
      <c r="A54" s="43" t="s">
        <v>62</v>
      </c>
      <c r="B54" s="43" t="n">
        <v>2025</v>
      </c>
      <c r="C54" s="43" t="n">
        <v>3</v>
      </c>
      <c r="D54" s="43" t="s">
        <v>51</v>
      </c>
      <c r="E54" s="44" t="n">
        <v>92087.26</v>
      </c>
      <c r="F54" s="43" t="s">
        <v>635</v>
      </c>
      <c r="G54" s="43" t="s">
        <v>1097</v>
      </c>
    </row>
    <row r="55" customFormat="false" ht="15" hidden="false" customHeight="false" outlineLevel="0" collapsed="false">
      <c r="A55" s="43" t="s">
        <v>62</v>
      </c>
      <c r="B55" s="43" t="n">
        <v>2025</v>
      </c>
      <c r="C55" s="43" t="n">
        <v>4</v>
      </c>
      <c r="D55" s="43" t="s">
        <v>52</v>
      </c>
      <c r="E55" s="44" t="n">
        <v>94342.57</v>
      </c>
      <c r="F55" s="43" t="s">
        <v>635</v>
      </c>
      <c r="G55" s="43" t="s">
        <v>1097</v>
      </c>
    </row>
    <row r="56" customFormat="false" ht="15" hidden="false" customHeight="false" outlineLevel="0" collapsed="false">
      <c r="A56" s="43" t="s">
        <v>62</v>
      </c>
      <c r="B56" s="43" t="n">
        <v>2025</v>
      </c>
      <c r="C56" s="43" t="n">
        <v>5</v>
      </c>
      <c r="D56" s="43" t="s">
        <v>53</v>
      </c>
      <c r="E56" s="44" t="n">
        <v>37074</v>
      </c>
      <c r="F56" s="43" t="s">
        <v>635</v>
      </c>
      <c r="G56" s="43" t="s">
        <v>1097</v>
      </c>
    </row>
    <row r="57" customFormat="false" ht="15" hidden="false" customHeight="false" outlineLevel="0" collapsed="false">
      <c r="A57" s="43" t="s">
        <v>62</v>
      </c>
      <c r="B57" s="43" t="n">
        <v>2025</v>
      </c>
      <c r="C57" s="43" t="n">
        <v>6</v>
      </c>
      <c r="D57" s="43" t="s">
        <v>54</v>
      </c>
      <c r="E57" s="44" t="n">
        <v>62579</v>
      </c>
      <c r="F57" s="43" t="s">
        <v>635</v>
      </c>
      <c r="G57" s="43" t="s">
        <v>1097</v>
      </c>
    </row>
    <row r="58" customFormat="false" ht="15" hidden="false" customHeight="false" outlineLevel="0" collapsed="false">
      <c r="A58" s="43" t="s">
        <v>62</v>
      </c>
      <c r="B58" s="43" t="n">
        <v>2025</v>
      </c>
      <c r="C58" s="43" t="n">
        <v>7</v>
      </c>
      <c r="D58" s="43" t="s">
        <v>55</v>
      </c>
      <c r="E58" s="44" t="n">
        <v>102710.97</v>
      </c>
      <c r="F58" s="43" t="s">
        <v>635</v>
      </c>
      <c r="G58" s="43" t="s">
        <v>1097</v>
      </c>
    </row>
    <row r="59" customFormat="false" ht="15" hidden="false" customHeight="false" outlineLevel="0" collapsed="false">
      <c r="A59" s="43" t="s">
        <v>62</v>
      </c>
      <c r="B59" s="43" t="n">
        <v>2025</v>
      </c>
      <c r="C59" s="43" t="n">
        <v>8</v>
      </c>
      <c r="D59" s="43" t="s">
        <v>56</v>
      </c>
      <c r="E59" s="44" t="n">
        <v>70633.18</v>
      </c>
      <c r="F59" s="43" t="s">
        <v>635</v>
      </c>
      <c r="G59" s="43" t="s">
        <v>1097</v>
      </c>
    </row>
    <row r="60" customFormat="false" ht="15" hidden="false" customHeight="false" outlineLevel="0" collapsed="false">
      <c r="A60" s="43" t="s">
        <v>62</v>
      </c>
      <c r="B60" s="43" t="n">
        <v>2025</v>
      </c>
      <c r="C60" s="43" t="n">
        <v>9</v>
      </c>
      <c r="D60" s="43" t="s">
        <v>57</v>
      </c>
      <c r="E60" s="44" t="n">
        <v>198133.82</v>
      </c>
      <c r="F60" s="43" t="s">
        <v>635</v>
      </c>
      <c r="G60" s="43" t="s">
        <v>1097</v>
      </c>
    </row>
    <row r="61" customFormat="false" ht="15" hidden="false" customHeight="false" outlineLevel="0" collapsed="false">
      <c r="A61" s="43" t="s">
        <v>62</v>
      </c>
      <c r="B61" s="43" t="n">
        <v>2025</v>
      </c>
      <c r="C61" s="43" t="n">
        <v>10</v>
      </c>
      <c r="D61" s="43" t="s">
        <v>58</v>
      </c>
      <c r="E61" s="44" t="n">
        <v>326646</v>
      </c>
      <c r="F61" s="43" t="s">
        <v>635</v>
      </c>
      <c r="G61" s="43" t="s">
        <v>1097</v>
      </c>
    </row>
    <row r="62" customFormat="false" ht="15" hidden="false" customHeight="false" outlineLevel="0" collapsed="false">
      <c r="A62" s="43" t="s">
        <v>62</v>
      </c>
      <c r="B62" s="43" t="n">
        <v>2025</v>
      </c>
      <c r="C62" s="43" t="n">
        <v>11</v>
      </c>
      <c r="D62" s="43" t="s">
        <v>59</v>
      </c>
      <c r="E62" s="44" t="n">
        <v>239391.25</v>
      </c>
      <c r="F62" s="43" t="s">
        <v>635</v>
      </c>
      <c r="G62" s="43" t="s">
        <v>1097</v>
      </c>
    </row>
    <row r="63" customFormat="false" ht="15" hidden="false" customHeight="false" outlineLevel="0" collapsed="false">
      <c r="A63" s="43" t="s">
        <v>62</v>
      </c>
      <c r="B63" s="43" t="n">
        <v>2025</v>
      </c>
      <c r="C63" s="43" t="n">
        <v>12</v>
      </c>
      <c r="D63" s="43" t="s">
        <v>60</v>
      </c>
      <c r="E63" s="44" t="n">
        <v>220857</v>
      </c>
      <c r="F63" s="43" t="s">
        <v>635</v>
      </c>
      <c r="G63" s="43" t="s">
        <v>1097</v>
      </c>
    </row>
    <row r="64" customFormat="false" ht="15" hidden="false" customHeight="false" outlineLevel="0" collapsed="false">
      <c r="A64" s="43" t="s">
        <v>48</v>
      </c>
      <c r="B64" s="43" t="n">
        <v>2025</v>
      </c>
      <c r="C64" s="43" t="n">
        <v>1</v>
      </c>
      <c r="D64" s="43" t="s">
        <v>49</v>
      </c>
      <c r="E64" s="44" t="n">
        <v>365145.15</v>
      </c>
      <c r="F64" s="43" t="s">
        <v>635</v>
      </c>
      <c r="G64" s="43" t="s">
        <v>1097</v>
      </c>
    </row>
    <row r="65" customFormat="false" ht="15" hidden="false" customHeight="false" outlineLevel="0" collapsed="false">
      <c r="A65" s="43" t="s">
        <v>48</v>
      </c>
      <c r="B65" s="43" t="n">
        <v>2025</v>
      </c>
      <c r="C65" s="43" t="n">
        <v>2</v>
      </c>
      <c r="D65" s="43" t="s">
        <v>50</v>
      </c>
      <c r="E65" s="44" t="n">
        <v>542704.47</v>
      </c>
      <c r="F65" s="43" t="s">
        <v>635</v>
      </c>
      <c r="G65" s="43" t="s">
        <v>1097</v>
      </c>
    </row>
    <row r="66" customFormat="false" ht="15" hidden="false" customHeight="false" outlineLevel="0" collapsed="false">
      <c r="A66" s="43" t="s">
        <v>48</v>
      </c>
      <c r="B66" s="43" t="n">
        <v>2025</v>
      </c>
      <c r="C66" s="43" t="n">
        <v>3</v>
      </c>
      <c r="D66" s="43" t="s">
        <v>51</v>
      </c>
      <c r="E66" s="44" t="n">
        <v>391381.62</v>
      </c>
      <c r="F66" s="43" t="s">
        <v>635</v>
      </c>
      <c r="G66" s="43" t="s">
        <v>1097</v>
      </c>
    </row>
    <row r="67" customFormat="false" ht="15" hidden="false" customHeight="false" outlineLevel="0" collapsed="false">
      <c r="A67" s="43" t="s">
        <v>48</v>
      </c>
      <c r="B67" s="43" t="n">
        <v>2025</v>
      </c>
      <c r="C67" s="43" t="n">
        <v>4</v>
      </c>
      <c r="D67" s="43" t="s">
        <v>52</v>
      </c>
      <c r="E67" s="44" t="n">
        <v>227307</v>
      </c>
      <c r="F67" s="43" t="s">
        <v>635</v>
      </c>
      <c r="G67" s="43" t="s">
        <v>1097</v>
      </c>
    </row>
    <row r="68" customFormat="false" ht="15" hidden="false" customHeight="false" outlineLevel="0" collapsed="false">
      <c r="A68" s="43" t="s">
        <v>48</v>
      </c>
      <c r="B68" s="43" t="n">
        <v>2025</v>
      </c>
      <c r="C68" s="43" t="n">
        <v>5</v>
      </c>
      <c r="D68" s="43" t="s">
        <v>53</v>
      </c>
      <c r="E68" s="44" t="n">
        <v>264447.3</v>
      </c>
      <c r="F68" s="43" t="s">
        <v>635</v>
      </c>
      <c r="G68" s="43" t="s">
        <v>1097</v>
      </c>
    </row>
    <row r="69" customFormat="false" ht="15" hidden="false" customHeight="false" outlineLevel="0" collapsed="false">
      <c r="A69" s="43" t="s">
        <v>48</v>
      </c>
      <c r="B69" s="43" t="n">
        <v>2025</v>
      </c>
      <c r="C69" s="43" t="n">
        <v>6</v>
      </c>
      <c r="D69" s="43" t="s">
        <v>54</v>
      </c>
      <c r="E69" s="44" t="n">
        <v>270459.3</v>
      </c>
      <c r="F69" s="43" t="s">
        <v>635</v>
      </c>
      <c r="G69" s="43" t="s">
        <v>1097</v>
      </c>
    </row>
    <row r="70" customFormat="false" ht="15" hidden="false" customHeight="false" outlineLevel="0" collapsed="false">
      <c r="A70" s="43" t="s">
        <v>48</v>
      </c>
      <c r="B70" s="43" t="n">
        <v>2025</v>
      </c>
      <c r="C70" s="43" t="n">
        <v>7</v>
      </c>
      <c r="D70" s="43" t="s">
        <v>55</v>
      </c>
      <c r="E70" s="44" t="n">
        <v>474118.7</v>
      </c>
      <c r="F70" s="43" t="s">
        <v>635</v>
      </c>
      <c r="G70" s="43" t="s">
        <v>1097</v>
      </c>
    </row>
    <row r="71" customFormat="false" ht="15" hidden="false" customHeight="false" outlineLevel="0" collapsed="false">
      <c r="A71" s="43" t="s">
        <v>48</v>
      </c>
      <c r="B71" s="43" t="n">
        <v>2025</v>
      </c>
      <c r="C71" s="43" t="n">
        <v>8</v>
      </c>
      <c r="D71" s="43" t="s">
        <v>56</v>
      </c>
      <c r="E71" s="44" t="n">
        <v>147062</v>
      </c>
      <c r="F71" s="43" t="s">
        <v>635</v>
      </c>
      <c r="G71" s="43" t="s">
        <v>1097</v>
      </c>
    </row>
    <row r="72" customFormat="false" ht="15" hidden="false" customHeight="false" outlineLevel="0" collapsed="false">
      <c r="A72" s="43" t="s">
        <v>48</v>
      </c>
      <c r="B72" s="43" t="n">
        <v>2025</v>
      </c>
      <c r="C72" s="43" t="n">
        <v>9</v>
      </c>
      <c r="D72" s="43" t="s">
        <v>57</v>
      </c>
      <c r="E72" s="44" t="n">
        <v>288671.44</v>
      </c>
      <c r="F72" s="43" t="s">
        <v>635</v>
      </c>
      <c r="G72" s="43" t="s">
        <v>1097</v>
      </c>
    </row>
    <row r="73" customFormat="false" ht="15" hidden="false" customHeight="false" outlineLevel="0" collapsed="false">
      <c r="A73" s="43" t="s">
        <v>48</v>
      </c>
      <c r="B73" s="43" t="n">
        <v>2025</v>
      </c>
      <c r="C73" s="43" t="n">
        <v>10</v>
      </c>
      <c r="D73" s="43" t="s">
        <v>58</v>
      </c>
      <c r="E73" s="44" t="n">
        <v>154280.7</v>
      </c>
      <c r="F73" s="43" t="s">
        <v>635</v>
      </c>
      <c r="G73" s="43" t="s">
        <v>1097</v>
      </c>
    </row>
    <row r="74" customFormat="false" ht="15" hidden="false" customHeight="false" outlineLevel="0" collapsed="false">
      <c r="A74" s="43" t="s">
        <v>48</v>
      </c>
      <c r="B74" s="43" t="n">
        <v>2025</v>
      </c>
      <c r="C74" s="43" t="n">
        <v>11</v>
      </c>
      <c r="D74" s="43" t="s">
        <v>59</v>
      </c>
      <c r="E74" s="44" t="n">
        <v>249675.25</v>
      </c>
      <c r="F74" s="43" t="s">
        <v>635</v>
      </c>
      <c r="G74" s="43" t="s">
        <v>1097</v>
      </c>
    </row>
    <row r="75" customFormat="false" ht="15" hidden="false" customHeight="false" outlineLevel="0" collapsed="false">
      <c r="A75" s="43" t="s">
        <v>48</v>
      </c>
      <c r="B75" s="43" t="n">
        <v>2025</v>
      </c>
      <c r="C75" s="43" t="n">
        <v>12</v>
      </c>
      <c r="D75" s="43" t="s">
        <v>60</v>
      </c>
      <c r="E75" s="44" t="n">
        <v>151253</v>
      </c>
      <c r="F75" s="43" t="s">
        <v>635</v>
      </c>
      <c r="G75" s="43" t="s">
        <v>1097</v>
      </c>
    </row>
    <row r="76" customFormat="false" ht="15" hidden="false" customHeight="false" outlineLevel="0" collapsed="false">
      <c r="A76" s="43" t="s">
        <v>61</v>
      </c>
      <c r="B76" s="43" t="n">
        <v>2025</v>
      </c>
      <c r="C76" s="43" t="n">
        <v>1</v>
      </c>
      <c r="D76" s="43" t="s">
        <v>49</v>
      </c>
      <c r="E76" s="44" t="n">
        <v>128603</v>
      </c>
      <c r="F76" s="43" t="s">
        <v>635</v>
      </c>
      <c r="G76" s="43" t="s">
        <v>1097</v>
      </c>
    </row>
    <row r="77" customFormat="false" ht="15" hidden="false" customHeight="false" outlineLevel="0" collapsed="false">
      <c r="A77" s="43" t="s">
        <v>61</v>
      </c>
      <c r="B77" s="43" t="n">
        <v>2025</v>
      </c>
      <c r="C77" s="43" t="n">
        <v>2</v>
      </c>
      <c r="D77" s="43" t="s">
        <v>50</v>
      </c>
      <c r="E77" s="44" t="n">
        <v>64852</v>
      </c>
      <c r="F77" s="43" t="s">
        <v>635</v>
      </c>
      <c r="G77" s="43" t="s">
        <v>1097</v>
      </c>
    </row>
    <row r="78" customFormat="false" ht="15" hidden="false" customHeight="false" outlineLevel="0" collapsed="false">
      <c r="A78" s="43" t="s">
        <v>61</v>
      </c>
      <c r="B78" s="43" t="n">
        <v>2025</v>
      </c>
      <c r="C78" s="43" t="n">
        <v>3</v>
      </c>
      <c r="D78" s="43" t="s">
        <v>51</v>
      </c>
      <c r="E78" s="44" t="n">
        <v>109603</v>
      </c>
      <c r="F78" s="43" t="s">
        <v>635</v>
      </c>
      <c r="G78" s="43" t="s">
        <v>1097</v>
      </c>
    </row>
    <row r="79" customFormat="false" ht="15" hidden="false" customHeight="false" outlineLevel="0" collapsed="false">
      <c r="A79" s="43" t="s">
        <v>61</v>
      </c>
      <c r="B79" s="43" t="n">
        <v>2025</v>
      </c>
      <c r="C79" s="43" t="n">
        <v>4</v>
      </c>
      <c r="D79" s="43" t="s">
        <v>52</v>
      </c>
      <c r="E79" s="44" t="n">
        <v>110077</v>
      </c>
      <c r="F79" s="43" t="s">
        <v>635</v>
      </c>
      <c r="G79" s="43" t="s">
        <v>1097</v>
      </c>
    </row>
    <row r="80" customFormat="false" ht="15" hidden="false" customHeight="false" outlineLevel="0" collapsed="false">
      <c r="A80" s="43" t="s">
        <v>61</v>
      </c>
      <c r="B80" s="43" t="n">
        <v>2025</v>
      </c>
      <c r="C80" s="43" t="n">
        <v>5</v>
      </c>
      <c r="D80" s="43" t="s">
        <v>53</v>
      </c>
      <c r="E80" s="44" t="n">
        <v>131592</v>
      </c>
      <c r="F80" s="43" t="s">
        <v>635</v>
      </c>
      <c r="G80" s="43" t="s">
        <v>1097</v>
      </c>
    </row>
    <row r="81" customFormat="false" ht="15" hidden="false" customHeight="false" outlineLevel="0" collapsed="false">
      <c r="A81" s="43" t="s">
        <v>61</v>
      </c>
      <c r="B81" s="43" t="n">
        <v>2025</v>
      </c>
      <c r="C81" s="43" t="n">
        <v>6</v>
      </c>
      <c r="D81" s="43" t="s">
        <v>54</v>
      </c>
      <c r="E81" s="44" t="n">
        <v>229614</v>
      </c>
      <c r="F81" s="43" t="s">
        <v>635</v>
      </c>
      <c r="G81" s="43" t="s">
        <v>1097</v>
      </c>
    </row>
    <row r="82" customFormat="false" ht="15" hidden="false" customHeight="false" outlineLevel="0" collapsed="false">
      <c r="A82" s="43" t="s">
        <v>61</v>
      </c>
      <c r="B82" s="43" t="n">
        <v>2025</v>
      </c>
      <c r="C82" s="43" t="n">
        <v>7</v>
      </c>
      <c r="D82" s="43" t="s">
        <v>55</v>
      </c>
      <c r="E82" s="44" t="n">
        <v>250497.17</v>
      </c>
      <c r="F82" s="43" t="s">
        <v>635</v>
      </c>
      <c r="G82" s="43" t="s">
        <v>1097</v>
      </c>
    </row>
    <row r="83" customFormat="false" ht="15" hidden="false" customHeight="false" outlineLevel="0" collapsed="false">
      <c r="A83" s="43" t="s">
        <v>61</v>
      </c>
      <c r="B83" s="43" t="n">
        <v>2025</v>
      </c>
      <c r="C83" s="43" t="n">
        <v>8</v>
      </c>
      <c r="D83" s="43" t="s">
        <v>56</v>
      </c>
      <c r="E83" s="44" t="n">
        <v>611702.54</v>
      </c>
      <c r="F83" s="43" t="s">
        <v>635</v>
      </c>
      <c r="G83" s="43" t="s">
        <v>1097</v>
      </c>
    </row>
    <row r="84" customFormat="false" ht="15" hidden="false" customHeight="false" outlineLevel="0" collapsed="false">
      <c r="A84" s="43" t="s">
        <v>61</v>
      </c>
      <c r="B84" s="43" t="n">
        <v>2025</v>
      </c>
      <c r="C84" s="43" t="n">
        <v>9</v>
      </c>
      <c r="D84" s="43" t="s">
        <v>57</v>
      </c>
      <c r="E84" s="44" t="n">
        <v>126887</v>
      </c>
      <c r="F84" s="43" t="s">
        <v>635</v>
      </c>
      <c r="G84" s="43" t="s">
        <v>1097</v>
      </c>
    </row>
    <row r="85" customFormat="false" ht="15" hidden="false" customHeight="false" outlineLevel="0" collapsed="false">
      <c r="A85" s="43" t="s">
        <v>61</v>
      </c>
      <c r="B85" s="43" t="n">
        <v>2025</v>
      </c>
      <c r="C85" s="43" t="n">
        <v>10</v>
      </c>
      <c r="D85" s="43" t="s">
        <v>58</v>
      </c>
      <c r="E85" s="44" t="n">
        <v>260749.21</v>
      </c>
      <c r="F85" s="43" t="s">
        <v>635</v>
      </c>
      <c r="G85" s="43" t="s">
        <v>1097</v>
      </c>
    </row>
    <row r="86" customFormat="false" ht="15" hidden="false" customHeight="false" outlineLevel="0" collapsed="false">
      <c r="A86" s="43" t="s">
        <v>61</v>
      </c>
      <c r="B86" s="43" t="n">
        <v>2025</v>
      </c>
      <c r="C86" s="43" t="n">
        <v>11</v>
      </c>
      <c r="D86" s="43" t="s">
        <v>59</v>
      </c>
      <c r="E86" s="44" t="n">
        <v>84433</v>
      </c>
      <c r="F86" s="43" t="s">
        <v>635</v>
      </c>
      <c r="G86" s="43" t="s">
        <v>1097</v>
      </c>
    </row>
    <row r="87" customFormat="false" ht="15" hidden="false" customHeight="false" outlineLevel="0" collapsed="false">
      <c r="A87" s="43" t="s">
        <v>61</v>
      </c>
      <c r="B87" s="43" t="n">
        <v>2025</v>
      </c>
      <c r="C87" s="43" t="n">
        <v>12</v>
      </c>
      <c r="D87" s="43" t="s">
        <v>60</v>
      </c>
      <c r="E87" s="44" t="n">
        <v>267763.43</v>
      </c>
      <c r="F87" s="43" t="s">
        <v>635</v>
      </c>
      <c r="G87" s="43" t="s">
        <v>1097</v>
      </c>
    </row>
    <row r="88" customFormat="false" ht="15" hidden="false" customHeight="false" outlineLevel="0" collapsed="false">
      <c r="A88" s="43" t="s">
        <v>63</v>
      </c>
      <c r="B88" s="43" t="n">
        <v>2025</v>
      </c>
      <c r="C88" s="43" t="n">
        <v>1</v>
      </c>
      <c r="D88" s="43" t="s">
        <v>49</v>
      </c>
      <c r="E88" s="44" t="n">
        <v>150453</v>
      </c>
      <c r="F88" s="43" t="s">
        <v>635</v>
      </c>
      <c r="G88" s="43" t="s">
        <v>1097</v>
      </c>
    </row>
    <row r="89" customFormat="false" ht="15" hidden="false" customHeight="false" outlineLevel="0" collapsed="false">
      <c r="A89" s="43" t="s">
        <v>63</v>
      </c>
      <c r="B89" s="43" t="n">
        <v>2025</v>
      </c>
      <c r="C89" s="43" t="n">
        <v>2</v>
      </c>
      <c r="D89" s="43" t="s">
        <v>50</v>
      </c>
      <c r="E89" s="44" t="n">
        <v>243489</v>
      </c>
      <c r="F89" s="43" t="s">
        <v>635</v>
      </c>
      <c r="G89" s="43" t="s">
        <v>1097</v>
      </c>
    </row>
    <row r="90" customFormat="false" ht="15" hidden="false" customHeight="false" outlineLevel="0" collapsed="false">
      <c r="A90" s="43" t="s">
        <v>63</v>
      </c>
      <c r="B90" s="43" t="n">
        <v>2025</v>
      </c>
      <c r="C90" s="43" t="n">
        <v>3</v>
      </c>
      <c r="D90" s="43" t="s">
        <v>51</v>
      </c>
      <c r="E90" s="44" t="n">
        <v>141525</v>
      </c>
      <c r="F90" s="43" t="s">
        <v>635</v>
      </c>
      <c r="G90" s="43" t="s">
        <v>1097</v>
      </c>
    </row>
    <row r="91" customFormat="false" ht="15" hidden="false" customHeight="false" outlineLevel="0" collapsed="false">
      <c r="A91" s="43" t="s">
        <v>63</v>
      </c>
      <c r="B91" s="43" t="n">
        <v>2025</v>
      </c>
      <c r="C91" s="43" t="n">
        <v>4</v>
      </c>
      <c r="D91" s="43" t="s">
        <v>52</v>
      </c>
      <c r="E91" s="44" t="n">
        <v>169200</v>
      </c>
      <c r="F91" s="43" t="s">
        <v>635</v>
      </c>
      <c r="G91" s="43" t="s">
        <v>1097</v>
      </c>
    </row>
    <row r="92" customFormat="false" ht="15" hidden="false" customHeight="false" outlineLevel="0" collapsed="false">
      <c r="A92" s="43" t="s">
        <v>63</v>
      </c>
      <c r="B92" s="43" t="n">
        <v>2025</v>
      </c>
      <c r="C92" s="43" t="n">
        <v>5</v>
      </c>
      <c r="D92" s="43" t="s">
        <v>53</v>
      </c>
      <c r="E92" s="44" t="n">
        <v>195063</v>
      </c>
      <c r="F92" s="43" t="s">
        <v>635</v>
      </c>
      <c r="G92" s="43" t="s">
        <v>1097</v>
      </c>
    </row>
    <row r="93" customFormat="false" ht="15" hidden="false" customHeight="false" outlineLevel="0" collapsed="false">
      <c r="A93" s="43" t="s">
        <v>63</v>
      </c>
      <c r="B93" s="43" t="n">
        <v>2025</v>
      </c>
      <c r="C93" s="43" t="n">
        <v>6</v>
      </c>
      <c r="D93" s="43" t="s">
        <v>54</v>
      </c>
      <c r="E93" s="44" t="n">
        <v>61795</v>
      </c>
      <c r="F93" s="43" t="s">
        <v>635</v>
      </c>
      <c r="G93" s="43" t="s">
        <v>1097</v>
      </c>
    </row>
    <row r="94" customFormat="false" ht="15" hidden="false" customHeight="false" outlineLevel="0" collapsed="false">
      <c r="A94" s="43" t="s">
        <v>63</v>
      </c>
      <c r="B94" s="43" t="n">
        <v>2025</v>
      </c>
      <c r="C94" s="43" t="n">
        <v>8</v>
      </c>
      <c r="D94" s="43" t="s">
        <v>56</v>
      </c>
      <c r="E94" s="44" t="n">
        <v>20000</v>
      </c>
      <c r="F94" s="43" t="s">
        <v>635</v>
      </c>
      <c r="G94" s="43" t="s">
        <v>1097</v>
      </c>
    </row>
    <row r="95" customFormat="false" ht="15" hidden="false" customHeight="false" outlineLevel="0" collapsed="false">
      <c r="A95" s="43" t="s">
        <v>63</v>
      </c>
      <c r="B95" s="43" t="n">
        <v>2025</v>
      </c>
      <c r="C95" s="43" t="n">
        <v>10</v>
      </c>
      <c r="D95" s="43" t="s">
        <v>58</v>
      </c>
      <c r="E95" s="44" t="n">
        <v>44465</v>
      </c>
      <c r="F95" s="43" t="s">
        <v>635</v>
      </c>
      <c r="G95" s="43" t="s">
        <v>1097</v>
      </c>
    </row>
    <row r="96" customFormat="false" ht="15" hidden="false" customHeight="false" outlineLevel="0" collapsed="false">
      <c r="A96" s="43" t="s">
        <v>63</v>
      </c>
      <c r="B96" s="43" t="n">
        <v>2025</v>
      </c>
      <c r="C96" s="43" t="n">
        <v>12</v>
      </c>
      <c r="D96" s="43" t="s">
        <v>60</v>
      </c>
      <c r="E96" s="44" t="n">
        <v>178385</v>
      </c>
      <c r="F96" s="43" t="s">
        <v>635</v>
      </c>
      <c r="G96" s="43" t="s">
        <v>1097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3"/>
    <col collapsed="false" customWidth="true" hidden="false" outlineLevel="0" max="2" min="2" style="0" width="40"/>
    <col collapsed="false" customWidth="true" hidden="false" outlineLevel="0" max="3" min="3" style="0" width="12"/>
    <col collapsed="false" customWidth="true" hidden="false" outlineLevel="0" max="4" min="4" style="0" width="28"/>
    <col collapsed="false" customWidth="true" hidden="false" outlineLevel="0" max="5" min="5" style="0" width="40"/>
  </cols>
  <sheetData>
    <row r="1" customFormat="false" ht="15" hidden="false" customHeight="false" outlineLevel="0" collapsed="false">
      <c r="A1" s="41" t="s">
        <v>1098</v>
      </c>
    </row>
    <row r="2" customFormat="false" ht="15" hidden="false" customHeight="false" outlineLevel="0" collapsed="false">
      <c r="A2" s="42" t="s">
        <v>1099</v>
      </c>
      <c r="B2" s="42" t="s">
        <v>239</v>
      </c>
      <c r="C2" s="42" t="s">
        <v>1100</v>
      </c>
      <c r="D2" s="42" t="s">
        <v>512</v>
      </c>
      <c r="E2" s="42" t="s">
        <v>513</v>
      </c>
    </row>
    <row r="3" customFormat="false" ht="15" hidden="false" customHeight="false" outlineLevel="0" collapsed="false">
      <c r="A3" s="43" t="s">
        <v>245</v>
      </c>
      <c r="B3" s="43" t="s">
        <v>246</v>
      </c>
      <c r="C3" s="45" t="n">
        <v>195</v>
      </c>
      <c r="D3" s="43" t="s">
        <v>1101</v>
      </c>
      <c r="E3" s="43" t="s">
        <v>1102</v>
      </c>
    </row>
    <row r="4" customFormat="false" ht="15" hidden="false" customHeight="false" outlineLevel="0" collapsed="false">
      <c r="A4" s="43" t="s">
        <v>325</v>
      </c>
      <c r="B4" s="43" t="s">
        <v>250</v>
      </c>
      <c r="C4" s="45" t="n">
        <v>5</v>
      </c>
      <c r="D4" s="43" t="s">
        <v>1101</v>
      </c>
      <c r="E4" s="43" t="s">
        <v>1102</v>
      </c>
    </row>
    <row r="5" customFormat="false" ht="15" hidden="false" customHeight="false" outlineLevel="0" collapsed="false">
      <c r="A5" s="43" t="s">
        <v>325</v>
      </c>
      <c r="B5" s="43" t="s">
        <v>248</v>
      </c>
      <c r="C5" s="45" t="n">
        <v>80</v>
      </c>
      <c r="D5" s="43" t="s">
        <v>1101</v>
      </c>
      <c r="E5" s="43" t="s">
        <v>1102</v>
      </c>
    </row>
    <row r="6" customFormat="false" ht="15" hidden="false" customHeight="false" outlineLevel="0" collapsed="false">
      <c r="A6" s="43" t="s">
        <v>325</v>
      </c>
      <c r="B6" s="43" t="s">
        <v>251</v>
      </c>
      <c r="C6" s="45" t="n">
        <v>78</v>
      </c>
      <c r="D6" s="43" t="s">
        <v>1101</v>
      </c>
      <c r="E6" s="43" t="s">
        <v>1102</v>
      </c>
    </row>
    <row r="7" customFormat="false" ht="15" hidden="false" customHeight="false" outlineLevel="0" collapsed="false">
      <c r="A7" s="43" t="s">
        <v>247</v>
      </c>
      <c r="B7" s="43" t="s">
        <v>248</v>
      </c>
      <c r="C7" s="45" t="n">
        <v>159</v>
      </c>
      <c r="D7" s="43" t="s">
        <v>1101</v>
      </c>
      <c r="E7" s="43" t="s">
        <v>1102</v>
      </c>
    </row>
    <row r="8" customFormat="false" ht="15" hidden="false" customHeight="false" outlineLevel="0" collapsed="false">
      <c r="A8" s="43" t="s">
        <v>249</v>
      </c>
      <c r="B8" s="43" t="s">
        <v>250</v>
      </c>
      <c r="C8" s="45" t="n">
        <v>154</v>
      </c>
      <c r="D8" s="43" t="s">
        <v>1101</v>
      </c>
      <c r="E8" s="43" t="s">
        <v>1102</v>
      </c>
    </row>
    <row r="9" customFormat="false" ht="15" hidden="false" customHeight="false" outlineLevel="0" collapsed="false">
      <c r="A9" s="43" t="s">
        <v>249</v>
      </c>
      <c r="B9" s="43" t="s">
        <v>251</v>
      </c>
      <c r="C9" s="45" t="n">
        <v>23</v>
      </c>
      <c r="D9" s="43" t="s">
        <v>1101</v>
      </c>
      <c r="E9" s="43" t="s">
        <v>1102</v>
      </c>
    </row>
    <row r="10" customFormat="false" ht="15" hidden="false" customHeight="false" outlineLevel="0" collapsed="false">
      <c r="A10" s="43" t="s">
        <v>328</v>
      </c>
      <c r="B10" s="43" t="s">
        <v>266</v>
      </c>
      <c r="C10" s="45" t="n">
        <v>129</v>
      </c>
      <c r="D10" s="43" t="s">
        <v>1101</v>
      </c>
      <c r="E10" s="43" t="s">
        <v>1102</v>
      </c>
    </row>
    <row r="11" customFormat="false" ht="15" hidden="false" customHeight="false" outlineLevel="0" collapsed="false">
      <c r="A11" s="43" t="s">
        <v>252</v>
      </c>
      <c r="B11" s="43" t="s">
        <v>253</v>
      </c>
      <c r="C11" s="45" t="n">
        <v>156</v>
      </c>
      <c r="D11" s="43" t="s">
        <v>1101</v>
      </c>
      <c r="E11" s="43" t="s">
        <v>1102</v>
      </c>
    </row>
    <row r="12" customFormat="false" ht="15" hidden="false" customHeight="false" outlineLevel="0" collapsed="false">
      <c r="A12" s="43" t="s">
        <v>329</v>
      </c>
      <c r="B12" s="43" t="s">
        <v>258</v>
      </c>
      <c r="C12" s="45" t="n">
        <v>141</v>
      </c>
      <c r="D12" s="43" t="s">
        <v>1101</v>
      </c>
      <c r="E12" s="43" t="s">
        <v>1102</v>
      </c>
    </row>
    <row r="13" customFormat="false" ht="15" hidden="false" customHeight="false" outlineLevel="0" collapsed="false">
      <c r="A13" s="43" t="s">
        <v>329</v>
      </c>
      <c r="B13" s="43" t="s">
        <v>953</v>
      </c>
      <c r="C13" s="45" t="n">
        <v>7</v>
      </c>
      <c r="D13" s="43" t="s">
        <v>1101</v>
      </c>
      <c r="E13" s="43" t="s">
        <v>1102</v>
      </c>
    </row>
    <row r="14" customFormat="false" ht="15" hidden="false" customHeight="false" outlineLevel="0" collapsed="false">
      <c r="A14" s="43" t="s">
        <v>254</v>
      </c>
      <c r="B14" s="43" t="s">
        <v>251</v>
      </c>
      <c r="C14" s="45" t="n">
        <v>52</v>
      </c>
      <c r="D14" s="43" t="s">
        <v>1101</v>
      </c>
      <c r="E14" s="43" t="s">
        <v>1102</v>
      </c>
    </row>
    <row r="15" customFormat="false" ht="15" hidden="false" customHeight="false" outlineLevel="0" collapsed="false">
      <c r="A15" s="43" t="s">
        <v>254</v>
      </c>
      <c r="B15" s="43" t="s">
        <v>246</v>
      </c>
      <c r="C15" s="45" t="n">
        <v>127</v>
      </c>
      <c r="D15" s="43" t="s">
        <v>1101</v>
      </c>
      <c r="E15" s="43" t="s">
        <v>1102</v>
      </c>
    </row>
    <row r="16" customFormat="false" ht="15" hidden="false" customHeight="false" outlineLevel="0" collapsed="false">
      <c r="A16" s="43" t="s">
        <v>255</v>
      </c>
      <c r="B16" s="43" t="s">
        <v>256</v>
      </c>
      <c r="C16" s="45" t="n">
        <v>52</v>
      </c>
      <c r="D16" s="43" t="s">
        <v>1101</v>
      </c>
      <c r="E16" s="43" t="s">
        <v>1102</v>
      </c>
    </row>
    <row r="17" customFormat="false" ht="15" hidden="false" customHeight="false" outlineLevel="0" collapsed="false">
      <c r="A17" s="43" t="s">
        <v>255</v>
      </c>
      <c r="B17" s="43" t="s">
        <v>251</v>
      </c>
      <c r="C17" s="45" t="n">
        <v>145</v>
      </c>
      <c r="D17" s="43" t="s">
        <v>1101</v>
      </c>
      <c r="E17" s="43" t="s">
        <v>1102</v>
      </c>
    </row>
    <row r="18" customFormat="false" ht="15" hidden="false" customHeight="false" outlineLevel="0" collapsed="false">
      <c r="A18" s="43" t="s">
        <v>257</v>
      </c>
      <c r="B18" s="43" t="s">
        <v>258</v>
      </c>
      <c r="C18" s="45" t="n">
        <v>121</v>
      </c>
      <c r="D18" s="43" t="s">
        <v>1101</v>
      </c>
      <c r="E18" s="43" t="s">
        <v>1102</v>
      </c>
    </row>
    <row r="19" customFormat="false" ht="15" hidden="false" customHeight="false" outlineLevel="0" collapsed="false">
      <c r="A19" s="43" t="s">
        <v>257</v>
      </c>
      <c r="B19" s="43" t="s">
        <v>246</v>
      </c>
      <c r="C19" s="45" t="n">
        <v>29</v>
      </c>
      <c r="D19" s="43" t="s">
        <v>1101</v>
      </c>
      <c r="E19" s="43" t="s">
        <v>1102</v>
      </c>
    </row>
    <row r="20" customFormat="false" ht="15" hidden="false" customHeight="false" outlineLevel="0" collapsed="false">
      <c r="A20" s="43" t="s">
        <v>259</v>
      </c>
      <c r="B20" s="43" t="s">
        <v>250</v>
      </c>
      <c r="C20" s="45" t="n">
        <v>4</v>
      </c>
      <c r="D20" s="43" t="s">
        <v>1101</v>
      </c>
      <c r="E20" s="43" t="s">
        <v>1102</v>
      </c>
    </row>
    <row r="21" customFormat="false" ht="15" hidden="false" customHeight="false" outlineLevel="0" collapsed="false">
      <c r="A21" s="43" t="s">
        <v>259</v>
      </c>
      <c r="B21" s="43" t="s">
        <v>260</v>
      </c>
      <c r="C21" s="45" t="n">
        <v>146</v>
      </c>
      <c r="D21" s="43" t="s">
        <v>1101</v>
      </c>
      <c r="E21" s="43" t="s">
        <v>1102</v>
      </c>
    </row>
    <row r="22" customFormat="false" ht="15" hidden="false" customHeight="false" outlineLevel="0" collapsed="false">
      <c r="A22" s="43" t="s">
        <v>259</v>
      </c>
      <c r="B22" s="43" t="s">
        <v>246</v>
      </c>
      <c r="C22" s="45" t="n">
        <v>24</v>
      </c>
      <c r="D22" s="43" t="s">
        <v>1101</v>
      </c>
      <c r="E22" s="43" t="s">
        <v>1102</v>
      </c>
    </row>
    <row r="23" customFormat="false" ht="15" hidden="false" customHeight="false" outlineLevel="0" collapsed="false">
      <c r="A23" s="43" t="s">
        <v>261</v>
      </c>
      <c r="B23" s="43" t="s">
        <v>250</v>
      </c>
      <c r="C23" s="45" t="n">
        <v>78</v>
      </c>
      <c r="D23" s="43" t="s">
        <v>1101</v>
      </c>
      <c r="E23" s="43" t="s">
        <v>1102</v>
      </c>
    </row>
    <row r="24" customFormat="false" ht="15" hidden="false" customHeight="false" outlineLevel="0" collapsed="false">
      <c r="A24" s="43" t="s">
        <v>261</v>
      </c>
      <c r="B24" s="43" t="s">
        <v>262</v>
      </c>
      <c r="C24" s="45" t="n">
        <v>72</v>
      </c>
      <c r="D24" s="43" t="s">
        <v>1101</v>
      </c>
      <c r="E24" s="43" t="s">
        <v>1102</v>
      </c>
    </row>
    <row r="25" customFormat="false" ht="15" hidden="false" customHeight="false" outlineLevel="0" collapsed="false">
      <c r="A25" s="43" t="s">
        <v>261</v>
      </c>
      <c r="B25" s="43" t="s">
        <v>260</v>
      </c>
      <c r="C25" s="45" t="n">
        <v>36</v>
      </c>
      <c r="D25" s="43" t="s">
        <v>1101</v>
      </c>
      <c r="E25" s="43" t="s">
        <v>1102</v>
      </c>
    </row>
    <row r="26" customFormat="false" ht="15" hidden="false" customHeight="false" outlineLevel="0" collapsed="false">
      <c r="A26" s="43" t="s">
        <v>263</v>
      </c>
      <c r="B26" s="43" t="s">
        <v>264</v>
      </c>
      <c r="C26" s="45" t="n">
        <v>28</v>
      </c>
      <c r="D26" s="43" t="s">
        <v>1101</v>
      </c>
      <c r="E26" s="43" t="s">
        <v>1102</v>
      </c>
    </row>
    <row r="27" customFormat="false" ht="15" hidden="false" customHeight="false" outlineLevel="0" collapsed="false">
      <c r="A27" s="43" t="s">
        <v>330</v>
      </c>
      <c r="B27" s="43" t="s">
        <v>248</v>
      </c>
      <c r="C27" s="45" t="n">
        <v>40</v>
      </c>
      <c r="D27" s="43" t="s">
        <v>1101</v>
      </c>
      <c r="E27" s="43" t="s">
        <v>1102</v>
      </c>
    </row>
    <row r="28" customFormat="false" ht="15" hidden="false" customHeight="false" outlineLevel="0" collapsed="false">
      <c r="A28" s="43" t="s">
        <v>330</v>
      </c>
      <c r="B28" s="43" t="s">
        <v>251</v>
      </c>
      <c r="C28" s="45" t="n">
        <v>21</v>
      </c>
      <c r="D28" s="43" t="s">
        <v>1101</v>
      </c>
      <c r="E28" s="43" t="s">
        <v>1102</v>
      </c>
    </row>
    <row r="29" customFormat="false" ht="15" hidden="false" customHeight="false" outlineLevel="0" collapsed="false">
      <c r="A29" s="43" t="s">
        <v>330</v>
      </c>
      <c r="B29" s="43" t="s">
        <v>1103</v>
      </c>
      <c r="C29" s="45" t="n">
        <v>16</v>
      </c>
      <c r="D29" s="43" t="s">
        <v>1101</v>
      </c>
      <c r="E29" s="43" t="s">
        <v>1102</v>
      </c>
    </row>
    <row r="30" customFormat="false" ht="15" hidden="false" customHeight="false" outlineLevel="0" collapsed="false">
      <c r="A30" s="43" t="s">
        <v>330</v>
      </c>
      <c r="B30" s="43" t="s">
        <v>246</v>
      </c>
      <c r="C30" s="45" t="n">
        <v>116</v>
      </c>
      <c r="D30" s="43" t="s">
        <v>1101</v>
      </c>
      <c r="E30" s="43" t="s">
        <v>1102</v>
      </c>
    </row>
    <row r="31" customFormat="false" ht="15" hidden="false" customHeight="false" outlineLevel="0" collapsed="false">
      <c r="A31" s="43" t="s">
        <v>265</v>
      </c>
      <c r="B31" s="43" t="s">
        <v>266</v>
      </c>
      <c r="C31" s="45" t="n">
        <v>51</v>
      </c>
      <c r="D31" s="43" t="s">
        <v>1101</v>
      </c>
      <c r="E31" s="43" t="s">
        <v>1102</v>
      </c>
    </row>
    <row r="32" customFormat="false" ht="15" hidden="false" customHeight="false" outlineLevel="0" collapsed="false">
      <c r="A32" s="43" t="s">
        <v>265</v>
      </c>
      <c r="B32" s="43" t="s">
        <v>248</v>
      </c>
      <c r="C32" s="45" t="n">
        <v>33</v>
      </c>
      <c r="D32" s="43" t="s">
        <v>1101</v>
      </c>
      <c r="E32" s="43" t="s">
        <v>1102</v>
      </c>
    </row>
    <row r="33" customFormat="false" ht="15" hidden="false" customHeight="false" outlineLevel="0" collapsed="false">
      <c r="A33" s="43" t="s">
        <v>265</v>
      </c>
      <c r="B33" s="43" t="s">
        <v>251</v>
      </c>
      <c r="C33" s="45" t="n">
        <v>78</v>
      </c>
      <c r="D33" s="43" t="s">
        <v>1101</v>
      </c>
      <c r="E33" s="43" t="s">
        <v>1102</v>
      </c>
    </row>
    <row r="34" customFormat="false" ht="15" hidden="false" customHeight="false" outlineLevel="0" collapsed="false">
      <c r="A34" s="43" t="s">
        <v>267</v>
      </c>
      <c r="B34" s="43" t="s">
        <v>258</v>
      </c>
      <c r="C34" s="45" t="n">
        <v>172</v>
      </c>
      <c r="D34" s="43" t="s">
        <v>1101</v>
      </c>
      <c r="E34" s="43" t="s">
        <v>1102</v>
      </c>
    </row>
    <row r="35" customFormat="false" ht="15" hidden="false" customHeight="false" outlineLevel="0" collapsed="false">
      <c r="A35" s="43" t="s">
        <v>267</v>
      </c>
      <c r="B35" s="43" t="s">
        <v>246</v>
      </c>
      <c r="C35" s="45" t="n">
        <v>5</v>
      </c>
      <c r="D35" s="43" t="s">
        <v>1101</v>
      </c>
      <c r="E35" s="43" t="s">
        <v>1102</v>
      </c>
    </row>
    <row r="36" customFormat="false" ht="15" hidden="false" customHeight="false" outlineLevel="0" collapsed="false">
      <c r="A36" s="43" t="s">
        <v>331</v>
      </c>
      <c r="B36" s="43" t="s">
        <v>258</v>
      </c>
      <c r="C36" s="45" t="n">
        <v>10</v>
      </c>
      <c r="D36" s="43" t="s">
        <v>1101</v>
      </c>
      <c r="E36" s="43" t="s">
        <v>1102</v>
      </c>
    </row>
    <row r="37" customFormat="false" ht="15" hidden="false" customHeight="false" outlineLevel="0" collapsed="false">
      <c r="A37" s="43" t="s">
        <v>331</v>
      </c>
      <c r="B37" s="43" t="s">
        <v>296</v>
      </c>
      <c r="C37" s="45" t="n">
        <v>88</v>
      </c>
      <c r="D37" s="43" t="s">
        <v>1101</v>
      </c>
      <c r="E37" s="43" t="s">
        <v>1102</v>
      </c>
    </row>
    <row r="38" customFormat="false" ht="15" hidden="false" customHeight="false" outlineLevel="0" collapsed="false">
      <c r="A38" s="43" t="s">
        <v>331</v>
      </c>
      <c r="B38" s="43" t="s">
        <v>246</v>
      </c>
      <c r="C38" s="45" t="n">
        <v>88</v>
      </c>
      <c r="D38" s="43" t="s">
        <v>1101</v>
      </c>
      <c r="E38" s="43" t="s">
        <v>1102</v>
      </c>
    </row>
    <row r="39" customFormat="false" ht="15" hidden="false" customHeight="false" outlineLevel="0" collapsed="false">
      <c r="A39" s="43" t="s">
        <v>332</v>
      </c>
      <c r="B39" s="43" t="s">
        <v>251</v>
      </c>
      <c r="C39" s="45" t="n">
        <v>141</v>
      </c>
      <c r="D39" s="43" t="s">
        <v>1101</v>
      </c>
      <c r="E39" s="43" t="s">
        <v>1102</v>
      </c>
    </row>
    <row r="40" customFormat="false" ht="15" hidden="false" customHeight="false" outlineLevel="0" collapsed="false">
      <c r="A40" s="43" t="s">
        <v>332</v>
      </c>
      <c r="B40" s="43" t="s">
        <v>246</v>
      </c>
      <c r="C40" s="45" t="n">
        <v>33</v>
      </c>
      <c r="D40" s="43" t="s">
        <v>1101</v>
      </c>
      <c r="E40" s="43" t="s">
        <v>1102</v>
      </c>
    </row>
    <row r="41" customFormat="false" ht="15" hidden="false" customHeight="false" outlineLevel="0" collapsed="false">
      <c r="A41" s="43" t="s">
        <v>333</v>
      </c>
      <c r="B41" s="43" t="s">
        <v>953</v>
      </c>
      <c r="C41" s="45" t="n">
        <v>18</v>
      </c>
      <c r="D41" s="43" t="s">
        <v>1101</v>
      </c>
      <c r="E41" s="43" t="s">
        <v>1102</v>
      </c>
    </row>
    <row r="42" customFormat="false" ht="15" hidden="false" customHeight="false" outlineLevel="0" collapsed="false">
      <c r="A42" s="43" t="s">
        <v>333</v>
      </c>
      <c r="B42" s="43" t="s">
        <v>246</v>
      </c>
      <c r="C42" s="45" t="n">
        <v>156</v>
      </c>
      <c r="D42" s="43" t="s">
        <v>1101</v>
      </c>
      <c r="E42" s="43" t="s">
        <v>1102</v>
      </c>
    </row>
    <row r="43" customFormat="false" ht="15" hidden="false" customHeight="false" outlineLevel="0" collapsed="false">
      <c r="A43" s="43" t="s">
        <v>334</v>
      </c>
      <c r="B43" s="43" t="s">
        <v>818</v>
      </c>
      <c r="C43" s="45" t="n">
        <v>36</v>
      </c>
      <c r="D43" s="43" t="s">
        <v>1101</v>
      </c>
      <c r="E43" s="43" t="s">
        <v>1102</v>
      </c>
    </row>
    <row r="44" customFormat="false" ht="15" hidden="false" customHeight="false" outlineLevel="0" collapsed="false">
      <c r="A44" s="43" t="s">
        <v>334</v>
      </c>
      <c r="B44" s="43" t="s">
        <v>251</v>
      </c>
      <c r="C44" s="45" t="n">
        <v>100</v>
      </c>
      <c r="D44" s="43" t="s">
        <v>1101</v>
      </c>
      <c r="E44" s="43" t="s">
        <v>1102</v>
      </c>
    </row>
    <row r="45" customFormat="false" ht="15" hidden="false" customHeight="false" outlineLevel="0" collapsed="false">
      <c r="A45" s="43" t="s">
        <v>334</v>
      </c>
      <c r="B45" s="43" t="s">
        <v>246</v>
      </c>
      <c r="C45" s="45" t="n">
        <v>36</v>
      </c>
      <c r="D45" s="43" t="s">
        <v>1101</v>
      </c>
      <c r="E45" s="43" t="s">
        <v>1102</v>
      </c>
    </row>
    <row r="46" customFormat="false" ht="15" hidden="false" customHeight="false" outlineLevel="0" collapsed="false">
      <c r="A46" s="43" t="s">
        <v>335</v>
      </c>
      <c r="B46" s="43" t="s">
        <v>877</v>
      </c>
      <c r="C46" s="45" t="n">
        <v>24</v>
      </c>
      <c r="D46" s="43" t="s">
        <v>1101</v>
      </c>
      <c r="E46" s="43" t="s">
        <v>1102</v>
      </c>
    </row>
    <row r="47" customFormat="false" ht="15" hidden="false" customHeight="false" outlineLevel="0" collapsed="false">
      <c r="A47" s="43" t="s">
        <v>335</v>
      </c>
      <c r="B47" s="43" t="s">
        <v>953</v>
      </c>
      <c r="C47" s="45" t="n">
        <v>9</v>
      </c>
      <c r="D47" s="43" t="s">
        <v>1101</v>
      </c>
      <c r="E47" s="43" t="s">
        <v>1102</v>
      </c>
    </row>
    <row r="48" customFormat="false" ht="15" hidden="false" customHeight="false" outlineLevel="0" collapsed="false">
      <c r="A48" s="43" t="s">
        <v>335</v>
      </c>
      <c r="B48" s="43" t="s">
        <v>246</v>
      </c>
      <c r="C48" s="45" t="n">
        <v>153</v>
      </c>
      <c r="D48" s="43" t="s">
        <v>1101</v>
      </c>
      <c r="E48" s="43" t="s">
        <v>1102</v>
      </c>
    </row>
    <row r="49" customFormat="false" ht="15" hidden="false" customHeight="false" outlineLevel="0" collapsed="false">
      <c r="A49" s="43" t="s">
        <v>268</v>
      </c>
      <c r="B49" s="43" t="s">
        <v>260</v>
      </c>
      <c r="C49" s="45" t="n">
        <v>140</v>
      </c>
      <c r="D49" s="43" t="s">
        <v>1101</v>
      </c>
      <c r="E49" s="43" t="s">
        <v>1102</v>
      </c>
    </row>
    <row r="50" customFormat="false" ht="15" hidden="false" customHeight="false" outlineLevel="0" collapsed="false">
      <c r="A50" s="43" t="s">
        <v>269</v>
      </c>
      <c r="B50" s="43" t="s">
        <v>248</v>
      </c>
      <c r="C50" s="45" t="n">
        <v>177</v>
      </c>
      <c r="D50" s="43" t="s">
        <v>1101</v>
      </c>
      <c r="E50" s="43" t="s">
        <v>1102</v>
      </c>
    </row>
    <row r="51" customFormat="false" ht="15" hidden="false" customHeight="false" outlineLevel="0" collapsed="false">
      <c r="A51" s="43" t="s">
        <v>270</v>
      </c>
      <c r="B51" s="43" t="s">
        <v>246</v>
      </c>
      <c r="C51" s="45" t="n">
        <v>195</v>
      </c>
      <c r="D51" s="43" t="s">
        <v>1101</v>
      </c>
      <c r="E51" s="43" t="s">
        <v>1102</v>
      </c>
    </row>
    <row r="52" customFormat="false" ht="15" hidden="false" customHeight="false" outlineLevel="0" collapsed="false">
      <c r="A52" s="43" t="s">
        <v>271</v>
      </c>
      <c r="B52" s="43" t="s">
        <v>272</v>
      </c>
      <c r="C52" s="45" t="n">
        <v>66</v>
      </c>
      <c r="D52" s="43" t="s">
        <v>1101</v>
      </c>
      <c r="E52" s="43" t="s">
        <v>1102</v>
      </c>
    </row>
    <row r="53" customFormat="false" ht="15" hidden="false" customHeight="false" outlineLevel="0" collapsed="false">
      <c r="A53" s="43" t="s">
        <v>271</v>
      </c>
      <c r="B53" s="43" t="s">
        <v>273</v>
      </c>
      <c r="C53" s="45" t="n">
        <v>85</v>
      </c>
      <c r="D53" s="43" t="s">
        <v>1101</v>
      </c>
      <c r="E53" s="43" t="s">
        <v>1102</v>
      </c>
    </row>
    <row r="54" customFormat="false" ht="15" hidden="false" customHeight="false" outlineLevel="0" collapsed="false">
      <c r="A54" s="43" t="s">
        <v>274</v>
      </c>
      <c r="B54" s="43" t="s">
        <v>275</v>
      </c>
      <c r="C54" s="45" t="n">
        <v>146</v>
      </c>
      <c r="D54" s="43" t="s">
        <v>1101</v>
      </c>
      <c r="E54" s="43" t="s">
        <v>1102</v>
      </c>
    </row>
    <row r="55" customFormat="false" ht="15" hidden="false" customHeight="false" outlineLevel="0" collapsed="false">
      <c r="A55" s="43" t="s">
        <v>274</v>
      </c>
      <c r="B55" s="43" t="s">
        <v>276</v>
      </c>
      <c r="C55" s="45" t="n">
        <v>41</v>
      </c>
      <c r="D55" s="43" t="s">
        <v>1101</v>
      </c>
      <c r="E55" s="43" t="s">
        <v>1102</v>
      </c>
    </row>
    <row r="56" customFormat="false" ht="15" hidden="false" customHeight="false" outlineLevel="0" collapsed="false">
      <c r="A56" s="43" t="s">
        <v>277</v>
      </c>
      <c r="B56" s="43" t="s">
        <v>264</v>
      </c>
      <c r="C56" s="45" t="n">
        <v>186</v>
      </c>
      <c r="D56" s="43" t="s">
        <v>1101</v>
      </c>
      <c r="E56" s="43" t="s">
        <v>1102</v>
      </c>
    </row>
    <row r="57" customFormat="false" ht="15" hidden="false" customHeight="false" outlineLevel="0" collapsed="false">
      <c r="A57" s="43" t="s">
        <v>278</v>
      </c>
      <c r="B57" s="43" t="s">
        <v>279</v>
      </c>
      <c r="C57" s="45" t="n">
        <v>90</v>
      </c>
      <c r="D57" s="43" t="s">
        <v>1101</v>
      </c>
      <c r="E57" s="43" t="s">
        <v>1102</v>
      </c>
    </row>
    <row r="58" customFormat="false" ht="15" hidden="false" customHeight="false" outlineLevel="0" collapsed="false">
      <c r="A58" s="43" t="s">
        <v>278</v>
      </c>
      <c r="B58" s="43" t="s">
        <v>273</v>
      </c>
      <c r="C58" s="45" t="n">
        <v>66</v>
      </c>
      <c r="D58" s="43" t="s">
        <v>1101</v>
      </c>
      <c r="E58" s="43" t="s">
        <v>1102</v>
      </c>
    </row>
    <row r="59" customFormat="false" ht="15" hidden="false" customHeight="false" outlineLevel="0" collapsed="false">
      <c r="A59" s="43" t="s">
        <v>280</v>
      </c>
      <c r="B59" s="43" t="s">
        <v>281</v>
      </c>
      <c r="C59" s="45" t="n">
        <v>27</v>
      </c>
      <c r="D59" s="43" t="s">
        <v>1101</v>
      </c>
      <c r="E59" s="43" t="s">
        <v>1102</v>
      </c>
    </row>
    <row r="60" customFormat="false" ht="15" hidden="false" customHeight="false" outlineLevel="0" collapsed="false">
      <c r="A60" s="43" t="s">
        <v>280</v>
      </c>
      <c r="B60" s="43" t="s">
        <v>248</v>
      </c>
      <c r="C60" s="45" t="n">
        <v>9</v>
      </c>
      <c r="D60" s="43" t="s">
        <v>1101</v>
      </c>
      <c r="E60" s="43" t="s">
        <v>1102</v>
      </c>
    </row>
    <row r="61" customFormat="false" ht="15" hidden="false" customHeight="false" outlineLevel="0" collapsed="false">
      <c r="A61" s="43" t="s">
        <v>336</v>
      </c>
      <c r="B61" s="43" t="s">
        <v>292</v>
      </c>
      <c r="C61" s="45" t="n">
        <v>10</v>
      </c>
      <c r="D61" s="43" t="s">
        <v>1101</v>
      </c>
      <c r="E61" s="43" t="s">
        <v>1102</v>
      </c>
    </row>
    <row r="62" customFormat="false" ht="15" hidden="false" customHeight="false" outlineLevel="0" collapsed="false">
      <c r="A62" s="43" t="s">
        <v>336</v>
      </c>
      <c r="B62" s="43" t="s">
        <v>251</v>
      </c>
      <c r="C62" s="45" t="n">
        <v>165</v>
      </c>
      <c r="D62" s="43" t="s">
        <v>1101</v>
      </c>
      <c r="E62" s="43" t="s">
        <v>1102</v>
      </c>
    </row>
    <row r="63" customFormat="false" ht="15" hidden="false" customHeight="false" outlineLevel="0" collapsed="false">
      <c r="A63" s="43" t="s">
        <v>282</v>
      </c>
      <c r="B63" s="43" t="s">
        <v>246</v>
      </c>
      <c r="C63" s="45" t="n">
        <v>176</v>
      </c>
      <c r="D63" s="43" t="s">
        <v>1101</v>
      </c>
      <c r="E63" s="43" t="s">
        <v>1102</v>
      </c>
    </row>
    <row r="64" customFormat="false" ht="15" hidden="false" customHeight="false" outlineLevel="0" collapsed="false">
      <c r="A64" s="43" t="s">
        <v>283</v>
      </c>
      <c r="B64" s="43" t="s">
        <v>275</v>
      </c>
      <c r="C64" s="45" t="n">
        <v>176</v>
      </c>
      <c r="D64" s="43" t="s">
        <v>1101</v>
      </c>
      <c r="E64" s="43" t="s">
        <v>1102</v>
      </c>
    </row>
    <row r="65" customFormat="false" ht="15" hidden="false" customHeight="false" outlineLevel="0" collapsed="false">
      <c r="A65" s="43" t="s">
        <v>337</v>
      </c>
      <c r="B65" s="43" t="s">
        <v>281</v>
      </c>
      <c r="C65" s="45" t="n">
        <v>197</v>
      </c>
      <c r="D65" s="43" t="s">
        <v>1101</v>
      </c>
      <c r="E65" s="43" t="s">
        <v>1102</v>
      </c>
    </row>
    <row r="66" customFormat="false" ht="15" hidden="false" customHeight="false" outlineLevel="0" collapsed="false">
      <c r="A66" s="43" t="s">
        <v>338</v>
      </c>
      <c r="B66" s="43" t="s">
        <v>253</v>
      </c>
      <c r="C66" s="45" t="n">
        <v>115</v>
      </c>
      <c r="D66" s="43" t="s">
        <v>1101</v>
      </c>
      <c r="E66" s="43" t="s">
        <v>1102</v>
      </c>
    </row>
    <row r="67" customFormat="false" ht="15" hidden="false" customHeight="false" outlineLevel="0" collapsed="false">
      <c r="A67" s="43" t="s">
        <v>339</v>
      </c>
      <c r="B67" s="43" t="s">
        <v>246</v>
      </c>
      <c r="C67" s="45" t="n">
        <v>63</v>
      </c>
      <c r="D67" s="43" t="s">
        <v>1101</v>
      </c>
      <c r="E67" s="43" t="s">
        <v>1102</v>
      </c>
    </row>
    <row r="68" customFormat="false" ht="15" hidden="false" customHeight="false" outlineLevel="0" collapsed="false">
      <c r="A68" s="43" t="s">
        <v>340</v>
      </c>
      <c r="B68" s="43" t="s">
        <v>281</v>
      </c>
      <c r="C68" s="45" t="n">
        <v>15</v>
      </c>
      <c r="D68" s="43" t="s">
        <v>1101</v>
      </c>
      <c r="E68" s="43" t="s">
        <v>1102</v>
      </c>
    </row>
    <row r="69" customFormat="false" ht="15" hidden="false" customHeight="false" outlineLevel="0" collapsed="false">
      <c r="A69" s="43" t="s">
        <v>340</v>
      </c>
      <c r="B69" s="43" t="s">
        <v>248</v>
      </c>
      <c r="C69" s="45" t="n">
        <v>1</v>
      </c>
      <c r="D69" s="43" t="s">
        <v>1101</v>
      </c>
      <c r="E69" s="43" t="s">
        <v>1102</v>
      </c>
    </row>
    <row r="70" customFormat="false" ht="15" hidden="false" customHeight="false" outlineLevel="0" collapsed="false">
      <c r="A70" s="43" t="s">
        <v>340</v>
      </c>
      <c r="B70" s="43" t="s">
        <v>251</v>
      </c>
      <c r="C70" s="45" t="n">
        <v>8</v>
      </c>
      <c r="D70" s="43" t="s">
        <v>1101</v>
      </c>
      <c r="E70" s="43" t="s">
        <v>1102</v>
      </c>
    </row>
    <row r="71" customFormat="false" ht="15" hidden="false" customHeight="false" outlineLevel="0" collapsed="false">
      <c r="A71" s="43" t="s">
        <v>340</v>
      </c>
      <c r="B71" s="43" t="s">
        <v>264</v>
      </c>
      <c r="C71" s="45" t="n">
        <v>12</v>
      </c>
      <c r="D71" s="43" t="s">
        <v>1101</v>
      </c>
      <c r="E71" s="43" t="s">
        <v>1102</v>
      </c>
    </row>
    <row r="72" customFormat="false" ht="15" hidden="false" customHeight="false" outlineLevel="0" collapsed="false">
      <c r="A72" s="43" t="s">
        <v>284</v>
      </c>
      <c r="B72" s="43" t="s">
        <v>285</v>
      </c>
      <c r="C72" s="45" t="n">
        <v>24</v>
      </c>
      <c r="D72" s="43" t="s">
        <v>1101</v>
      </c>
      <c r="E72" s="43" t="s">
        <v>1102</v>
      </c>
    </row>
    <row r="73" customFormat="false" ht="15" hidden="false" customHeight="false" outlineLevel="0" collapsed="false">
      <c r="A73" s="43" t="s">
        <v>284</v>
      </c>
      <c r="B73" s="43" t="s">
        <v>253</v>
      </c>
      <c r="C73" s="45" t="n">
        <v>137</v>
      </c>
      <c r="D73" s="43" t="s">
        <v>1101</v>
      </c>
      <c r="E73" s="43" t="s">
        <v>1102</v>
      </c>
    </row>
    <row r="74" customFormat="false" ht="15" hidden="false" customHeight="false" outlineLevel="0" collapsed="false">
      <c r="A74" s="43" t="s">
        <v>286</v>
      </c>
      <c r="B74" s="43" t="s">
        <v>262</v>
      </c>
      <c r="C74" s="45" t="n">
        <v>42</v>
      </c>
      <c r="D74" s="43" t="s">
        <v>1101</v>
      </c>
      <c r="E74" s="43" t="s">
        <v>1102</v>
      </c>
    </row>
    <row r="75" customFormat="false" ht="15" hidden="false" customHeight="false" outlineLevel="0" collapsed="false">
      <c r="A75" s="43" t="s">
        <v>287</v>
      </c>
      <c r="B75" s="43" t="s">
        <v>248</v>
      </c>
      <c r="C75" s="45" t="n">
        <v>16</v>
      </c>
      <c r="D75" s="43" t="s">
        <v>1101</v>
      </c>
      <c r="E75" s="43" t="s">
        <v>1102</v>
      </c>
    </row>
    <row r="76" customFormat="false" ht="15" hidden="false" customHeight="false" outlineLevel="0" collapsed="false">
      <c r="A76" s="43" t="s">
        <v>287</v>
      </c>
      <c r="B76" s="43" t="s">
        <v>273</v>
      </c>
      <c r="C76" s="45" t="n">
        <v>143</v>
      </c>
      <c r="D76" s="43" t="s">
        <v>1101</v>
      </c>
      <c r="E76" s="43" t="s">
        <v>1102</v>
      </c>
    </row>
    <row r="77" customFormat="false" ht="15" hidden="false" customHeight="false" outlineLevel="0" collapsed="false">
      <c r="A77" s="43" t="s">
        <v>288</v>
      </c>
      <c r="B77" s="43" t="s">
        <v>251</v>
      </c>
      <c r="C77" s="45" t="n">
        <v>17</v>
      </c>
      <c r="D77" s="43" t="s">
        <v>1101</v>
      </c>
      <c r="E77" s="43" t="s">
        <v>1102</v>
      </c>
    </row>
    <row r="78" customFormat="false" ht="15" hidden="false" customHeight="false" outlineLevel="0" collapsed="false">
      <c r="A78" s="43" t="s">
        <v>288</v>
      </c>
      <c r="B78" s="43" t="s">
        <v>246</v>
      </c>
      <c r="C78" s="45" t="n">
        <v>134</v>
      </c>
      <c r="D78" s="43" t="s">
        <v>1101</v>
      </c>
      <c r="E78" s="43" t="s">
        <v>1102</v>
      </c>
    </row>
    <row r="79" customFormat="false" ht="15" hidden="false" customHeight="false" outlineLevel="0" collapsed="false">
      <c r="A79" s="43" t="s">
        <v>341</v>
      </c>
      <c r="B79" s="43" t="s">
        <v>264</v>
      </c>
      <c r="C79" s="45" t="n">
        <v>158</v>
      </c>
      <c r="D79" s="43" t="s">
        <v>1101</v>
      </c>
      <c r="E79" s="43" t="s">
        <v>1102</v>
      </c>
    </row>
    <row r="80" customFormat="false" ht="15" hidden="false" customHeight="false" outlineLevel="0" collapsed="false">
      <c r="A80" s="43" t="s">
        <v>289</v>
      </c>
      <c r="B80" s="43" t="s">
        <v>250</v>
      </c>
      <c r="C80" s="45" t="n">
        <v>42</v>
      </c>
      <c r="D80" s="43" t="s">
        <v>1101</v>
      </c>
      <c r="E80" s="43" t="s">
        <v>1102</v>
      </c>
    </row>
    <row r="81" customFormat="false" ht="15" hidden="false" customHeight="false" outlineLevel="0" collapsed="false">
      <c r="A81" s="43" t="s">
        <v>289</v>
      </c>
      <c r="B81" s="43" t="s">
        <v>251</v>
      </c>
      <c r="C81" s="45" t="n">
        <v>30</v>
      </c>
      <c r="D81" s="43" t="s">
        <v>1101</v>
      </c>
      <c r="E81" s="43" t="s">
        <v>1102</v>
      </c>
    </row>
    <row r="82" customFormat="false" ht="15" hidden="false" customHeight="false" outlineLevel="0" collapsed="false">
      <c r="A82" s="43" t="s">
        <v>290</v>
      </c>
      <c r="B82" s="43" t="s">
        <v>256</v>
      </c>
      <c r="C82" s="45" t="n">
        <v>32</v>
      </c>
      <c r="D82" s="43" t="s">
        <v>1101</v>
      </c>
      <c r="E82" s="43" t="s">
        <v>1102</v>
      </c>
    </row>
    <row r="83" customFormat="false" ht="15" hidden="false" customHeight="false" outlineLevel="0" collapsed="false">
      <c r="A83" s="43" t="s">
        <v>290</v>
      </c>
      <c r="B83" s="43" t="s">
        <v>276</v>
      </c>
      <c r="C83" s="45" t="n">
        <v>20</v>
      </c>
      <c r="D83" s="43" t="s">
        <v>1101</v>
      </c>
      <c r="E83" s="43" t="s">
        <v>1102</v>
      </c>
    </row>
    <row r="84" customFormat="false" ht="15" hidden="false" customHeight="false" outlineLevel="0" collapsed="false">
      <c r="A84" s="43" t="s">
        <v>290</v>
      </c>
      <c r="B84" s="43" t="s">
        <v>253</v>
      </c>
      <c r="C84" s="45" t="n">
        <v>102</v>
      </c>
      <c r="D84" s="43" t="s">
        <v>1101</v>
      </c>
      <c r="E84" s="43" t="s">
        <v>1102</v>
      </c>
    </row>
    <row r="85" customFormat="false" ht="15" hidden="false" customHeight="false" outlineLevel="0" collapsed="false">
      <c r="A85" s="43" t="s">
        <v>291</v>
      </c>
      <c r="B85" s="43" t="s">
        <v>292</v>
      </c>
      <c r="C85" s="45" t="n">
        <v>15</v>
      </c>
      <c r="D85" s="43" t="s">
        <v>1101</v>
      </c>
      <c r="E85" s="43" t="s">
        <v>1102</v>
      </c>
    </row>
    <row r="86" customFormat="false" ht="15" hidden="false" customHeight="false" outlineLevel="0" collapsed="false">
      <c r="A86" s="43" t="s">
        <v>291</v>
      </c>
      <c r="B86" s="43" t="s">
        <v>272</v>
      </c>
      <c r="C86" s="45" t="n">
        <v>15</v>
      </c>
      <c r="D86" s="43" t="s">
        <v>1101</v>
      </c>
      <c r="E86" s="43" t="s">
        <v>1102</v>
      </c>
    </row>
    <row r="87" customFormat="false" ht="15" hidden="false" customHeight="false" outlineLevel="0" collapsed="false">
      <c r="A87" s="43" t="s">
        <v>291</v>
      </c>
      <c r="B87" s="43" t="s">
        <v>266</v>
      </c>
      <c r="C87" s="45" t="n">
        <v>115</v>
      </c>
      <c r="D87" s="43" t="s">
        <v>1101</v>
      </c>
      <c r="E87" s="43" t="s">
        <v>1102</v>
      </c>
    </row>
    <row r="88" customFormat="false" ht="15" hidden="false" customHeight="false" outlineLevel="0" collapsed="false">
      <c r="A88" s="43" t="s">
        <v>291</v>
      </c>
      <c r="B88" s="43" t="s">
        <v>273</v>
      </c>
      <c r="C88" s="45" t="n">
        <v>15</v>
      </c>
      <c r="D88" s="43" t="s">
        <v>1101</v>
      </c>
      <c r="E88" s="43" t="s">
        <v>1102</v>
      </c>
    </row>
    <row r="89" customFormat="false" ht="15" hidden="false" customHeight="false" outlineLevel="0" collapsed="false">
      <c r="A89" s="43" t="s">
        <v>293</v>
      </c>
      <c r="B89" s="43" t="s">
        <v>250</v>
      </c>
      <c r="C89" s="45" t="n">
        <v>101</v>
      </c>
      <c r="D89" s="43" t="s">
        <v>1101</v>
      </c>
      <c r="E89" s="43" t="s">
        <v>1102</v>
      </c>
    </row>
    <row r="90" customFormat="false" ht="15" hidden="false" customHeight="false" outlineLevel="0" collapsed="false">
      <c r="A90" s="43" t="s">
        <v>293</v>
      </c>
      <c r="B90" s="43" t="s">
        <v>251</v>
      </c>
      <c r="C90" s="45" t="n">
        <v>64</v>
      </c>
      <c r="D90" s="43" t="s">
        <v>1101</v>
      </c>
      <c r="E90" s="43" t="s">
        <v>1102</v>
      </c>
    </row>
    <row r="91" customFormat="false" ht="15" hidden="false" customHeight="false" outlineLevel="0" collapsed="false">
      <c r="A91" s="43" t="s">
        <v>294</v>
      </c>
      <c r="B91" s="43" t="s">
        <v>246</v>
      </c>
      <c r="C91" s="45" t="n">
        <v>177</v>
      </c>
      <c r="D91" s="43" t="s">
        <v>1101</v>
      </c>
      <c r="E91" s="43" t="s">
        <v>1102</v>
      </c>
    </row>
    <row r="92" customFormat="false" ht="15" hidden="false" customHeight="false" outlineLevel="0" collapsed="false">
      <c r="A92" s="43" t="s">
        <v>342</v>
      </c>
      <c r="B92" s="43" t="s">
        <v>258</v>
      </c>
      <c r="C92" s="45" t="n">
        <v>42</v>
      </c>
      <c r="D92" s="43" t="s">
        <v>1101</v>
      </c>
      <c r="E92" s="43" t="s">
        <v>1102</v>
      </c>
    </row>
    <row r="93" customFormat="false" ht="15" hidden="false" customHeight="false" outlineLevel="0" collapsed="false">
      <c r="A93" s="43" t="s">
        <v>295</v>
      </c>
      <c r="B93" s="43" t="s">
        <v>272</v>
      </c>
      <c r="C93" s="45" t="n">
        <v>59</v>
      </c>
      <c r="D93" s="43" t="s">
        <v>1101</v>
      </c>
      <c r="E93" s="43" t="s">
        <v>1102</v>
      </c>
    </row>
    <row r="94" customFormat="false" ht="15" hidden="false" customHeight="false" outlineLevel="0" collapsed="false">
      <c r="A94" s="43" t="s">
        <v>295</v>
      </c>
      <c r="B94" s="43" t="s">
        <v>296</v>
      </c>
      <c r="C94" s="45" t="n">
        <v>108</v>
      </c>
      <c r="D94" s="43" t="s">
        <v>1101</v>
      </c>
      <c r="E94" s="43" t="s">
        <v>1102</v>
      </c>
    </row>
    <row r="95" customFormat="false" ht="15" hidden="false" customHeight="false" outlineLevel="0" collapsed="false">
      <c r="A95" s="43" t="s">
        <v>297</v>
      </c>
      <c r="B95" s="43" t="s">
        <v>251</v>
      </c>
      <c r="C95" s="45" t="n">
        <v>3</v>
      </c>
      <c r="D95" s="43" t="s">
        <v>1101</v>
      </c>
      <c r="E95" s="43" t="s">
        <v>1102</v>
      </c>
    </row>
    <row r="96" customFormat="false" ht="15" hidden="false" customHeight="false" outlineLevel="0" collapsed="false">
      <c r="A96" s="43" t="s">
        <v>297</v>
      </c>
      <c r="B96" s="43" t="s">
        <v>273</v>
      </c>
      <c r="C96" s="45" t="n">
        <v>171</v>
      </c>
      <c r="D96" s="43" t="s">
        <v>1101</v>
      </c>
      <c r="E96" s="43" t="s">
        <v>1102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5"/>
    <col collapsed="false" customWidth="true" hidden="false" outlineLevel="0" max="3" min="3" style="0" width="14"/>
    <col collapsed="false" customWidth="true" hidden="false" outlineLevel="0" max="4" min="4" style="0" width="23"/>
    <col collapsed="false" customWidth="true" hidden="false" outlineLevel="0" max="5" min="5" style="0" width="21"/>
    <col collapsed="false" customWidth="true" hidden="false" outlineLevel="0" max="6" min="6" style="0" width="29"/>
    <col collapsed="false" customWidth="true" hidden="false" outlineLevel="0" max="7" min="7" style="0" width="35"/>
    <col collapsed="false" customWidth="true" hidden="false" outlineLevel="0" max="8" min="8" style="0" width="40"/>
  </cols>
  <sheetData>
    <row r="1" customFormat="false" ht="15" hidden="false" customHeight="false" outlineLevel="0" collapsed="false">
      <c r="A1" s="41" t="s">
        <v>1104</v>
      </c>
    </row>
    <row r="2" customFormat="false" ht="15" hidden="false" customHeight="false" outlineLevel="0" collapsed="false">
      <c r="A2" s="42" t="s">
        <v>239</v>
      </c>
      <c r="B2" s="42" t="s">
        <v>1105</v>
      </c>
      <c r="C2" s="42" t="s">
        <v>124</v>
      </c>
      <c r="D2" s="42" t="s">
        <v>1106</v>
      </c>
      <c r="E2" s="42" t="s">
        <v>1107</v>
      </c>
      <c r="F2" s="42" t="s">
        <v>1108</v>
      </c>
      <c r="G2" s="42" t="s">
        <v>512</v>
      </c>
      <c r="H2" s="42" t="s">
        <v>513</v>
      </c>
    </row>
    <row r="3" customFormat="false" ht="15" hidden="false" customHeight="false" outlineLevel="0" collapsed="false">
      <c r="A3" s="43" t="s">
        <v>275</v>
      </c>
      <c r="B3" s="43" t="s">
        <v>48</v>
      </c>
      <c r="C3" s="43" t="s">
        <v>132</v>
      </c>
      <c r="D3" s="44" t="n">
        <v>0</v>
      </c>
      <c r="E3" s="44" t="n">
        <v>0</v>
      </c>
      <c r="F3" s="43" t="s">
        <v>1109</v>
      </c>
      <c r="G3" s="43" t="s">
        <v>635</v>
      </c>
      <c r="H3" s="43" t="s">
        <v>1110</v>
      </c>
    </row>
    <row r="4" customFormat="false" ht="15" hidden="false" customHeight="false" outlineLevel="0" collapsed="false">
      <c r="A4" s="43" t="s">
        <v>256</v>
      </c>
      <c r="B4" s="43" t="s">
        <v>48</v>
      </c>
      <c r="C4" s="43" t="s">
        <v>132</v>
      </c>
      <c r="D4" s="44" t="n">
        <v>129692</v>
      </c>
      <c r="E4" s="44" t="n">
        <v>0</v>
      </c>
      <c r="F4" s="43" t="s">
        <v>1111</v>
      </c>
      <c r="G4" s="43" t="s">
        <v>635</v>
      </c>
      <c r="H4" s="43" t="s">
        <v>1110</v>
      </c>
    </row>
    <row r="5" customFormat="false" ht="15" hidden="false" customHeight="false" outlineLevel="0" collapsed="false">
      <c r="A5" s="43" t="s">
        <v>281</v>
      </c>
      <c r="B5" s="43" t="s">
        <v>61</v>
      </c>
      <c r="C5" s="43" t="s">
        <v>149</v>
      </c>
      <c r="D5" s="44" t="n">
        <v>33020</v>
      </c>
      <c r="E5" s="44" t="n">
        <v>0</v>
      </c>
      <c r="F5" s="43" t="s">
        <v>1111</v>
      </c>
      <c r="G5" s="43" t="s">
        <v>635</v>
      </c>
      <c r="H5" s="43" t="s">
        <v>1110</v>
      </c>
    </row>
    <row r="6" customFormat="false" ht="15" hidden="false" customHeight="false" outlineLevel="0" collapsed="false">
      <c r="A6" s="43" t="s">
        <v>292</v>
      </c>
      <c r="B6" s="43" t="s">
        <v>312</v>
      </c>
      <c r="C6" s="43"/>
      <c r="D6" s="44" t="n">
        <v>0</v>
      </c>
      <c r="E6" s="44" t="n">
        <v>0</v>
      </c>
      <c r="F6" s="43" t="s">
        <v>1109</v>
      </c>
      <c r="G6" s="43" t="s">
        <v>635</v>
      </c>
      <c r="H6" s="43" t="s">
        <v>1110</v>
      </c>
    </row>
    <row r="7" customFormat="false" ht="15" hidden="false" customHeight="false" outlineLevel="0" collapsed="false">
      <c r="A7" s="43" t="s">
        <v>258</v>
      </c>
      <c r="B7" s="43" t="s">
        <v>76</v>
      </c>
      <c r="C7" s="43" t="s">
        <v>177</v>
      </c>
      <c r="D7" s="44" t="n">
        <v>0</v>
      </c>
      <c r="E7" s="44" t="n">
        <v>0</v>
      </c>
      <c r="F7" s="43" t="s">
        <v>1109</v>
      </c>
      <c r="G7" s="43" t="s">
        <v>635</v>
      </c>
      <c r="H7" s="43" t="s">
        <v>1110</v>
      </c>
    </row>
    <row r="8" customFormat="false" ht="15" hidden="false" customHeight="false" outlineLevel="0" collapsed="false">
      <c r="A8" s="43" t="s">
        <v>250</v>
      </c>
      <c r="B8" s="43" t="s">
        <v>62</v>
      </c>
      <c r="C8" s="43" t="s">
        <v>155</v>
      </c>
      <c r="D8" s="44" t="n">
        <v>23872</v>
      </c>
      <c r="E8" s="44" t="n">
        <v>32526.68</v>
      </c>
      <c r="F8" s="43" t="s">
        <v>1111</v>
      </c>
      <c r="G8" s="43" t="s">
        <v>635</v>
      </c>
      <c r="H8" s="43" t="s">
        <v>1110</v>
      </c>
    </row>
    <row r="9" customFormat="false" ht="15" hidden="false" customHeight="false" outlineLevel="0" collapsed="false">
      <c r="A9" s="43" t="s">
        <v>272</v>
      </c>
      <c r="B9" s="43" t="s">
        <v>48</v>
      </c>
      <c r="C9" s="43" t="s">
        <v>793</v>
      </c>
      <c r="D9" s="44" t="n">
        <v>41838</v>
      </c>
      <c r="E9" s="44" t="n">
        <v>41838</v>
      </c>
      <c r="F9" s="43" t="s">
        <v>1111</v>
      </c>
      <c r="G9" s="43" t="s">
        <v>635</v>
      </c>
      <c r="H9" s="43" t="s">
        <v>1110</v>
      </c>
    </row>
    <row r="10" customFormat="false" ht="15" hidden="false" customHeight="false" outlineLevel="0" collapsed="false">
      <c r="A10" s="43" t="s">
        <v>266</v>
      </c>
      <c r="B10" s="43" t="s">
        <v>48</v>
      </c>
      <c r="C10" s="43" t="s">
        <v>134</v>
      </c>
      <c r="D10" s="44" t="n">
        <v>0</v>
      </c>
      <c r="E10" s="44" t="n">
        <v>0</v>
      </c>
      <c r="F10" s="43" t="s">
        <v>1109</v>
      </c>
      <c r="G10" s="43" t="s">
        <v>635</v>
      </c>
      <c r="H10" s="43" t="s">
        <v>1110</v>
      </c>
    </row>
    <row r="11" customFormat="false" ht="15" hidden="false" customHeight="false" outlineLevel="0" collapsed="false">
      <c r="A11" s="43" t="s">
        <v>276</v>
      </c>
      <c r="B11" s="43" t="s">
        <v>48</v>
      </c>
      <c r="C11" s="43" t="s">
        <v>779</v>
      </c>
      <c r="D11" s="44" t="n">
        <v>0</v>
      </c>
      <c r="E11" s="44" t="n">
        <v>0</v>
      </c>
      <c r="F11" s="43" t="s">
        <v>1109</v>
      </c>
      <c r="G11" s="43" t="s">
        <v>635</v>
      </c>
      <c r="H11" s="43" t="s">
        <v>1110</v>
      </c>
    </row>
    <row r="12" customFormat="false" ht="15" hidden="false" customHeight="false" outlineLevel="0" collapsed="false">
      <c r="A12" s="43" t="s">
        <v>248</v>
      </c>
      <c r="B12" s="43" t="s">
        <v>62</v>
      </c>
      <c r="C12" s="43" t="s">
        <v>156</v>
      </c>
      <c r="D12" s="44" t="n">
        <v>97211</v>
      </c>
      <c r="E12" s="44" t="n">
        <v>97211</v>
      </c>
      <c r="F12" s="43" t="s">
        <v>1111</v>
      </c>
      <c r="G12" s="43" t="s">
        <v>635</v>
      </c>
      <c r="H12" s="43" t="s">
        <v>1110</v>
      </c>
    </row>
    <row r="13" customFormat="false" ht="15" hidden="false" customHeight="false" outlineLevel="0" collapsed="false">
      <c r="A13" s="43" t="s">
        <v>818</v>
      </c>
      <c r="B13" s="43" t="s">
        <v>61</v>
      </c>
      <c r="C13" s="43" t="s">
        <v>150</v>
      </c>
      <c r="D13" s="44" t="n">
        <v>0</v>
      </c>
      <c r="E13" s="44" t="n">
        <v>0</v>
      </c>
      <c r="F13" s="43" t="s">
        <v>1109</v>
      </c>
      <c r="G13" s="43" t="s">
        <v>635</v>
      </c>
      <c r="H13" s="43" t="s">
        <v>1110</v>
      </c>
    </row>
    <row r="14" customFormat="false" ht="15" hidden="false" customHeight="false" outlineLevel="0" collapsed="false">
      <c r="A14" s="43" t="s">
        <v>251</v>
      </c>
      <c r="B14" s="43" t="s">
        <v>62</v>
      </c>
      <c r="C14" s="43" t="s">
        <v>154</v>
      </c>
      <c r="D14" s="44" t="n">
        <v>52319.2</v>
      </c>
      <c r="E14" s="44" t="n">
        <v>50479</v>
      </c>
      <c r="F14" s="43" t="s">
        <v>1111</v>
      </c>
      <c r="G14" s="43" t="s">
        <v>635</v>
      </c>
      <c r="H14" s="43" t="s">
        <v>1110</v>
      </c>
    </row>
    <row r="15" customFormat="false" ht="15" hidden="false" customHeight="false" outlineLevel="0" collapsed="false">
      <c r="A15" s="43" t="s">
        <v>1103</v>
      </c>
      <c r="B15" s="43" t="s">
        <v>312</v>
      </c>
      <c r="C15" s="43"/>
      <c r="D15" s="44" t="n">
        <v>0</v>
      </c>
      <c r="E15" s="44" t="n">
        <v>0</v>
      </c>
      <c r="F15" s="43" t="s">
        <v>1109</v>
      </c>
      <c r="G15" s="43" t="s">
        <v>635</v>
      </c>
      <c r="H15" s="43" t="s">
        <v>1110</v>
      </c>
    </row>
    <row r="16" customFormat="false" ht="15" hidden="false" customHeight="false" outlineLevel="0" collapsed="false">
      <c r="A16" s="43" t="s">
        <v>296</v>
      </c>
      <c r="B16" s="43" t="s">
        <v>48</v>
      </c>
      <c r="C16" s="43" t="s">
        <v>136</v>
      </c>
      <c r="D16" s="44" t="n">
        <v>110857</v>
      </c>
      <c r="E16" s="44" t="n">
        <v>110857</v>
      </c>
      <c r="F16" s="43" t="s">
        <v>1111</v>
      </c>
      <c r="G16" s="43" t="s">
        <v>635</v>
      </c>
      <c r="H16" s="43" t="s">
        <v>1110</v>
      </c>
    </row>
    <row r="17" customFormat="false" ht="15" hidden="false" customHeight="false" outlineLevel="0" collapsed="false">
      <c r="A17" s="43" t="s">
        <v>877</v>
      </c>
      <c r="B17" s="43" t="s">
        <v>61</v>
      </c>
      <c r="C17" s="43" t="s">
        <v>145</v>
      </c>
      <c r="D17" s="44" t="n">
        <v>8480</v>
      </c>
      <c r="E17" s="44" t="n">
        <v>119590</v>
      </c>
      <c r="F17" s="43" t="s">
        <v>1111</v>
      </c>
      <c r="G17" s="43" t="s">
        <v>635</v>
      </c>
      <c r="H17" s="43" t="s">
        <v>1110</v>
      </c>
    </row>
    <row r="18" customFormat="false" ht="15" hidden="false" customHeight="false" outlineLevel="0" collapsed="false">
      <c r="A18" s="43" t="s">
        <v>279</v>
      </c>
      <c r="B18" s="43" t="s">
        <v>61</v>
      </c>
      <c r="C18" s="43" t="s">
        <v>144</v>
      </c>
      <c r="D18" s="44" t="n">
        <v>0</v>
      </c>
      <c r="E18" s="44" t="n">
        <v>0</v>
      </c>
      <c r="F18" s="43" t="s">
        <v>1109</v>
      </c>
      <c r="G18" s="43" t="s">
        <v>635</v>
      </c>
      <c r="H18" s="43" t="s">
        <v>1110</v>
      </c>
    </row>
    <row r="19" customFormat="false" ht="15" hidden="false" customHeight="false" outlineLevel="0" collapsed="false">
      <c r="A19" s="43" t="s">
        <v>285</v>
      </c>
      <c r="B19" s="43" t="s">
        <v>48</v>
      </c>
      <c r="C19" s="43" t="s">
        <v>135</v>
      </c>
      <c r="D19" s="44" t="n">
        <v>0</v>
      </c>
      <c r="E19" s="44" t="n">
        <v>19531</v>
      </c>
      <c r="F19" s="43" t="s">
        <v>1109</v>
      </c>
      <c r="G19" s="43" t="s">
        <v>635</v>
      </c>
      <c r="H19" s="43" t="s">
        <v>1110</v>
      </c>
    </row>
    <row r="20" customFormat="false" ht="15" hidden="false" customHeight="false" outlineLevel="0" collapsed="false">
      <c r="A20" s="43" t="s">
        <v>953</v>
      </c>
      <c r="B20" s="43" t="s">
        <v>61</v>
      </c>
      <c r="C20" s="43" t="s">
        <v>143</v>
      </c>
      <c r="D20" s="44" t="n">
        <v>0</v>
      </c>
      <c r="E20" s="44" t="n">
        <v>0</v>
      </c>
      <c r="F20" s="43" t="s">
        <v>1109</v>
      </c>
      <c r="G20" s="43" t="s">
        <v>635</v>
      </c>
      <c r="H20" s="43" t="s">
        <v>1110</v>
      </c>
    </row>
    <row r="21" customFormat="false" ht="15" hidden="false" customHeight="false" outlineLevel="0" collapsed="false">
      <c r="A21" s="43" t="s">
        <v>253</v>
      </c>
      <c r="B21" s="43" t="s">
        <v>61</v>
      </c>
      <c r="C21" s="43" t="s">
        <v>148</v>
      </c>
      <c r="D21" s="44" t="n">
        <v>23931</v>
      </c>
      <c r="E21" s="44" t="n">
        <v>20102</v>
      </c>
      <c r="F21" s="43" t="s">
        <v>1111</v>
      </c>
      <c r="G21" s="43" t="s">
        <v>635</v>
      </c>
      <c r="H21" s="43" t="s">
        <v>1110</v>
      </c>
    </row>
    <row r="22" customFormat="false" ht="15" hidden="false" customHeight="false" outlineLevel="0" collapsed="false">
      <c r="A22" s="43" t="s">
        <v>264</v>
      </c>
      <c r="B22" s="43" t="s">
        <v>61</v>
      </c>
      <c r="C22" s="43" t="s">
        <v>158</v>
      </c>
      <c r="D22" s="44" t="n">
        <v>16723</v>
      </c>
      <c r="E22" s="44" t="n">
        <v>63559</v>
      </c>
      <c r="F22" s="43" t="s">
        <v>1111</v>
      </c>
      <c r="G22" s="43" t="s">
        <v>635</v>
      </c>
      <c r="H22" s="43" t="s">
        <v>1110</v>
      </c>
    </row>
    <row r="23" customFormat="false" ht="15" hidden="false" customHeight="false" outlineLevel="0" collapsed="false">
      <c r="A23" s="43" t="s">
        <v>262</v>
      </c>
      <c r="B23" s="43" t="s">
        <v>76</v>
      </c>
      <c r="C23" s="43" t="s">
        <v>174</v>
      </c>
      <c r="D23" s="44" t="n">
        <v>0</v>
      </c>
      <c r="E23" s="44" t="n">
        <v>0</v>
      </c>
      <c r="F23" s="43" t="s">
        <v>1109</v>
      </c>
      <c r="G23" s="43" t="s">
        <v>635</v>
      </c>
      <c r="H23" s="43" t="s">
        <v>1110</v>
      </c>
    </row>
    <row r="24" customFormat="false" ht="15" hidden="false" customHeight="false" outlineLevel="0" collapsed="false">
      <c r="A24" s="43" t="s">
        <v>260</v>
      </c>
      <c r="B24" s="43" t="s">
        <v>76</v>
      </c>
      <c r="C24" s="43" t="s">
        <v>174</v>
      </c>
      <c r="D24" s="44" t="n">
        <v>0</v>
      </c>
      <c r="E24" s="44" t="n">
        <v>0</v>
      </c>
      <c r="F24" s="43" t="s">
        <v>1109</v>
      </c>
      <c r="G24" s="43" t="s">
        <v>635</v>
      </c>
      <c r="H24" s="43" t="s">
        <v>1110</v>
      </c>
    </row>
    <row r="25" customFormat="false" ht="15" hidden="false" customHeight="false" outlineLevel="0" collapsed="false">
      <c r="A25" s="43" t="s">
        <v>273</v>
      </c>
      <c r="B25" s="43" t="s">
        <v>63</v>
      </c>
      <c r="C25" s="43" t="s">
        <v>168</v>
      </c>
      <c r="D25" s="44" t="n">
        <v>28311</v>
      </c>
      <c r="E25" s="44" t="n">
        <v>154621</v>
      </c>
      <c r="F25" s="43" t="s">
        <v>1111</v>
      </c>
      <c r="G25" s="43" t="s">
        <v>635</v>
      </c>
      <c r="H25" s="43" t="s">
        <v>1110</v>
      </c>
    </row>
    <row r="26" customFormat="false" ht="15" hidden="false" customHeight="false" outlineLevel="0" collapsed="false">
      <c r="A26" s="43" t="s">
        <v>246</v>
      </c>
      <c r="B26" s="43" t="s">
        <v>76</v>
      </c>
      <c r="C26" s="43" t="s">
        <v>173</v>
      </c>
      <c r="D26" s="44" t="n">
        <v>0</v>
      </c>
      <c r="E26" s="44" t="n">
        <v>0</v>
      </c>
      <c r="F26" s="43" t="s">
        <v>1109</v>
      </c>
      <c r="G26" s="43" t="s">
        <v>635</v>
      </c>
      <c r="H26" s="43" t="s">
        <v>1110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42"/>
    <col collapsed="false" customWidth="true" hidden="false" outlineLevel="0" max="4" min="4" style="0" width="30"/>
    <col collapsed="false" customWidth="true" hidden="false" outlineLevel="0" max="5" min="5" style="0" width="34"/>
    <col collapsed="false" customWidth="true" hidden="false" outlineLevel="0" max="6" min="6" style="0" width="52"/>
  </cols>
  <sheetData>
    <row r="1" customFormat="false" ht="25.5" hidden="false" customHeight="true" outlineLevel="0" collapsed="false">
      <c r="A1" s="5" t="s">
        <v>1112</v>
      </c>
    </row>
    <row r="2" customFormat="false" ht="202.95" hidden="false" customHeight="false" outlineLevel="0" collapsed="false">
      <c r="A2" s="6" t="s">
        <v>1113</v>
      </c>
    </row>
    <row r="3" customFormat="false" ht="15" hidden="false" customHeight="false" outlineLevel="0" collapsed="false">
      <c r="A3" s="7" t="s">
        <v>1114</v>
      </c>
      <c r="B3" s="7" t="s">
        <v>1115</v>
      </c>
      <c r="C3" s="7" t="s">
        <v>1116</v>
      </c>
      <c r="D3" s="7" t="s">
        <v>1117</v>
      </c>
      <c r="E3" s="7" t="s">
        <v>1118</v>
      </c>
      <c r="F3" s="7" t="s">
        <v>1119</v>
      </c>
    </row>
    <row r="4" customFormat="false" ht="42" hidden="false" customHeight="true" outlineLevel="0" collapsed="false">
      <c r="A4" s="46" t="s">
        <v>1120</v>
      </c>
      <c r="B4" s="46" t="s">
        <v>1121</v>
      </c>
      <c r="C4" s="46" t="s">
        <v>515</v>
      </c>
      <c r="D4" s="46" t="s">
        <v>516</v>
      </c>
      <c r="E4" s="46" t="s">
        <v>1122</v>
      </c>
      <c r="F4" s="46" t="s">
        <v>1123</v>
      </c>
    </row>
    <row r="5" customFormat="false" ht="42" hidden="false" customHeight="true" outlineLevel="0" collapsed="false">
      <c r="A5" s="46" t="s">
        <v>1124</v>
      </c>
      <c r="B5" s="46" t="s">
        <v>1121</v>
      </c>
      <c r="C5" s="46" t="s">
        <v>515</v>
      </c>
      <c r="D5" s="46" t="s">
        <v>598</v>
      </c>
      <c r="E5" s="46" t="s">
        <v>1125</v>
      </c>
      <c r="F5" s="46" t="s">
        <v>1126</v>
      </c>
    </row>
    <row r="6" customFormat="false" ht="42" hidden="false" customHeight="true" outlineLevel="0" collapsed="false">
      <c r="A6" s="46" t="s">
        <v>1127</v>
      </c>
      <c r="B6" s="46" t="s">
        <v>1128</v>
      </c>
      <c r="C6" s="46" t="s">
        <v>528</v>
      </c>
      <c r="D6" s="46" t="s">
        <v>1129</v>
      </c>
      <c r="E6" s="46" t="s">
        <v>1130</v>
      </c>
      <c r="F6" s="46" t="s">
        <v>1131</v>
      </c>
    </row>
    <row r="7" customFormat="false" ht="42" hidden="false" customHeight="true" outlineLevel="0" collapsed="false">
      <c r="A7" s="46" t="s">
        <v>1132</v>
      </c>
      <c r="B7" s="46" t="s">
        <v>1133</v>
      </c>
      <c r="C7" s="46" t="s">
        <v>635</v>
      </c>
      <c r="D7" s="46" t="s">
        <v>636</v>
      </c>
      <c r="E7" s="46" t="s">
        <v>1134</v>
      </c>
      <c r="F7" s="46" t="s">
        <v>1135</v>
      </c>
    </row>
    <row r="8" customFormat="false" ht="42" hidden="false" customHeight="true" outlineLevel="0" collapsed="false">
      <c r="A8" s="46" t="s">
        <v>1136</v>
      </c>
      <c r="B8" s="46" t="s">
        <v>1137</v>
      </c>
      <c r="C8" s="46" t="s">
        <v>515</v>
      </c>
      <c r="D8" s="46" t="s">
        <v>1138</v>
      </c>
      <c r="E8" s="46" t="s">
        <v>1139</v>
      </c>
      <c r="F8" s="46" t="s">
        <v>1140</v>
      </c>
    </row>
    <row r="9" customFormat="false" ht="42" hidden="false" customHeight="true" outlineLevel="0" collapsed="false">
      <c r="A9" s="46" t="s">
        <v>1141</v>
      </c>
      <c r="B9" s="46" t="s">
        <v>1142</v>
      </c>
      <c r="C9" s="46" t="s">
        <v>528</v>
      </c>
      <c r="D9" s="46" t="s">
        <v>1093</v>
      </c>
      <c r="E9" s="46" t="s">
        <v>1143</v>
      </c>
      <c r="F9" s="46" t="s">
        <v>1144</v>
      </c>
    </row>
    <row r="10" customFormat="false" ht="42" hidden="false" customHeight="true" outlineLevel="0" collapsed="false">
      <c r="A10" s="46" t="s">
        <v>1145</v>
      </c>
      <c r="B10" s="46" t="s">
        <v>1146</v>
      </c>
      <c r="C10" s="46" t="s">
        <v>635</v>
      </c>
      <c r="D10" s="46" t="s">
        <v>636</v>
      </c>
      <c r="E10" s="46" t="s">
        <v>1147</v>
      </c>
      <c r="F10" s="46" t="s">
        <v>1148</v>
      </c>
    </row>
    <row r="11" customFormat="false" ht="42" hidden="false" customHeight="true" outlineLevel="0" collapsed="false">
      <c r="A11" s="46" t="s">
        <v>1149</v>
      </c>
      <c r="B11" s="46" t="s">
        <v>1150</v>
      </c>
      <c r="C11" s="46" t="s">
        <v>1151</v>
      </c>
      <c r="D11" s="46" t="s">
        <v>230</v>
      </c>
      <c r="E11" s="46" t="s">
        <v>1152</v>
      </c>
      <c r="F11" s="46" t="s">
        <v>1153</v>
      </c>
    </row>
    <row r="12" customFormat="false" ht="42" hidden="false" customHeight="true" outlineLevel="0" collapsed="false">
      <c r="A12" s="46" t="s">
        <v>1154</v>
      </c>
      <c r="B12" s="46" t="s">
        <v>1155</v>
      </c>
      <c r="C12" s="46" t="s">
        <v>1151</v>
      </c>
      <c r="D12" s="46" t="s">
        <v>1156</v>
      </c>
      <c r="E12" s="46" t="s">
        <v>1157</v>
      </c>
      <c r="F12" s="46" t="s">
        <v>1158</v>
      </c>
    </row>
    <row r="13" customFormat="false" ht="42" hidden="false" customHeight="true" outlineLevel="0" collapsed="false">
      <c r="A13" s="46" t="s">
        <v>1159</v>
      </c>
      <c r="B13" s="46" t="s">
        <v>1160</v>
      </c>
      <c r="C13" s="46" t="s">
        <v>528</v>
      </c>
      <c r="D13" s="46" t="s">
        <v>1161</v>
      </c>
      <c r="E13" s="46" t="s">
        <v>1162</v>
      </c>
      <c r="F13" s="46" t="s">
        <v>1163</v>
      </c>
    </row>
    <row r="14" customFormat="false" ht="42" hidden="false" customHeight="true" outlineLevel="0" collapsed="false">
      <c r="A14" s="46" t="s">
        <v>1164</v>
      </c>
      <c r="B14" s="46" t="s">
        <v>1165</v>
      </c>
      <c r="C14" s="46" t="s">
        <v>528</v>
      </c>
      <c r="D14" s="46" t="s">
        <v>1166</v>
      </c>
      <c r="E14" s="46" t="s">
        <v>1167</v>
      </c>
      <c r="F14" s="46" t="s">
        <v>1168</v>
      </c>
    </row>
    <row r="15" customFormat="false" ht="42" hidden="false" customHeight="true" outlineLevel="0" collapsed="false">
      <c r="A15" s="46" t="s">
        <v>1169</v>
      </c>
      <c r="B15" s="46" t="s">
        <v>1170</v>
      </c>
      <c r="C15" s="46" t="s">
        <v>528</v>
      </c>
      <c r="D15" s="46" t="s">
        <v>1166</v>
      </c>
      <c r="E15" s="46" t="s">
        <v>1171</v>
      </c>
      <c r="F15" s="46" t="s">
        <v>1172</v>
      </c>
    </row>
    <row r="16" customFormat="false" ht="42" hidden="false" customHeight="true" outlineLevel="0" collapsed="false">
      <c r="A16" s="46" t="s">
        <v>1173</v>
      </c>
      <c r="B16" s="46" t="s">
        <v>1174</v>
      </c>
      <c r="C16" s="46" t="s">
        <v>635</v>
      </c>
      <c r="D16" s="46" t="s">
        <v>636</v>
      </c>
      <c r="E16" s="46" t="s">
        <v>1175</v>
      </c>
      <c r="F16" s="46" t="s">
        <v>1176</v>
      </c>
    </row>
    <row r="17" customFormat="false" ht="42" hidden="false" customHeight="true" outlineLevel="0" collapsed="false">
      <c r="A17" s="46" t="s">
        <v>1177</v>
      </c>
      <c r="B17" s="46" t="s">
        <v>1178</v>
      </c>
      <c r="C17" s="46" t="s">
        <v>1179</v>
      </c>
      <c r="D17" s="46" t="s">
        <v>1180</v>
      </c>
      <c r="E17" s="46" t="s">
        <v>1181</v>
      </c>
      <c r="F17" s="46" t="s">
        <v>1182</v>
      </c>
    </row>
    <row r="18" customFormat="false" ht="42" hidden="false" customHeight="true" outlineLevel="0" collapsed="false">
      <c r="A18" s="46" t="s">
        <v>1183</v>
      </c>
      <c r="B18" s="46" t="s">
        <v>1184</v>
      </c>
      <c r="C18" s="46" t="s">
        <v>1101</v>
      </c>
      <c r="D18" s="46" t="s">
        <v>1185</v>
      </c>
      <c r="E18" s="46" t="s">
        <v>1186</v>
      </c>
      <c r="F18" s="46" t="s">
        <v>1187</v>
      </c>
    </row>
    <row r="19" customFormat="false" ht="42" hidden="false" customHeight="true" outlineLevel="0" collapsed="false">
      <c r="A19" s="46" t="s">
        <v>1188</v>
      </c>
      <c r="B19" s="46" t="s">
        <v>1189</v>
      </c>
      <c r="C19" s="46" t="s">
        <v>1190</v>
      </c>
      <c r="D19" s="46" t="s">
        <v>1191</v>
      </c>
      <c r="E19" s="46" t="s">
        <v>1192</v>
      </c>
      <c r="F19" s="46" t="s">
        <v>1193</v>
      </c>
    </row>
    <row r="20" customFormat="false" ht="42" hidden="false" customHeight="true" outlineLevel="0" collapsed="false">
      <c r="A20" s="46" t="s">
        <v>1194</v>
      </c>
      <c r="B20" s="46" t="s">
        <v>1195</v>
      </c>
      <c r="C20" s="46" t="s">
        <v>1196</v>
      </c>
      <c r="D20" s="46" t="s">
        <v>1197</v>
      </c>
      <c r="E20" s="46" t="s">
        <v>1198</v>
      </c>
      <c r="F20" s="46" t="s">
        <v>1199</v>
      </c>
    </row>
    <row r="21" customFormat="false" ht="42" hidden="false" customHeight="true" outlineLevel="0" collapsed="false">
      <c r="A21" s="46" t="s">
        <v>1200</v>
      </c>
      <c r="B21" s="46" t="s">
        <v>1201</v>
      </c>
      <c r="C21" s="46" t="s">
        <v>635</v>
      </c>
      <c r="D21" s="46" t="s">
        <v>636</v>
      </c>
      <c r="E21" s="46" t="s">
        <v>1202</v>
      </c>
      <c r="F21" s="46" t="s">
        <v>1203</v>
      </c>
    </row>
    <row r="22" customFormat="false" ht="42" hidden="false" customHeight="true" outlineLevel="0" collapsed="false">
      <c r="A22" s="46" t="s">
        <v>1204</v>
      </c>
      <c r="B22" s="46" t="s">
        <v>1205</v>
      </c>
      <c r="C22" s="46" t="s">
        <v>1101</v>
      </c>
      <c r="D22" s="46" t="s">
        <v>1206</v>
      </c>
      <c r="E22" s="46" t="s">
        <v>1207</v>
      </c>
      <c r="F22" s="46" t="s">
        <v>1208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2026-07-05T15:14:28Z</dcterms:created>
  <dc:creator>openpyxl</dc:creator>
  <dc:description/>
  <dc:language>en-US</dc:language>
  <cp:lastModifiedBy/>
  <dcterms:modified xsi:type="dcterms:W3CDTF">2026-07-05T15:14:29Z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