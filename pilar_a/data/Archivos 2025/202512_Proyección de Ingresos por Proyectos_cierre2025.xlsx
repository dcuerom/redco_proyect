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202300"/>
  <mc:AlternateContent xmlns:mc="http://schemas.openxmlformats.org/markup-compatibility/2006">
    <mc:Choice Requires="x15">
      <x15ac:absPath xmlns:x15ac="http://schemas.microsoft.com/office/spreadsheetml/2010/11/ac" url="https://redcoglobalcl.sharepoint.com/sites/GestinEstratgicaREDCO/Shared Documents/General/Foro Control Gestión/Reuniones/202512_Reunión 12 (Diciembre 2025)/"/>
    </mc:Choice>
  </mc:AlternateContent>
  <xr:revisionPtr revIDLastSave="2243" documentId="8_{E7DDA116-BB10-44AB-98B8-82F831CFD1CC}" xr6:coauthVersionLast="47" xr6:coauthVersionMax="47" xr10:uidLastSave="{C519FE90-037B-44AF-8497-C4AE80B1BB4E}"/>
  <bookViews>
    <workbookView xWindow="-120" yWindow="-120" windowWidth="29040" windowHeight="15720" firstSheet="1" activeTab="1" xr2:uid="{E0037E12-FC12-4078-A667-8FCDA52565E5}"/>
  </bookViews>
  <sheets>
    <sheet name="Proyección Ingresos 2025_Dic" sheetId="12" state="hidden" r:id="rId1"/>
    <sheet name="PY Ingresos 2026" sheetId="15" r:id="rId2"/>
    <sheet name="TD EDP 2025" sheetId="14" r:id="rId3"/>
    <sheet name="CicloEdP_2023_v1" sheetId="13" r:id="rId4"/>
    <sheet name="POM 2025" sheetId="10" state="hidden" r:id="rId5"/>
  </sheets>
  <externalReferences>
    <externalReference r:id="rId6"/>
    <externalReference r:id="rId7"/>
  </externalReferences>
  <definedNames>
    <definedName name="_xlnm._FilterDatabase" localSheetId="4" hidden="1">'POM 2025'!$A$2:$AP$66</definedName>
    <definedName name="_xlnm._FilterDatabase" localSheetId="0" hidden="1">'Proyección Ingresos 2025_Dic'!$A$14:$X$14</definedName>
    <definedName name="_xlnm.Print_Area" localSheetId="3">CicloEdP_2023_v1!$D$1:$V$53</definedName>
    <definedName name="SegmentaciónDeDatos_País1">#N/A</definedName>
  </definedNames>
  <calcPr calcId="191029"/>
  <pivotCaches>
    <pivotCache cacheId="419" r:id="rId8"/>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9" i="13" l="1"/>
  <c r="K129" i="13"/>
  <c r="Q129" i="13"/>
  <c r="F4" i="12" l="1"/>
  <c r="G4" i="12"/>
  <c r="H4" i="12"/>
  <c r="I4" i="12"/>
  <c r="J4" i="12"/>
  <c r="K4" i="12"/>
  <c r="L4" i="12"/>
  <c r="M4" i="12"/>
  <c r="N4" i="12"/>
  <c r="O4" i="12"/>
  <c r="P22" i="12"/>
  <c r="Q22" i="12" s="1"/>
  <c r="P44" i="12"/>
  <c r="S44" i="12" s="1"/>
  <c r="U44" i="12" s="1"/>
  <c r="P63" i="12"/>
  <c r="S63" i="12" s="1"/>
  <c r="U63" i="12" s="1"/>
  <c r="P71" i="12"/>
  <c r="Q71" i="12" s="1"/>
  <c r="F5" i="12"/>
  <c r="G5" i="12"/>
  <c r="H5" i="12"/>
  <c r="I5" i="12"/>
  <c r="J5" i="12"/>
  <c r="K5" i="12"/>
  <c r="L5" i="12"/>
  <c r="M5" i="12"/>
  <c r="N5" i="12"/>
  <c r="O5" i="12"/>
  <c r="P16" i="12"/>
  <c r="S16" i="12" s="1"/>
  <c r="U16" i="12" s="1"/>
  <c r="P49" i="12"/>
  <c r="Q49" i="12" s="1"/>
  <c r="F6" i="12"/>
  <c r="G6" i="12"/>
  <c r="H6" i="12"/>
  <c r="I6" i="12"/>
  <c r="J6" i="12"/>
  <c r="K6" i="12"/>
  <c r="L6" i="12"/>
  <c r="M6" i="12"/>
  <c r="N6" i="12"/>
  <c r="O6" i="12"/>
  <c r="P21" i="12"/>
  <c r="S21" i="12" s="1"/>
  <c r="U21" i="12" s="1"/>
  <c r="P23" i="12"/>
  <c r="S23" i="12" s="1"/>
  <c r="U23" i="12" s="1"/>
  <c r="P26" i="12"/>
  <c r="S26" i="12" s="1"/>
  <c r="U26" i="12" s="1"/>
  <c r="P30" i="12"/>
  <c r="Q30" i="12" s="1"/>
  <c r="F7" i="12"/>
  <c r="G7" i="12"/>
  <c r="H7" i="12"/>
  <c r="I7" i="12"/>
  <c r="J7" i="12"/>
  <c r="K7" i="12"/>
  <c r="L7" i="12"/>
  <c r="M7" i="12"/>
  <c r="N7" i="12"/>
  <c r="O7" i="12"/>
  <c r="P36" i="12"/>
  <c r="S36" i="12" s="1"/>
  <c r="U36" i="12" s="1"/>
  <c r="P55" i="12"/>
  <c r="Q55" i="12" s="1"/>
  <c r="F8" i="12"/>
  <c r="G8" i="12"/>
  <c r="H8" i="12"/>
  <c r="I8" i="12"/>
  <c r="J8" i="12"/>
  <c r="K8" i="12"/>
  <c r="L8" i="12"/>
  <c r="M8" i="12"/>
  <c r="N8" i="12"/>
  <c r="O8" i="12"/>
  <c r="P8" i="12"/>
  <c r="Q8" i="12" s="1"/>
  <c r="E8" i="12"/>
  <c r="E7" i="12"/>
  <c r="E6" i="12"/>
  <c r="E5" i="12"/>
  <c r="E4" i="12"/>
  <c r="S33" i="12"/>
  <c r="S88" i="12"/>
  <c r="S57" i="12"/>
  <c r="S15" i="12"/>
  <c r="S64" i="12"/>
  <c r="S29" i="12"/>
  <c r="S56" i="12"/>
  <c r="S28" i="12"/>
  <c r="S53" i="12"/>
  <c r="S67" i="12"/>
  <c r="S37" i="12"/>
  <c r="S38" i="12"/>
  <c r="S40" i="12"/>
  <c r="S18" i="12"/>
  <c r="S39" i="12"/>
  <c r="S45" i="12"/>
  <c r="S65" i="12"/>
  <c r="S83" i="12"/>
  <c r="S86" i="12"/>
  <c r="S68" i="12"/>
  <c r="S41" i="12"/>
  <c r="S75" i="12"/>
  <c r="S79" i="12"/>
  <c r="S77" i="12"/>
  <c r="S74" i="12"/>
  <c r="S20" i="12"/>
  <c r="S34" i="12"/>
  <c r="S42" i="12"/>
  <c r="S84" i="12"/>
  <c r="S58" i="12"/>
  <c r="S19" i="12"/>
  <c r="S52" i="12"/>
  <c r="S89" i="12"/>
  <c r="S82" i="12"/>
  <c r="S54" i="12"/>
  <c r="S50" i="12"/>
  <c r="S62" i="12"/>
  <c r="S48" i="12"/>
  <c r="S25" i="12"/>
  <c r="S59" i="12"/>
  <c r="S72" i="12"/>
  <c r="S17" i="12"/>
  <c r="S43" i="12"/>
  <c r="S47" i="12"/>
  <c r="S24" i="12"/>
  <c r="S27" i="12"/>
  <c r="S81" i="12"/>
  <c r="S51" i="12"/>
  <c r="S66" i="12"/>
  <c r="S31" i="12"/>
  <c r="S80" i="12"/>
  <c r="S32" i="12"/>
  <c r="S90" i="12"/>
  <c r="S70" i="12"/>
  <c r="S78" i="12"/>
  <c r="S76" i="12"/>
  <c r="S46" i="12"/>
  <c r="S73" i="12"/>
  <c r="S91" i="12"/>
  <c r="S69" i="12"/>
  <c r="S92" i="12"/>
  <c r="S93" i="12"/>
  <c r="S94" i="12"/>
  <c r="S87" i="12"/>
  <c r="S95" i="12"/>
  <c r="S96" i="12"/>
  <c r="S85" i="12"/>
  <c r="S61" i="12"/>
  <c r="S35" i="12"/>
  <c r="S60" i="12"/>
  <c r="Q35" i="12"/>
  <c r="Q93" i="12"/>
  <c r="Q70" i="12"/>
  <c r="X199" i="13"/>
  <c r="Q24" i="12"/>
  <c r="Q43" i="12"/>
  <c r="Q62" i="12"/>
  <c r="Q74" i="12"/>
  <c r="Q79" i="12"/>
  <c r="Q33" i="12"/>
  <c r="Q20" i="12"/>
  <c r="Q88" i="12"/>
  <c r="Q89" i="12"/>
  <c r="Q50" i="12"/>
  <c r="Q17" i="12"/>
  <c r="Q48" i="12"/>
  <c r="Q51" i="12"/>
  <c r="Q82" i="12"/>
  <c r="Q81" i="12"/>
  <c r="Q15" i="12"/>
  <c r="Q85" i="12"/>
  <c r="U97" i="12"/>
  <c r="Q18" i="12"/>
  <c r="Q80" i="12"/>
  <c r="Q42" i="12"/>
  <c r="Q40" i="12"/>
  <c r="Q32" i="12"/>
  <c r="Q59" i="12"/>
  <c r="Q31" i="12"/>
  <c r="Q45" i="12"/>
  <c r="Q37" i="12"/>
  <c r="U35" i="12"/>
  <c r="Q25" i="12"/>
  <c r="Q47" i="12"/>
  <c r="Q78" i="12"/>
  <c r="Q34" i="12"/>
  <c r="Q56" i="12"/>
  <c r="Q53" i="12"/>
  <c r="Q41" i="12"/>
  <c r="Q29" i="12"/>
  <c r="Q68" i="12"/>
  <c r="Q52" i="12"/>
  <c r="Q75" i="12"/>
  <c r="Q38" i="12"/>
  <c r="Q77" i="12"/>
  <c r="Q54" i="12"/>
  <c r="Q64" i="12"/>
  <c r="Q65" i="12"/>
  <c r="Q66" i="12"/>
  <c r="Q73" i="12"/>
  <c r="Q57" i="12"/>
  <c r="Q84" i="12"/>
  <c r="Q61" i="12"/>
  <c r="Q83" i="12"/>
  <c r="Q58" i="12"/>
  <c r="Q94" i="12"/>
  <c r="Q96" i="12"/>
  <c r="Q39" i="12"/>
  <c r="Q86" i="12"/>
  <c r="Q19" i="12"/>
  <c r="Q28" i="12"/>
  <c r="Q90" i="12"/>
  <c r="Q69" i="12"/>
  <c r="Q92" i="12"/>
  <c r="Q91" i="12"/>
  <c r="Q67" i="12"/>
  <c r="Q95" i="12"/>
  <c r="Q72" i="12"/>
  <c r="Q46" i="12"/>
  <c r="Q87" i="12"/>
  <c r="Q76" i="12"/>
  <c r="Q27" i="12"/>
  <c r="K15" i="12"/>
  <c r="Q60" i="12"/>
  <c r="B11" i="12"/>
  <c r="P9" i="12"/>
  <c r="Q9" i="12" s="1"/>
  <c r="O9" i="12"/>
  <c r="N9" i="12"/>
  <c r="M9" i="12"/>
  <c r="L9" i="12"/>
  <c r="K9" i="12"/>
  <c r="J9" i="12"/>
  <c r="I9" i="12"/>
  <c r="H9" i="12"/>
  <c r="G9" i="12"/>
  <c r="F9" i="12"/>
  <c r="E9" i="12"/>
  <c r="AF69" i="10"/>
  <c r="AP67" i="10"/>
  <c r="AO67" i="10"/>
  <c r="AN67" i="10"/>
  <c r="AM67" i="10"/>
  <c r="AL67" i="10"/>
  <c r="AK67" i="10"/>
  <c r="AJ67" i="10"/>
  <c r="AI67" i="10"/>
  <c r="AH67" i="10"/>
  <c r="AH69" i="10"/>
  <c r="AG67" i="10"/>
  <c r="AF67" i="10"/>
  <c r="AE67" i="10"/>
  <c r="AC67" i="10"/>
  <c r="AB67" i="10"/>
  <c r="AA67" i="10"/>
  <c r="AB69" i="10"/>
  <c r="Y67" i="10"/>
  <c r="W67" i="10"/>
  <c r="V67" i="10"/>
  <c r="T67" i="10"/>
  <c r="T69" i="10"/>
  <c r="S67" i="10"/>
  <c r="Q67" i="10"/>
  <c r="N66" i="10"/>
  <c r="J66" i="10"/>
  <c r="I66" i="10"/>
  <c r="P66" i="10" s="1"/>
  <c r="J65" i="10"/>
  <c r="N65" i="10"/>
  <c r="I65" i="10"/>
  <c r="P65" i="10" s="1"/>
  <c r="J64" i="10"/>
  <c r="N64" i="10"/>
  <c r="I64" i="10"/>
  <c r="P64" i="10" s="1"/>
  <c r="N63" i="10"/>
  <c r="J63" i="10"/>
  <c r="I63" i="10"/>
  <c r="P63" i="10" s="1"/>
  <c r="J62" i="10"/>
  <c r="N62" i="10"/>
  <c r="I62" i="10"/>
  <c r="L62" i="10" s="1"/>
  <c r="M62" i="10" s="1"/>
  <c r="J61" i="10"/>
  <c r="N61" i="10"/>
  <c r="I61" i="10"/>
  <c r="L61" i="10" s="1"/>
  <c r="M61" i="10" s="1"/>
  <c r="N60" i="10"/>
  <c r="J60" i="10"/>
  <c r="I60" i="10"/>
  <c r="P60" i="10" s="1"/>
  <c r="J59" i="10"/>
  <c r="N59" i="10"/>
  <c r="I59" i="10"/>
  <c r="K59" i="10" s="1"/>
  <c r="J58" i="10"/>
  <c r="N58" i="10"/>
  <c r="I58" i="10"/>
  <c r="K58" i="10" s="1"/>
  <c r="A58" i="10"/>
  <c r="C58" i="10" s="1"/>
  <c r="N57" i="10"/>
  <c r="J57" i="10"/>
  <c r="I57" i="10"/>
  <c r="P57" i="10" s="1"/>
  <c r="A57" i="10"/>
  <c r="C57" i="10" s="1"/>
  <c r="J56" i="10"/>
  <c r="N56" i="10"/>
  <c r="I56" i="10"/>
  <c r="L56" i="10" s="1"/>
  <c r="M56" i="10" s="1"/>
  <c r="A56" i="10"/>
  <c r="C56" i="10" s="1"/>
  <c r="J55" i="10"/>
  <c r="N55" i="10"/>
  <c r="I55" i="10"/>
  <c r="L55" i="10" s="1"/>
  <c r="M55" i="10" s="1"/>
  <c r="A55" i="10"/>
  <c r="C55" i="10" s="1"/>
  <c r="N54" i="10"/>
  <c r="J54" i="10"/>
  <c r="I54" i="10"/>
  <c r="P54" i="10" s="1"/>
  <c r="A54" i="10"/>
  <c r="C54" i="10" s="1"/>
  <c r="J53" i="10"/>
  <c r="N53" i="10"/>
  <c r="I53" i="10"/>
  <c r="P53" i="10" s="1"/>
  <c r="A53" i="10"/>
  <c r="C53" i="10" s="1"/>
  <c r="J52" i="10"/>
  <c r="N52" i="10"/>
  <c r="I52" i="10"/>
  <c r="O52" i="10" s="1"/>
  <c r="A52" i="10"/>
  <c r="C52" i="10" s="1"/>
  <c r="N51" i="10"/>
  <c r="J51" i="10"/>
  <c r="I51" i="10"/>
  <c r="P51" i="10" s="1"/>
  <c r="A51" i="10"/>
  <c r="C51" i="10" s="1"/>
  <c r="N50" i="10"/>
  <c r="J50" i="10"/>
  <c r="I50" i="10"/>
  <c r="L50" i="10" s="1"/>
  <c r="M50" i="10" s="1"/>
  <c r="A50" i="10"/>
  <c r="C50" i="10" s="1"/>
  <c r="J49" i="10"/>
  <c r="N49" i="10"/>
  <c r="I49" i="10"/>
  <c r="K49" i="10" s="1"/>
  <c r="A49" i="10"/>
  <c r="C49" i="10" s="1"/>
  <c r="J48" i="10"/>
  <c r="N48" i="10"/>
  <c r="I48" i="10"/>
  <c r="K48" i="10" s="1"/>
  <c r="A48" i="10"/>
  <c r="C48" i="10" s="1"/>
  <c r="J47" i="10"/>
  <c r="N47" i="10"/>
  <c r="I47" i="10"/>
  <c r="P47" i="10" s="1"/>
  <c r="A47" i="10"/>
  <c r="C47" i="10" s="1"/>
  <c r="J46" i="10"/>
  <c r="N46" i="10"/>
  <c r="I46" i="10"/>
  <c r="P46" i="10" s="1"/>
  <c r="A46" i="10"/>
  <c r="C46" i="10" s="1"/>
  <c r="N45" i="10"/>
  <c r="J45" i="10"/>
  <c r="I45" i="10"/>
  <c r="L45" i="10" s="1"/>
  <c r="M45" i="10" s="1"/>
  <c r="A45" i="10"/>
  <c r="C45" i="10" s="1"/>
  <c r="J44" i="10"/>
  <c r="N44" i="10"/>
  <c r="I44" i="10"/>
  <c r="L44" i="10" s="1"/>
  <c r="A44" i="10"/>
  <c r="C44" i="10" s="1"/>
  <c r="N43" i="10"/>
  <c r="J43" i="10"/>
  <c r="I43" i="10"/>
  <c r="K43" i="10" s="1"/>
  <c r="A43" i="10"/>
  <c r="C43" i="10" s="1"/>
  <c r="N42" i="10"/>
  <c r="J42" i="10"/>
  <c r="I42" i="10"/>
  <c r="P42" i="10" s="1"/>
  <c r="A42" i="10"/>
  <c r="C42" i="10" s="1"/>
  <c r="J41" i="10"/>
  <c r="N41" i="10"/>
  <c r="I41" i="10"/>
  <c r="L41" i="10" s="1"/>
  <c r="A41" i="10"/>
  <c r="C41" i="10" s="1"/>
  <c r="N40" i="10"/>
  <c r="J40" i="10"/>
  <c r="I40" i="10"/>
  <c r="L40" i="10" s="1"/>
  <c r="A40" i="10"/>
  <c r="C40" i="10" s="1"/>
  <c r="N39" i="10"/>
  <c r="J39" i="10"/>
  <c r="I39" i="10"/>
  <c r="P39" i="10" s="1"/>
  <c r="A39" i="10"/>
  <c r="C39" i="10" s="1"/>
  <c r="N38" i="10"/>
  <c r="J38" i="10"/>
  <c r="I38" i="10"/>
  <c r="P38" i="10" s="1"/>
  <c r="A38" i="10"/>
  <c r="C38" i="10" s="1"/>
  <c r="J37" i="10"/>
  <c r="N37" i="10"/>
  <c r="I37" i="10"/>
  <c r="K37" i="10" s="1"/>
  <c r="A37" i="10"/>
  <c r="C37" i="10" s="1"/>
  <c r="N36" i="10"/>
  <c r="J36" i="10"/>
  <c r="I36" i="10"/>
  <c r="P36" i="10" s="1"/>
  <c r="A36" i="10"/>
  <c r="C36" i="10" s="1"/>
  <c r="Z35" i="10"/>
  <c r="Z67" i="10"/>
  <c r="Z69" i="10"/>
  <c r="U35" i="10"/>
  <c r="I35" i="10"/>
  <c r="R35" i="10" s="1"/>
  <c r="A35" i="10"/>
  <c r="C35" i="10" s="1"/>
  <c r="U34" i="10"/>
  <c r="N34" i="10"/>
  <c r="J34" i="10"/>
  <c r="I34" i="10"/>
  <c r="R34" i="10" s="1"/>
  <c r="C34" i="10"/>
  <c r="U33" i="10"/>
  <c r="N33" i="10"/>
  <c r="J33" i="10"/>
  <c r="I33" i="10"/>
  <c r="L33" i="10" s="1"/>
  <c r="C33" i="10"/>
  <c r="J32" i="10"/>
  <c r="N32" i="10"/>
  <c r="I32" i="10"/>
  <c r="P32" i="10" s="1"/>
  <c r="A32" i="10"/>
  <c r="C32" i="10" s="1"/>
  <c r="U31" i="10"/>
  <c r="N31" i="10"/>
  <c r="J31" i="10"/>
  <c r="I31" i="10"/>
  <c r="O31" i="10" s="1"/>
  <c r="A31" i="10"/>
  <c r="C31" i="10" s="1"/>
  <c r="U30" i="10"/>
  <c r="N30" i="10"/>
  <c r="J30" i="10"/>
  <c r="I30" i="10"/>
  <c r="P30" i="10" s="1"/>
  <c r="A30" i="10"/>
  <c r="C30" i="10" s="1"/>
  <c r="U29" i="10"/>
  <c r="J29" i="10"/>
  <c r="N29" i="10"/>
  <c r="I29" i="10"/>
  <c r="L29" i="10" s="1"/>
  <c r="A29" i="10"/>
  <c r="C29" i="10" s="1"/>
  <c r="N28" i="10"/>
  <c r="J28" i="10"/>
  <c r="I28" i="10"/>
  <c r="L28" i="10" s="1"/>
  <c r="A28" i="10"/>
  <c r="C28" i="10" s="1"/>
  <c r="U27" i="10"/>
  <c r="J27" i="10"/>
  <c r="N27" i="10"/>
  <c r="I27" i="10"/>
  <c r="L27" i="10" s="1"/>
  <c r="C27" i="10"/>
  <c r="N26" i="10"/>
  <c r="J26" i="10"/>
  <c r="I26" i="10"/>
  <c r="R26" i="10" s="1"/>
  <c r="A26" i="10"/>
  <c r="C26" i="10" s="1"/>
  <c r="U25" i="10"/>
  <c r="J25" i="10"/>
  <c r="N25" i="10"/>
  <c r="I25" i="10"/>
  <c r="K25" i="10" s="1"/>
  <c r="A25" i="10"/>
  <c r="C25" i="10" s="1"/>
  <c r="AD24" i="10"/>
  <c r="AD1" i="10"/>
  <c r="U24" i="10"/>
  <c r="N24" i="10"/>
  <c r="J24" i="10"/>
  <c r="I24" i="10"/>
  <c r="K24" i="10" s="1"/>
  <c r="A24" i="10"/>
  <c r="C24" i="10" s="1"/>
  <c r="J23" i="10"/>
  <c r="N23" i="10"/>
  <c r="I23" i="10"/>
  <c r="L23" i="10" s="1"/>
  <c r="A23" i="10"/>
  <c r="C23" i="10" s="1"/>
  <c r="J22" i="10"/>
  <c r="N22" i="10"/>
  <c r="I22" i="10"/>
  <c r="O22" i="10" s="1"/>
  <c r="A22" i="10"/>
  <c r="C22" i="10" s="1"/>
  <c r="U21" i="10"/>
  <c r="J21" i="10"/>
  <c r="N21" i="10"/>
  <c r="I21" i="10"/>
  <c r="L21" i="10" s="1"/>
  <c r="A21" i="10"/>
  <c r="C21" i="10" s="1"/>
  <c r="J20" i="10"/>
  <c r="N20" i="10"/>
  <c r="I20" i="10"/>
  <c r="O20" i="10" s="1"/>
  <c r="A20" i="10"/>
  <c r="C20" i="10" s="1"/>
  <c r="J19" i="10"/>
  <c r="N19" i="10"/>
  <c r="I19" i="10"/>
  <c r="P19" i="10" s="1"/>
  <c r="A19" i="10"/>
  <c r="C19" i="10" s="1"/>
  <c r="U18" i="10"/>
  <c r="N18" i="10"/>
  <c r="J18" i="10"/>
  <c r="I18" i="10"/>
  <c r="R18" i="10" s="1"/>
  <c r="A18" i="10"/>
  <c r="C18" i="10" s="1"/>
  <c r="U17" i="10"/>
  <c r="J17" i="10"/>
  <c r="N17" i="10"/>
  <c r="I17" i="10"/>
  <c r="K17" i="10" s="1"/>
  <c r="A17" i="10"/>
  <c r="C17" i="10" s="1"/>
  <c r="J16" i="10"/>
  <c r="N16" i="10"/>
  <c r="I16" i="10"/>
  <c r="O16" i="10" s="1"/>
  <c r="L16" i="10"/>
  <c r="AQ16" i="10" s="1"/>
  <c r="A16" i="10"/>
  <c r="C16" i="10" s="1"/>
  <c r="U15" i="10"/>
  <c r="J15" i="10"/>
  <c r="N15" i="10"/>
  <c r="I15" i="10"/>
  <c r="R15" i="10" s="1"/>
  <c r="A15" i="10"/>
  <c r="C15" i="10" s="1"/>
  <c r="X14" i="10"/>
  <c r="U14" i="10"/>
  <c r="N14" i="10"/>
  <c r="J14" i="10"/>
  <c r="I14" i="10"/>
  <c r="R14" i="10" s="1"/>
  <c r="A14" i="10"/>
  <c r="C14" i="10" s="1"/>
  <c r="N13" i="10"/>
  <c r="J13" i="10"/>
  <c r="I13" i="10"/>
  <c r="K13" i="10" s="1"/>
  <c r="A13" i="10"/>
  <c r="C13" i="10" s="1"/>
  <c r="U12" i="10"/>
  <c r="J12" i="10"/>
  <c r="N12" i="10"/>
  <c r="I12" i="10"/>
  <c r="K12" i="10" s="1"/>
  <c r="A12" i="10"/>
  <c r="C12" i="10" s="1"/>
  <c r="N11" i="10"/>
  <c r="J11" i="10"/>
  <c r="I11" i="10"/>
  <c r="L11" i="10" s="1"/>
  <c r="A11" i="10"/>
  <c r="C11" i="10" s="1"/>
  <c r="U10" i="10"/>
  <c r="J10" i="10"/>
  <c r="N10" i="10"/>
  <c r="I10" i="10"/>
  <c r="O10" i="10" s="1"/>
  <c r="A10" i="10"/>
  <c r="C10" i="10" s="1"/>
  <c r="U9" i="10"/>
  <c r="N9" i="10"/>
  <c r="J9" i="10"/>
  <c r="I9" i="10"/>
  <c r="R9" i="10" s="1"/>
  <c r="C9" i="10"/>
  <c r="N8" i="10"/>
  <c r="J8" i="10"/>
  <c r="I8" i="10"/>
  <c r="L8" i="10" s="1"/>
  <c r="A8" i="10"/>
  <c r="C8" i="10" s="1"/>
  <c r="U7" i="10"/>
  <c r="J7" i="10"/>
  <c r="N7" i="10"/>
  <c r="I7" i="10"/>
  <c r="R7" i="10" s="1"/>
  <c r="C7" i="10"/>
  <c r="N6" i="10"/>
  <c r="J6" i="10"/>
  <c r="I6" i="10"/>
  <c r="O6" i="10" s="1"/>
  <c r="A6" i="10"/>
  <c r="C6" i="10" s="1"/>
  <c r="J5" i="10"/>
  <c r="N5" i="10"/>
  <c r="I5" i="10"/>
  <c r="L5" i="10" s="1"/>
  <c r="A5" i="10"/>
  <c r="C5" i="10" s="1"/>
  <c r="X4" i="10"/>
  <c r="X67" i="10"/>
  <c r="X69" i="10"/>
  <c r="U4" i="10"/>
  <c r="N4" i="10"/>
  <c r="J4" i="10"/>
  <c r="I4" i="10"/>
  <c r="L4" i="10" s="1"/>
  <c r="A4" i="10"/>
  <c r="C4" i="10" s="1"/>
  <c r="U3" i="10"/>
  <c r="J3" i="10"/>
  <c r="I3" i="10"/>
  <c r="R3" i="10" s="1"/>
  <c r="A3" i="10"/>
  <c r="C3" i="10" s="1"/>
  <c r="AP1" i="10"/>
  <c r="AO1" i="10"/>
  <c r="AN1" i="10"/>
  <c r="AM1" i="10"/>
  <c r="AL1" i="10"/>
  <c r="AK1" i="10"/>
  <c r="AJ1" i="10"/>
  <c r="AI1" i="10"/>
  <c r="AH1" i="10"/>
  <c r="AG1" i="10"/>
  <c r="AF1" i="10"/>
  <c r="AE1" i="10"/>
  <c r="AC1" i="10"/>
  <c r="AB1" i="10"/>
  <c r="AA1" i="10"/>
  <c r="Y1" i="10"/>
  <c r="X1" i="10"/>
  <c r="W1" i="10"/>
  <c r="V1" i="10"/>
  <c r="T1" i="10"/>
  <c r="S1" i="10"/>
  <c r="L10" i="12"/>
  <c r="U41" i="12"/>
  <c r="U93" i="12"/>
  <c r="I10" i="12"/>
  <c r="U53" i="12"/>
  <c r="M10" i="12"/>
  <c r="U102" i="12"/>
  <c r="U37" i="12"/>
  <c r="U20" i="12"/>
  <c r="U58" i="12"/>
  <c r="U62" i="12"/>
  <c r="U59" i="12"/>
  <c r="U96" i="12"/>
  <c r="U42" i="12"/>
  <c r="U51" i="12"/>
  <c r="U78" i="12"/>
  <c r="U95" i="12"/>
  <c r="U85" i="12"/>
  <c r="U101" i="12"/>
  <c r="U60" i="12"/>
  <c r="H10" i="12"/>
  <c r="U84" i="12"/>
  <c r="U89" i="12"/>
  <c r="U25" i="12"/>
  <c r="U43" i="12"/>
  <c r="U91" i="12"/>
  <c r="U94" i="12"/>
  <c r="U82" i="12"/>
  <c r="U24" i="12"/>
  <c r="U81" i="12"/>
  <c r="U70" i="12"/>
  <c r="U87" i="12"/>
  <c r="U99" i="12"/>
  <c r="U79" i="12"/>
  <c r="U28" i="12"/>
  <c r="U68" i="12"/>
  <c r="U77" i="12"/>
  <c r="U52" i="12"/>
  <c r="U54" i="12"/>
  <c r="U17" i="12"/>
  <c r="U80" i="12"/>
  <c r="U92" i="12"/>
  <c r="U33" i="12"/>
  <c r="U64" i="12"/>
  <c r="U65" i="12"/>
  <c r="U34" i="12"/>
  <c r="U66" i="12"/>
  <c r="U73" i="12"/>
  <c r="U61" i="12"/>
  <c r="U88" i="12"/>
  <c r="U18" i="12"/>
  <c r="U83" i="12"/>
  <c r="U57" i="12"/>
  <c r="U56" i="12"/>
  <c r="U39" i="12"/>
  <c r="U76" i="12"/>
  <c r="U103" i="12"/>
  <c r="U31" i="12"/>
  <c r="U46" i="12"/>
  <c r="U75" i="12"/>
  <c r="U48" i="12"/>
  <c r="U50" i="12"/>
  <c r="U32" i="12"/>
  <c r="U47" i="12"/>
  <c r="U15" i="12"/>
  <c r="U38" i="12"/>
  <c r="U45" i="12"/>
  <c r="U69" i="12"/>
  <c r="U100" i="12"/>
  <c r="K10" i="12"/>
  <c r="U98" i="12"/>
  <c r="U40" i="12"/>
  <c r="J10" i="12"/>
  <c r="U86" i="12"/>
  <c r="N10" i="12"/>
  <c r="U19" i="12"/>
  <c r="U27" i="12"/>
  <c r="O10" i="12"/>
  <c r="U29" i="12"/>
  <c r="U67" i="12"/>
  <c r="U74" i="12"/>
  <c r="U72" i="12"/>
  <c r="U90" i="12"/>
  <c r="G10" i="12"/>
  <c r="S9" i="12"/>
  <c r="E10" i="12"/>
  <c r="F10" i="12"/>
  <c r="J67" i="10"/>
  <c r="P16" i="10"/>
  <c r="R16" i="10"/>
  <c r="K65" i="10"/>
  <c r="P61" i="10"/>
  <c r="AD67" i="10"/>
  <c r="AD69" i="10"/>
  <c r="Z1" i="10"/>
  <c r="N3" i="10"/>
  <c r="K16" i="10"/>
  <c r="J35" i="10"/>
  <c r="B10" i="12"/>
  <c r="B12" i="12"/>
  <c r="N35" i="10"/>
  <c r="N67" i="10"/>
  <c r="A59" i="10"/>
  <c r="C59" i="10" s="1"/>
  <c r="A63" i="10"/>
  <c r="C63" i="10" s="1"/>
  <c r="A61" i="10"/>
  <c r="C61" i="10" s="1"/>
  <c r="A60" i="10"/>
  <c r="C60" i="10" s="1"/>
  <c r="A62" i="10"/>
  <c r="C62" i="10" s="1"/>
  <c r="A65" i="10"/>
  <c r="C65" i="10" s="1"/>
  <c r="A64" i="10"/>
  <c r="C64" i="10" s="1"/>
  <c r="A66" i="10"/>
  <c r="C66" i="10" s="1"/>
  <c r="O34" i="10" l="1"/>
  <c r="P34" i="10"/>
  <c r="O65" i="10"/>
  <c r="O61" i="10"/>
  <c r="K34" i="10"/>
  <c r="L53" i="10"/>
  <c r="M53" i="10" s="1"/>
  <c r="P52" i="10"/>
  <c r="K61" i="10"/>
  <c r="O58" i="10"/>
  <c r="L52" i="10"/>
  <c r="M52" i="10" s="1"/>
  <c r="K52" i="10"/>
  <c r="L47" i="10"/>
  <c r="M47" i="10" s="1"/>
  <c r="K66" i="10"/>
  <c r="L65" i="10"/>
  <c r="M65" i="10" s="1"/>
  <c r="P48" i="10"/>
  <c r="K62" i="10"/>
  <c r="O51" i="10"/>
  <c r="O48" i="10"/>
  <c r="K45" i="10"/>
  <c r="K57" i="10"/>
  <c r="L57" i="10"/>
  <c r="M57" i="10" s="1"/>
  <c r="L36" i="10"/>
  <c r="AQ36" i="10" s="1"/>
  <c r="O39" i="10"/>
  <c r="O26" i="10"/>
  <c r="O54" i="10"/>
  <c r="O62" i="10"/>
  <c r="S22" i="12"/>
  <c r="U22" i="12" s="1"/>
  <c r="U67" i="10"/>
  <c r="V69" i="10" s="1"/>
  <c r="K50" i="10"/>
  <c r="P58" i="10"/>
  <c r="L58" i="10"/>
  <c r="M58" i="10" s="1"/>
  <c r="O66" i="10"/>
  <c r="O57" i="10"/>
  <c r="K46" i="10"/>
  <c r="O18" i="10"/>
  <c r="O50" i="10"/>
  <c r="K35" i="10"/>
  <c r="L30" i="10"/>
  <c r="M30" i="10" s="1"/>
  <c r="K64" i="10"/>
  <c r="L35" i="10"/>
  <c r="AQ35" i="10" s="1"/>
  <c r="K54" i="10"/>
  <c r="L66" i="10"/>
  <c r="M66" i="10" s="1"/>
  <c r="L59" i="10"/>
  <c r="M59" i="10" s="1"/>
  <c r="P59" i="10"/>
  <c r="L37" i="10"/>
  <c r="AQ37" i="10" s="1"/>
  <c r="L26" i="10"/>
  <c r="M26" i="10" s="1"/>
  <c r="K5" i="10"/>
  <c r="L39" i="10"/>
  <c r="AQ39" i="10" s="1"/>
  <c r="P37" i="10"/>
  <c r="K53" i="10"/>
  <c r="O37" i="10"/>
  <c r="O53" i="10"/>
  <c r="O56" i="10"/>
  <c r="P56" i="10"/>
  <c r="P50" i="10"/>
  <c r="P44" i="10"/>
  <c r="K39" i="10"/>
  <c r="R31" i="10"/>
  <c r="K55" i="10"/>
  <c r="L46" i="10"/>
  <c r="M46" i="10" s="1"/>
  <c r="P55" i="10"/>
  <c r="L48" i="10"/>
  <c r="M48" i="10" s="1"/>
  <c r="O44" i="10"/>
  <c r="R38" i="10"/>
  <c r="K56" i="10"/>
  <c r="K26" i="10"/>
  <c r="O46" i="10"/>
  <c r="K38" i="10"/>
  <c r="U1" i="10"/>
  <c r="Q23" i="12"/>
  <c r="Q16" i="12"/>
  <c r="P4" i="12"/>
  <c r="Q4" i="12" s="1"/>
  <c r="S71" i="12"/>
  <c r="U71" i="12" s="1"/>
  <c r="S55" i="12"/>
  <c r="U55" i="12" s="1"/>
  <c r="Q44" i="12"/>
  <c r="Q63" i="12"/>
  <c r="Q36" i="12"/>
  <c r="S30" i="12"/>
  <c r="U30" i="12" s="1"/>
  <c r="Q21" i="12"/>
  <c r="P7" i="12"/>
  <c r="Q7" i="12" s="1"/>
  <c r="P5" i="12"/>
  <c r="S5" i="12" s="1"/>
  <c r="U5" i="12" s="1"/>
  <c r="P6" i="12"/>
  <c r="S49" i="12"/>
  <c r="U49" i="12" s="1"/>
  <c r="T9" i="12"/>
  <c r="S8" i="12"/>
  <c r="U8" i="12" s="1"/>
  <c r="Q26" i="12"/>
  <c r="O15" i="10"/>
  <c r="K23" i="10"/>
  <c r="O36" i="10"/>
  <c r="M16" i="10"/>
  <c r="O43" i="10"/>
  <c r="O60" i="10"/>
  <c r="K19" i="10"/>
  <c r="L64" i="10"/>
  <c r="M64" i="10" s="1"/>
  <c r="O59" i="10"/>
  <c r="P12" i="10"/>
  <c r="K36" i="10"/>
  <c r="P27" i="10"/>
  <c r="L38" i="10"/>
  <c r="M38" i="10" s="1"/>
  <c r="P40" i="10"/>
  <c r="O49" i="10"/>
  <c r="K63" i="10"/>
  <c r="K60" i="10"/>
  <c r="L32" i="10"/>
  <c r="AQ32" i="10" s="1"/>
  <c r="O64" i="10"/>
  <c r="R25" i="10"/>
  <c r="O63" i="10"/>
  <c r="L63" i="10"/>
  <c r="M63" i="10" s="1"/>
  <c r="R19" i="10"/>
  <c r="L60" i="10"/>
  <c r="M60" i="10" s="1"/>
  <c r="K29" i="10"/>
  <c r="P28" i="10"/>
  <c r="K42" i="10"/>
  <c r="P41" i="10"/>
  <c r="L42" i="10"/>
  <c r="AQ42" i="10" s="1"/>
  <c r="O41" i="10"/>
  <c r="O29" i="10"/>
  <c r="L34" i="10"/>
  <c r="AQ34" i="10" s="1"/>
  <c r="O28" i="10"/>
  <c r="P43" i="10"/>
  <c r="L7" i="10"/>
  <c r="AQ7" i="10" s="1"/>
  <c r="O42" i="10"/>
  <c r="AQ44" i="10"/>
  <c r="M44" i="10"/>
  <c r="P23" i="10"/>
  <c r="O21" i="10"/>
  <c r="O8" i="10"/>
  <c r="P14" i="10"/>
  <c r="K27" i="10"/>
  <c r="K33" i="10"/>
  <c r="P8" i="10"/>
  <c r="K22" i="10"/>
  <c r="L51" i="10"/>
  <c r="M51" i="10" s="1"/>
  <c r="R29" i="10"/>
  <c r="P29" i="10"/>
  <c r="P62" i="10"/>
  <c r="K32" i="10"/>
  <c r="O5" i="10"/>
  <c r="K8" i="10"/>
  <c r="O55" i="10"/>
  <c r="K21" i="10"/>
  <c r="K44" i="10"/>
  <c r="O32" i="10"/>
  <c r="P25" i="10"/>
  <c r="L54" i="10"/>
  <c r="M54" i="10" s="1"/>
  <c r="O19" i="10"/>
  <c r="K51" i="10"/>
  <c r="O4" i="10"/>
  <c r="P17" i="10"/>
  <c r="L18" i="10"/>
  <c r="M18" i="10" s="1"/>
  <c r="R30" i="10"/>
  <c r="O12" i="10"/>
  <c r="L43" i="10"/>
  <c r="K15" i="10"/>
  <c r="L12" i="10"/>
  <c r="M12" i="10" s="1"/>
  <c r="L9" i="10"/>
  <c r="P49" i="10"/>
  <c r="K40" i="10"/>
  <c r="O38" i="10"/>
  <c r="L49" i="10"/>
  <c r="M49" i="10" s="1"/>
  <c r="L3" i="10"/>
  <c r="O3" i="10"/>
  <c r="P7" i="10"/>
  <c r="P3" i="10"/>
  <c r="O40" i="10"/>
  <c r="K30" i="10"/>
  <c r="L19" i="10"/>
  <c r="R10" i="10"/>
  <c r="P9" i="10"/>
  <c r="R4" i="10"/>
  <c r="O9" i="10"/>
  <c r="M21" i="10"/>
  <c r="AQ21" i="10"/>
  <c r="P4" i="10"/>
  <c r="K41" i="10"/>
  <c r="K18" i="10"/>
  <c r="P15" i="10"/>
  <c r="P26" i="10"/>
  <c r="L14" i="10"/>
  <c r="M14" i="10" s="1"/>
  <c r="O17" i="10"/>
  <c r="O25" i="10"/>
  <c r="O27" i="10"/>
  <c r="L22" i="10"/>
  <c r="M22" i="10" s="1"/>
  <c r="O14" i="10"/>
  <c r="P18" i="10"/>
  <c r="K9" i="10"/>
  <c r="R12" i="10"/>
  <c r="K7" i="10"/>
  <c r="L15" i="10"/>
  <c r="R27" i="10"/>
  <c r="P21" i="10"/>
  <c r="P5" i="10"/>
  <c r="O7" i="10"/>
  <c r="K4" i="10"/>
  <c r="K3" i="10"/>
  <c r="AQ11" i="10"/>
  <c r="M11" i="10"/>
  <c r="AQ29" i="10"/>
  <c r="M29" i="10"/>
  <c r="M5" i="10"/>
  <c r="AQ5" i="10"/>
  <c r="AQ27" i="10"/>
  <c r="M27" i="10"/>
  <c r="M41" i="10"/>
  <c r="AQ41" i="10"/>
  <c r="M8" i="10"/>
  <c r="AQ8" i="10"/>
  <c r="AQ23" i="10"/>
  <c r="M23" i="10"/>
  <c r="AQ28" i="10"/>
  <c r="M28" i="10"/>
  <c r="AQ33" i="10"/>
  <c r="M33" i="10"/>
  <c r="M4" i="10"/>
  <c r="AQ4" i="10"/>
  <c r="AQ40" i="10"/>
  <c r="M40" i="10"/>
  <c r="R13" i="10"/>
  <c r="P20" i="10"/>
  <c r="M35" i="10"/>
  <c r="L31" i="10"/>
  <c r="P24" i="10"/>
  <c r="L24" i="10"/>
  <c r="O47" i="10"/>
  <c r="L25" i="10"/>
  <c r="P35" i="10"/>
  <c r="K10" i="10"/>
  <c r="O33" i="10"/>
  <c r="K47" i="10"/>
  <c r="O13" i="10"/>
  <c r="L13" i="10"/>
  <c r="P33" i="10"/>
  <c r="K31" i="10"/>
  <c r="P22" i="10"/>
  <c r="O35" i="10"/>
  <c r="L6" i="10"/>
  <c r="R22" i="10"/>
  <c r="O30" i="10"/>
  <c r="O24" i="10"/>
  <c r="K6" i="10"/>
  <c r="K11" i="10"/>
  <c r="I67" i="10"/>
  <c r="P6" i="10"/>
  <c r="R20" i="10"/>
  <c r="K28" i="10"/>
  <c r="P11" i="10"/>
  <c r="L20" i="10"/>
  <c r="R33" i="10"/>
  <c r="P31" i="10"/>
  <c r="P45" i="10"/>
  <c r="K20" i="10"/>
  <c r="O23" i="10"/>
  <c r="O11" i="10"/>
  <c r="P13" i="10"/>
  <c r="P10" i="10"/>
  <c r="L10" i="10"/>
  <c r="R17" i="10"/>
  <c r="L17" i="10"/>
  <c r="O45" i="10"/>
  <c r="K14" i="10"/>
  <c r="M36" i="10" l="1"/>
  <c r="AQ18" i="10"/>
  <c r="AQ30" i="10"/>
  <c r="M37" i="10"/>
  <c r="AQ38" i="10"/>
  <c r="M39" i="10"/>
  <c r="AQ26" i="10"/>
  <c r="AQ22" i="10"/>
  <c r="M32" i="10"/>
  <c r="S4" i="12"/>
  <c r="U4" i="12" s="1"/>
  <c r="P10" i="12"/>
  <c r="Q10" i="12" s="1"/>
  <c r="Q5" i="12"/>
  <c r="S7" i="12"/>
  <c r="U7" i="12" s="1"/>
  <c r="U9" i="12"/>
  <c r="T10" i="12"/>
  <c r="S6" i="12"/>
  <c r="Q6" i="12"/>
  <c r="M42" i="10"/>
  <c r="AQ14" i="10"/>
  <c r="M34" i="10"/>
  <c r="M7" i="10"/>
  <c r="L67" i="10"/>
  <c r="M67" i="10" s="1"/>
  <c r="M43" i="10"/>
  <c r="AQ43" i="10"/>
  <c r="AQ12" i="10"/>
  <c r="M19" i="10"/>
  <c r="AQ19" i="10"/>
  <c r="AQ3" i="10"/>
  <c r="M3" i="10"/>
  <c r="AQ9" i="10"/>
  <c r="M9" i="10"/>
  <c r="M15" i="10"/>
  <c r="AQ15" i="10"/>
  <c r="P67" i="10"/>
  <c r="R67" i="10"/>
  <c r="M25" i="10"/>
  <c r="AQ25" i="10"/>
  <c r="O67" i="10"/>
  <c r="K67" i="10"/>
  <c r="M13" i="10"/>
  <c r="AQ13" i="10"/>
  <c r="AQ31" i="10"/>
  <c r="M31" i="10"/>
  <c r="M10" i="10"/>
  <c r="AQ10" i="10"/>
  <c r="M24" i="10"/>
  <c r="AQ24" i="10"/>
  <c r="M17" i="10"/>
  <c r="AQ17" i="10"/>
  <c r="AQ20" i="10"/>
  <c r="M20" i="10"/>
  <c r="M6" i="10"/>
  <c r="AQ6" i="10"/>
  <c r="U6" i="12" l="1"/>
  <c r="S10" i="12"/>
  <c r="U10" i="12" l="1"/>
  <c r="V6" i="12" s="1"/>
  <c r="V4" i="12" l="1"/>
  <c r="V8" i="12"/>
  <c r="V7" i="12"/>
  <c r="V5"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tc={5D1227FE-70C8-422D-A081-CC1E0460CD26}</author>
    <author>tc={4F32C6B4-8B4B-4A2B-952C-3FFE32681257}</author>
    <author>tc={24255DD7-71F8-43EB-9BBC-050858707A10}</author>
    <author>tc={1D4D5153-1D2C-448B-8E3E-158C05C788B9}</author>
    <author>Eduardo Cuevas</author>
    <author>tc={63457111-D4DB-42CF-B002-9855C17CC2FC}</author>
    <author>tc={7E5EB38F-396E-420C-B120-C10259B49A8E}</author>
  </authors>
  <commentList>
    <comment ref="N80" authorId="0" shapeId="0" xr:uid="{5D1227FE-70C8-422D-A081-CC1E0460CD26}">
      <text>
        <t>[Comentario encadenado]
Su versión de Excel le permite leer este comentario encadenado; sin embargo, las ediciones que se apliquen se quitarán si el archivo se abre en una versión más reciente de Excel. Más información: https://go.microsoft.com/fwlink/?linkid=870924
Comentario:
    Antes 23.599</t>
      </text>
    </comment>
    <comment ref="N81" authorId="1" shapeId="0" xr:uid="{4F32C6B4-8B4B-4A2B-952C-3FFE32681257}">
      <text>
        <t>[Comentario encadenado]
Su versión de Excel le permite leer este comentario encadenado; sin embargo, las ediciones que se apliquen se quitarán si el archivo se abre en una versión más reciente de Excel. Más información: https://go.microsoft.com/fwlink/?linkid=870924
Comentario:
    Antes 30.544</t>
      </text>
    </comment>
    <comment ref="O127" authorId="2" shapeId="0" xr:uid="{24255DD7-71F8-43EB-9BBC-050858707A10}">
      <text>
        <t>[Comentario encadenado]
Su versión de Excel le permite leer este comentario encadenado; sin embargo, las ediciones que se apliquen se quitarán si el archivo se abre en una versión más reciente de Excel. Más información: https://go.microsoft.com/fwlink/?linkid=870924
Comentario:
    Reemplazan facturas anteriores dado que cliente indica rechazo de ellas.</t>
      </text>
    </comment>
    <comment ref="N278" authorId="3" shapeId="0" xr:uid="{1D4D5153-1D2C-448B-8E3E-158C05C788B9}">
      <text>
        <t>[Comentario encadenado]
Su versión de Excel le permite leer este comentario encadenado; sin embargo, las ediciones que se apliquen se quitarán si el archivo se abre en una versión más reciente de Excel. Más información: https://go.microsoft.com/fwlink/?linkid=870924
Comentario:
    Monto no está en POM2024, es una emisión de USA, desconozco a que corresponde</t>
      </text>
    </comment>
    <comment ref="U297" authorId="4" shapeId="0" xr:uid="{8444D16C-1EEC-4E43-B8DE-B2FDF3A5D507}">
      <text>
        <r>
          <rPr>
            <b/>
            <sz val="9"/>
            <color indexed="81"/>
            <rFont val="Tahoma"/>
            <family val="2"/>
          </rPr>
          <t>Eduardo Cuevas:</t>
        </r>
        <r>
          <rPr>
            <sz val="9"/>
            <color indexed="81"/>
            <rFont val="Tahoma"/>
            <family val="2"/>
          </rPr>
          <t xml:space="preserve">
Pagada a finales de mayo 2024</t>
        </r>
      </text>
    </comment>
    <comment ref="D406" authorId="5" shapeId="0" xr:uid="{63457111-D4DB-42CF-B002-9855C17CC2FC}">
      <text>
        <t>[Comentario encadenado]
Su versión de Excel le permite leer este comentario encadenado; sin embargo, las ediciones que se apliquen se quitarán si el archivo se abre en una versión más reciente de Excel. Más información: https://go.microsoft.com/fwlink/?linkid=870924
Comentario:
    @Eduardo Cuevas @Jessica Rojas es el nuevoe proyecto, cambiar el nombre lo cual se le considerará en el teams</t>
      </text>
    </comment>
    <comment ref="U452" authorId="4" shapeId="0" xr:uid="{2E59EC64-6113-45A1-BE9F-5BA61DC1F1F8}">
      <text>
        <r>
          <rPr>
            <b/>
            <sz val="9"/>
            <color indexed="81"/>
            <rFont val="Tahoma"/>
            <family val="2"/>
          </rPr>
          <t>Eduardo Cuevas:</t>
        </r>
        <r>
          <rPr>
            <sz val="9"/>
            <color indexed="81"/>
            <rFont val="Tahoma"/>
            <family val="2"/>
          </rPr>
          <t xml:space="preserve">
Corresponde a las despensas reembolsables de los BM 2,3 y 7</t>
        </r>
      </text>
    </comment>
    <comment ref="P462" authorId="6" shapeId="0" xr:uid="{7E5EB38F-396E-420C-B120-C10259B49A8E}">
      <text>
        <t>[Comentario encadenado]
Su versión de Excel le permite leer este comentario encadenado; sin embargo, las ediciones que se apliquen se quitarán si el archivo se abre en una versión más reciente de Excel. Más información: https://go.microsoft.com/fwlink/?linkid=870924
Comentario:
    Facturacion real el 22/07 pero no se habia reportado con ese nivel de detalle. EC con licencia, CF de vacaciones.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Eduardo Cuevas</author>
    <author>tc={53529F7A-6EA2-49A4-A5DF-46AC2F70FEB4}</author>
    <author>tc={D2E809E4-9A64-4C8C-B4A3-1FE6E88A727A}</author>
    <author>tc={7905E4E4-8189-4067-96F4-AB78364D79C8}</author>
    <author>tc={11A73720-38DA-46D2-8DDC-BB25169E3EC5}</author>
    <author>RA</author>
    <author>tc={B1CE742E-AB40-4E8B-B187-F2852B0282F4}</author>
    <author>tc={14C878DB-3C2F-4E89-974F-B4BA6AD809A8}</author>
    <author>tc={5C1A5565-1CD8-4A5D-B3F1-81EF635E2A0D}</author>
    <author>tc={9E0A40CD-F43A-4F80-97BA-1356F34F06FE}</author>
    <author>tc={211C436D-54DD-436E-8D5E-25E5744A84A9}</author>
    <author>tc={E9FF0E66-3442-4950-8EAC-62855B7D88A2}</author>
    <author>tc={2939204E-B996-4F5B-857C-66AD47A4804C}</author>
    <author>tc={E45FF2D4-2FB0-45E6-9C90-95DEB42D5F80}</author>
    <author>tc={9C2CFE88-3454-4A2B-B7D1-0D47079401CE}</author>
  </authors>
  <commentList>
    <comment ref="X4" authorId="0" shapeId="0" xr:uid="{EB1F3538-D26E-415A-AEEB-9EF625CFCE43}">
      <text>
        <r>
          <rPr>
            <b/>
            <sz val="9"/>
            <color indexed="81"/>
            <rFont val="Tahoma"/>
            <family val="2"/>
          </rPr>
          <t>Eduardo Cuevas:</t>
        </r>
        <r>
          <rPr>
            <sz val="9"/>
            <color indexed="81"/>
            <rFont val="Tahoma"/>
            <family val="2"/>
          </rPr>
          <t xml:space="preserve">
Emitido por FR el 06/03/25 + 31/03 emitido por RB EDP 3</t>
        </r>
      </text>
    </comment>
    <comment ref="V8" authorId="0" shapeId="0" xr:uid="{715F6674-DF98-4AC5-9275-66FF2BF92C7B}">
      <text>
        <r>
          <rPr>
            <b/>
            <sz val="9"/>
            <color indexed="81"/>
            <rFont val="Tahoma"/>
            <family val="2"/>
          </rPr>
          <t>Eduardo Cuevas:</t>
        </r>
        <r>
          <rPr>
            <sz val="9"/>
            <color indexed="81"/>
            <rFont val="Tahoma"/>
            <family val="2"/>
          </rPr>
          <t xml:space="preserve">
Inicialmente se había considerado el monto por el total del proyecto por 34,2 kUS$</t>
        </r>
      </text>
    </comment>
    <comment ref="V15" authorId="0" shapeId="0" xr:uid="{5E468E6F-F5F5-4DBB-9C8B-2ABC1BD6BF93}">
      <text>
        <r>
          <rPr>
            <b/>
            <sz val="9"/>
            <color indexed="81"/>
            <rFont val="Tahoma"/>
            <family val="2"/>
          </rPr>
          <t>Eduardo Cuevas:</t>
        </r>
        <r>
          <rPr>
            <sz val="9"/>
            <color indexed="81"/>
            <rFont val="Tahoma"/>
            <family val="2"/>
          </rPr>
          <t xml:space="preserve">
Primer monto considerado por 99 kUS$ era erroneo por parte del DP</t>
        </r>
      </text>
    </comment>
    <comment ref="I16" authorId="1" shapeId="0" xr:uid="{53529F7A-6EA2-49A4-A5DF-46AC2F70FEB4}">
      <text>
        <t>[Comentario encadenado]
Su versión de Excel le permite leer este comentario encadenado; sin embargo, las ediciones que se apliquen se quitarán si el archivo se abre en una versión más reciente de Excel. Más información: https://go.microsoft.com/fwlink/?linkid=870924
Comentario:
    Monto contrato 67k + SDC 24 k
Respuesta:
    Se actualiza monto a 48.710,16</t>
      </text>
    </comment>
    <comment ref="Z16" authorId="2" shapeId="0" xr:uid="{D2E809E4-9A64-4C8C-B4A3-1FE6E88A727A}">
      <text>
        <t>[Comentario encadenado]
Su versión de Excel le permite leer este comentario encadenado; sin embargo, las ediciones que se apliquen se quitarán si el archivo se abre en una versión más reciente de Excel. Más información: https://go.microsoft.com/fwlink/?linkid=870924
Comentario:
    Cliente genera una nueva OC en julio 2025 para ejercicios adicionales al proyecto base. Parte de esos ejercicios habían sido cobrados en este EDP, pero en julio se emite el EDEP correspondiente.</t>
      </text>
    </comment>
    <comment ref="I17" authorId="3" shapeId="0" xr:uid="{7905E4E4-8189-4067-96F4-AB78364D79C8}">
      <text>
        <t>[Comentario encadenado]
Su versión de Excel le permite leer este comentario encadenado; sin embargo, las ediciones que se apliquen se quitarán si el archivo se abre en una versión más reciente de Excel. Más información: https://go.microsoft.com/fwlink/?linkid=870924
Comentario:
    21.289 UF</t>
      </text>
    </comment>
    <comment ref="X21" authorId="4" shapeId="0" xr:uid="{11A73720-38DA-46D2-8DDC-BB25169E3EC5}">
      <text>
        <t>[Comentario encadenado]
Su versión de Excel le permite leer este comentario encadenado; sin embargo, las ediciones que se apliquen se quitarán si el archivo se abre en una versión más reciente de Excel. Más información: https://go.microsoft.com/fwlink/?linkid=870924
Comentario:
    Anterior 89.184 USD</t>
      </text>
    </comment>
    <comment ref="Z21" authorId="0" shapeId="0" xr:uid="{A82BED92-A8CF-4427-90FA-42AE6AFF3E01}">
      <text>
        <r>
          <rPr>
            <b/>
            <sz val="9"/>
            <color indexed="81"/>
            <rFont val="Tahoma"/>
            <family val="2"/>
          </rPr>
          <t>Eduardo Cuevas:</t>
        </r>
        <r>
          <rPr>
            <sz val="9"/>
            <color indexed="81"/>
            <rFont val="Tahoma"/>
            <family val="2"/>
          </rPr>
          <t xml:space="preserve">
EDP inicial por 69 kUSD emitido en abril. A solicitud de cliente se incorporan adicionales por 11 kUSD. Nueva emisión en junio 25</t>
        </r>
      </text>
    </comment>
    <comment ref="AD21" authorId="5" shapeId="0" xr:uid="{75F0CD6F-2E73-421F-9D42-45D862B8C134}">
      <text>
        <r>
          <rPr>
            <b/>
            <sz val="9"/>
            <color indexed="81"/>
            <rFont val="Tahoma"/>
            <family val="2"/>
          </rPr>
          <t>RA:</t>
        </r>
        <r>
          <rPr>
            <sz val="9"/>
            <color indexed="81"/>
            <rFont val="Tahoma"/>
            <family val="2"/>
          </rPr>
          <t xml:space="preserve">
Monto cobrado de servicio considerado en el mes de Julio.</t>
        </r>
      </text>
    </comment>
    <comment ref="I23" authorId="6" shapeId="0" xr:uid="{B1CE742E-AB40-4E8B-B187-F2852B0282F4}">
      <text>
        <t>[Comentario encadenado]
Su versión de Excel le permite leer este comentario encadenado; sin embargo, las ediciones que se apliquen se quitarán si el archivo se abre en una versión más reciente de Excel. Más información: https://go.microsoft.com/fwlink/?linkid=870924
Comentario:
    Se ajusta monto de contrato a PO oficializada por cliente. Monto responde a permisos MEIA V de Las Bambas</t>
      </text>
    </comment>
    <comment ref="AB23" authorId="5" shapeId="0" xr:uid="{DAC57327-9BB1-4894-B0C2-78957E82F2A7}">
      <text>
        <r>
          <rPr>
            <b/>
            <sz val="9"/>
            <color indexed="81"/>
            <rFont val="Tahoma"/>
            <family val="2"/>
          </rPr>
          <t>RA:</t>
        </r>
        <r>
          <rPr>
            <sz val="9"/>
            <color indexed="81"/>
            <rFont val="Tahoma"/>
            <family val="2"/>
          </rPr>
          <t xml:space="preserve">
Se unificaron los EDP de abril, mayo y junio. Antes $416.449. Ahora $0.</t>
        </r>
      </text>
    </comment>
    <comment ref="AD23" authorId="5" shapeId="0" xr:uid="{A1323B56-A1C8-4995-913C-FEE2FE4313FB}">
      <text>
        <r>
          <rPr>
            <b/>
            <sz val="9"/>
            <color indexed="81"/>
            <rFont val="Tahoma"/>
            <family val="2"/>
          </rPr>
          <t>RA:</t>
        </r>
        <r>
          <rPr>
            <sz val="9"/>
            <color indexed="81"/>
            <rFont val="Tahoma"/>
            <family val="2"/>
          </rPr>
          <t xml:space="preserve">
Se unificaron los EDP de abril, mayo y junio. Antes $281.326.-Ahora $453.391.-</t>
        </r>
      </text>
    </comment>
    <comment ref="AH23" authorId="7" shapeId="0" xr:uid="{14C878DB-3C2F-4E89-974F-B4BA6AD809A8}">
      <text>
        <t>[Comentario encadenado]
Su versión de Excel le permite leer este comentario encadenado; sin embargo, las ediciones que se apliquen se quitarán si el archivo se abre en una versión más reciente de Excel. Más información: https://go.microsoft.com/fwlink/?linkid=870924
Comentario:
    EDP Inicial 200.336 USD</t>
      </text>
    </comment>
    <comment ref="T24" authorId="0" shapeId="0" xr:uid="{B40D9796-72C2-4C0A-A63D-D923DFE7ABEC}">
      <text>
        <r>
          <rPr>
            <b/>
            <sz val="9"/>
            <color indexed="81"/>
            <rFont val="Tahoma"/>
            <family val="2"/>
          </rPr>
          <t>Eduardo Cuevas:</t>
        </r>
        <r>
          <rPr>
            <sz val="9"/>
            <color indexed="81"/>
            <rFont val="Tahoma"/>
            <family val="2"/>
          </rPr>
          <t xml:space="preserve">
Cliente rechazó EDP 1 por falta de sustento. (8.738 USD)</t>
        </r>
      </text>
    </comment>
    <comment ref="V24" authorId="0" shapeId="0" xr:uid="{03326900-133C-47AA-8731-A5770BF6C75C}">
      <text>
        <r>
          <rPr>
            <b/>
            <sz val="9"/>
            <color indexed="81"/>
            <rFont val="Tahoma"/>
            <family val="2"/>
          </rPr>
          <t>Eduardo Cuevas:</t>
        </r>
        <r>
          <rPr>
            <sz val="9"/>
            <color indexed="81"/>
            <rFont val="Tahoma"/>
            <family val="2"/>
          </rPr>
          <t xml:space="preserve">
Dado el rechazo del edp 1, este EDP tambien deberia ser rechazado (27.785 USD)</t>
        </r>
      </text>
    </comment>
    <comment ref="Z24" authorId="0" shapeId="0" xr:uid="{5F04C955-8590-447D-88F3-A096D57365F7}">
      <text>
        <r>
          <rPr>
            <b/>
            <sz val="9"/>
            <color indexed="81"/>
            <rFont val="Tahoma"/>
            <family val="2"/>
          </rPr>
          <t>Eduardo Cuevas:</t>
        </r>
        <r>
          <rPr>
            <sz val="9"/>
            <color indexed="81"/>
            <rFont val="Tahoma"/>
            <family val="2"/>
          </rPr>
          <t xml:space="preserve">
Se emite el viernes 02/05 formalmente con cliente</t>
        </r>
      </text>
    </comment>
    <comment ref="AB24" authorId="8" shapeId="0" xr:uid="{5C1A5565-1CD8-4A5D-B3F1-81EF635E2A0D}">
      <text>
        <t>[Comentario encadenado]
Su versión de Excel le permite leer este comentario encadenado; sin embargo, las ediciones que se apliquen se quitarán si el archivo se abre en una versión más reciente de Excel. Más información: https://go.microsoft.com/fwlink/?linkid=870924
Comentario:
    Considera 16.127 USD por concepto de adicional. OC recientemente aprobada.</t>
      </text>
    </comment>
    <comment ref="AD24" authorId="9" shapeId="0" xr:uid="{9E0A40CD-F43A-4F80-97BA-1356F34F06FE}">
      <text>
        <t>[Comentario encadenado]
Su versión de Excel le permite leer este comentario encadenado; sin embargo, las ediciones que se apliquen se quitarán si el archivo se abre en una versión más reciente de Excel. Más información: https://go.microsoft.com/fwlink/?linkid=870924
Comentario:
    Inicialmente 4461 USD</t>
      </text>
    </comment>
    <comment ref="AB25" authorId="10" shapeId="0" xr:uid="{211C436D-54DD-436E-8D5E-25E5744A84A9}">
      <text>
        <t>[Comentario encadenado]
Su versión de Excel le permite leer este comentario encadenado; sin embargo, las ediciones que se apliquen se quitarán si el archivo se abre en una versión más reciente de Excel. Más información: https://go.microsoft.com/fwlink/?linkid=870924
Comentario:
    Emitido el 05/05/25</t>
      </text>
    </comment>
    <comment ref="V27" authorId="0" shapeId="0" xr:uid="{9AFCA33E-4518-4764-B177-56E4BEE517DC}">
      <text>
        <r>
          <rPr>
            <b/>
            <sz val="9"/>
            <color indexed="81"/>
            <rFont val="Tahoma"/>
            <family val="2"/>
          </rPr>
          <t>Eduardo Cuevas:</t>
        </r>
        <r>
          <rPr>
            <sz val="9"/>
            <color indexed="81"/>
            <rFont val="Tahoma"/>
            <family val="2"/>
          </rPr>
          <t xml:space="preserve">
Se acordó emitir EDP por totalidad del proyecto en marzo. Monto considerado emitido en febrero por 39.221 USD</t>
        </r>
      </text>
    </comment>
    <comment ref="AB28" authorId="11" shapeId="0" xr:uid="{E9FF0E66-3442-4950-8EAC-62855B7D88A2}">
      <text>
        <t>[Comentario encadenado]
Su versión de Excel le permite leer este comentario encadenado; sin embargo, las ediciones que se apliquen se quitarán si el archivo se abre en una versión más reciente de Excel. Más información: https://go.microsoft.com/fwlink/?linkid=870924
Comentario:
    Emitido fuera de plazo. Finalmente se consolida con el EDP de Junio</t>
      </text>
    </comment>
    <comment ref="V35" authorId="0" shapeId="0" xr:uid="{49DEA18A-4B7E-4445-8188-538D7746CE54}">
      <text>
        <r>
          <rPr>
            <b/>
            <sz val="9"/>
            <color indexed="81"/>
            <rFont val="Tahoma"/>
            <family val="2"/>
          </rPr>
          <t>Eduardo Cuevas:</t>
        </r>
        <r>
          <rPr>
            <sz val="9"/>
            <color indexed="81"/>
            <rFont val="Tahoma"/>
            <family val="2"/>
          </rPr>
          <t xml:space="preserve">
Inicialmente se consideraba 123 kUS$</t>
        </r>
      </text>
    </comment>
    <comment ref="X35" authorId="12" shapeId="0" xr:uid="{2939204E-B996-4F5B-857C-66AD47A4804C}">
      <text>
        <t>[Comentario encadenado]
Su versión de Excel le permite leer este comentario encadenado; sin embargo, las ediciones que se apliquen se quitarán si el archivo se abre en una versión más reciente de Excel. Más información: https://go.microsoft.com/fwlink/?linkid=870924
Comentario:
    No se tenía registro de esta emisión</t>
      </text>
    </comment>
    <comment ref="Z35" authorId="13" shapeId="0" xr:uid="{E45FF2D4-2FB0-45E6-9C90-95DEB42D5F80}">
      <text>
        <t>[Comentario encadenado]
Su versión de Excel le permite leer este comentario encadenado; sin embargo, las ediciones que se apliquen se quitarán si el archivo se abre en una versión más reciente de Excel. Más información: https://go.microsoft.com/fwlink/?linkid=870924
Comentario:
    101 kUSD fueron emitidos la primera semana de abril y corresponde al EDP de marzo</t>
      </text>
    </comment>
    <comment ref="AF45" authorId="14" shapeId="0" xr:uid="{9C2CFE88-3454-4A2B-B7D1-0D47079401CE}">
      <text>
        <t>[Comentario encadenado]
Su versión de Excel le permite leer este comentario encadenado; sin embargo, las ediciones que se apliquen se quitarán si el archivo se abre en una versión más reciente de Excel. Más información: https://go.microsoft.com/fwlink/?linkid=870924
Comentario:
    Se habia emitido un EDP por 8710 USD pero no fue aceptado por cliente (contratos) dado que proyecto debió estar terminado. En septiembre se debe emitir al 100%</t>
      </text>
    </comment>
  </commentList>
</comments>
</file>

<file path=xl/sharedStrings.xml><?xml version="1.0" encoding="utf-8"?>
<sst xmlns="http://schemas.openxmlformats.org/spreadsheetml/2006/main" count="4182" uniqueCount="751">
  <si>
    <t>Código</t>
  </si>
  <si>
    <t>Nombre Teams</t>
  </si>
  <si>
    <t>Proyecto</t>
  </si>
  <si>
    <t>País</t>
  </si>
  <si>
    <t>BR-AUM-OU-FEL00-130-A</t>
  </si>
  <si>
    <t>AuraMinerals_Expansión Mina Paiol OP-UG</t>
  </si>
  <si>
    <t>Brasil</t>
  </si>
  <si>
    <t>BR-J&amp;F-UG-FEL03-048-A</t>
  </si>
  <si>
    <t>J&amp;F_Urucrum_RecuperacionPilares</t>
  </si>
  <si>
    <t>BR-MOS-OP-FEL2A-102-A</t>
  </si>
  <si>
    <t>Mosaic_Actualizacion geotecnica OP</t>
  </si>
  <si>
    <t>Mosaic_Cajati Business Case</t>
  </si>
  <si>
    <t>BR-MOS-CS-OTR00-115-A</t>
  </si>
  <si>
    <t>Mosaic_Secuencia Operaciones Cajati</t>
  </si>
  <si>
    <t>BR-MOS-UG-OTR00-098-A</t>
  </si>
  <si>
    <t>Mosaic_Taquari Vassouras Fase II</t>
  </si>
  <si>
    <t>BR-MOS-UG-FEL2A-064-A</t>
  </si>
  <si>
    <t>Mosaic_Taquari Vassouras Fase II CP</t>
  </si>
  <si>
    <t>Chile</t>
  </si>
  <si>
    <t>-</t>
  </si>
  <si>
    <t>CH-AMS-OT-OTR00-108-A</t>
  </si>
  <si>
    <t>AMSA_Contrato Marco</t>
  </si>
  <si>
    <t>CH-AMS-CS-OTR00-116-A</t>
  </si>
  <si>
    <t>AMSA_Trade Off Tecnologico NGD</t>
  </si>
  <si>
    <t>AngloAmerican_Análisis Productividad MLB</t>
  </si>
  <si>
    <t>CH-AAM-OT-FEL03-139-A</t>
  </si>
  <si>
    <t>AngloAmerican_Tecnología HDD</t>
  </si>
  <si>
    <t>CH-BHP-OP-OTR00-145-A</t>
  </si>
  <si>
    <t>BHP_Análisis LoA 2025 - SCUT</t>
  </si>
  <si>
    <t>CH-BHP-OP-FEL00-135-A</t>
  </si>
  <si>
    <t>BHP_Medidas de Cierre Botaderos</t>
  </si>
  <si>
    <t>BHP_Plan e Iniciativas LoA25-26</t>
  </si>
  <si>
    <t>CH-BHP-OP-OTR00-140-A</t>
  </si>
  <si>
    <t>BHP_Spence 2YB Analisys</t>
  </si>
  <si>
    <t>CH-BHP-UG-FEL01-074-A</t>
  </si>
  <si>
    <t>BHP_Tunel Exploratorio</t>
  </si>
  <si>
    <t>CH-CCO-OP-FEL00-078-A</t>
  </si>
  <si>
    <t>Capstone Copper_Estimacion confiabilidad de planes</t>
  </si>
  <si>
    <t>CH-CCO-CS-FEL00-117-A</t>
  </si>
  <si>
    <t>Capstone Copper_Estudio Sierra Norte</t>
  </si>
  <si>
    <t>CH-CMP-UG-OTR00-095-A</t>
  </si>
  <si>
    <t>CMP_Estrategia Crecimiento Tofo Norte</t>
  </si>
  <si>
    <t>CH-CMP-OP-OTR00-084-A</t>
  </si>
  <si>
    <t>CMP_LOM MLC 2024</t>
  </si>
  <si>
    <t>CH-CMP-OP-FEL00-106-A</t>
  </si>
  <si>
    <t>CMP_Mejoras Operacionales CNN</t>
  </si>
  <si>
    <t>CH-CMP-OT-OTR00-107-A</t>
  </si>
  <si>
    <t>CMP_Nuevos alcances Algarrobo</t>
  </si>
  <si>
    <t>CH-CMP-OP-OTR00-096-A</t>
  </si>
  <si>
    <t>CMP_Plan minero base MLC</t>
  </si>
  <si>
    <t>CH-CMP-UG-FEL03-093-A</t>
  </si>
  <si>
    <t>CMP_Puesta en marcha SLS Romeral</t>
  </si>
  <si>
    <t>CH-COD-CS-OTR00-129-A</t>
  </si>
  <si>
    <t>Codelco_Actualización norma NCC-31</t>
  </si>
  <si>
    <t>CH-COD-CS-OTR00-128-A</t>
  </si>
  <si>
    <t>Codelco_Estándar cierre topográfico</t>
  </si>
  <si>
    <t>CH-COD-OU-FEL00-112-A</t>
  </si>
  <si>
    <t>Codelco_Opciones vaciado mineral via OP</t>
  </si>
  <si>
    <t>CH-COD-CS-OTR00-124-A</t>
  </si>
  <si>
    <t>Codelco_Prácticas de Planificación DMH</t>
  </si>
  <si>
    <t>CH-D&amp;P-CS-OTR00-137-A</t>
  </si>
  <si>
    <t>Estrategia Cobre Panama</t>
  </si>
  <si>
    <t>BVI</t>
  </si>
  <si>
    <t>CH-LUN-CS-OTR00-069-A</t>
  </si>
  <si>
    <t>Lundin_Candelaria_EstudiosCugep</t>
  </si>
  <si>
    <t>CH-LUN-OP-FEL00-110-A</t>
  </si>
  <si>
    <t>Lundin_Oportunidades mejoras Caserones</t>
  </si>
  <si>
    <t>CH-MCI-OP-OTR00-089-A</t>
  </si>
  <si>
    <t>MCI_Mine Plan Review Los Bronces</t>
  </si>
  <si>
    <t>CH-CMP-OU-FEL2A-041-A</t>
  </si>
  <si>
    <t>Perú</t>
  </si>
  <si>
    <t>PE-CMC-CD-OTR00-118-A</t>
  </si>
  <si>
    <t>CMC_Capacitación DBS y SIMPLAN</t>
  </si>
  <si>
    <t>Hudbay_Actualización Riesgo Sísmico</t>
  </si>
  <si>
    <t>LasBambas_Ferrobamba PFS</t>
  </si>
  <si>
    <t>PE-MMG-UG-FEL00-136-A</t>
  </si>
  <si>
    <t>LasBambas_Ferrobambas UG Escenarios</t>
  </si>
  <si>
    <t>PE-MAR-OU-FEL01-114-A</t>
  </si>
  <si>
    <t>Marcobre_Ingeniería de Perfil Achupallas</t>
  </si>
  <si>
    <t>PE-COR-UG-FEL2A-035-A</t>
  </si>
  <si>
    <t>MEIA Coripuno</t>
  </si>
  <si>
    <t>PE-MSR-UG-OTR00-097-A</t>
  </si>
  <si>
    <t>Minsur_Evaluacion recursos marginales</t>
  </si>
  <si>
    <t>Minsur_LOM Integrado San Rafael 2025</t>
  </si>
  <si>
    <t>PE-MSR-UG-OTR00-134-A</t>
  </si>
  <si>
    <t>PE-OCP-CS-OTR00-138-A</t>
  </si>
  <si>
    <t>OCP_Análisis Estratégico Mina Cobriza</t>
  </si>
  <si>
    <t>PE-CSC-UG-FEL2A-023-A</t>
  </si>
  <si>
    <t>PFS Los Calatos</t>
  </si>
  <si>
    <t>PE-CSC-UG-FEL2A-133-A</t>
  </si>
  <si>
    <t>PFS Los Calatos V3</t>
  </si>
  <si>
    <t>PE-SME-UG-FEL2A-046-A</t>
  </si>
  <si>
    <t>PE-SME-CS-OTR00-099-A</t>
  </si>
  <si>
    <t>SierraMetals_Update MEIA Yauricocha</t>
  </si>
  <si>
    <t>Rusia</t>
  </si>
  <si>
    <t xml:space="preserve">Euclidea Consulting </t>
  </si>
  <si>
    <t>USA</t>
  </si>
  <si>
    <t>CH-LUN-CS-OTR00-113-A</t>
  </si>
  <si>
    <t>Lundin_Gaps Planificación y Operación UG</t>
  </si>
  <si>
    <t>OT-RES-CS-OTR00-131-A</t>
  </si>
  <si>
    <t>Resolution_MinePlan Review</t>
  </si>
  <si>
    <t>OT-RES-CS-OTR00-150-A</t>
  </si>
  <si>
    <t>Resolution_UGC 68L Program</t>
  </si>
  <si>
    <t>OT-THC-CS-OTR00-122-A</t>
  </si>
  <si>
    <t>ThreeCrowns_Litigio Oyu Tolgoi</t>
  </si>
  <si>
    <t>OT-TWM-CS-FEL00-119-A</t>
  </si>
  <si>
    <t>Twin Metals_Pre PFS Birch Lake Maturi</t>
  </si>
  <si>
    <t>OT-TWM-CS-FEL00-141-A</t>
  </si>
  <si>
    <t>TwinMetals_Birch Lake Integration</t>
  </si>
  <si>
    <t>Etiquetas de fila</t>
  </si>
  <si>
    <t>CMP_Romeral Estabilización + UG PFS</t>
  </si>
  <si>
    <t>Minsur_Raura Análisis LOM25</t>
  </si>
  <si>
    <t>Minsur_San Rafael Estudio V MEIA</t>
  </si>
  <si>
    <t>Sierra Metals_Plan de Minado MEIA</t>
  </si>
  <si>
    <t>Total general</t>
  </si>
  <si>
    <t>2025</t>
  </si>
  <si>
    <t>Años (Fecha Ingreso)</t>
  </si>
  <si>
    <t>ene</t>
  </si>
  <si>
    <t>feb</t>
  </si>
  <si>
    <t>mar</t>
  </si>
  <si>
    <t>abr</t>
  </si>
  <si>
    <t>may</t>
  </si>
  <si>
    <t>jun</t>
  </si>
  <si>
    <t>Suma de Ingresado USD</t>
  </si>
  <si>
    <t>Codigo</t>
  </si>
  <si>
    <t>Año Inicio</t>
  </si>
  <si>
    <t>Estado Operativo</t>
  </si>
  <si>
    <t>Director</t>
  </si>
  <si>
    <t>Consultor</t>
  </si>
  <si>
    <t>Ingeniero Principal</t>
  </si>
  <si>
    <t>Monto Contrato (USD)</t>
  </si>
  <si>
    <t>Emitido Acumulado Actual [USD]</t>
  </si>
  <si>
    <t>Avance Financiero Actual %</t>
  </si>
  <si>
    <t>Saldo actual [USD]</t>
  </si>
  <si>
    <t>Saldo actual %</t>
  </si>
  <si>
    <t>Acumulado Proyectado (USD)</t>
  </si>
  <si>
    <t>Avance Proyectado %</t>
  </si>
  <si>
    <t>Saldo Proyectado (USD)</t>
  </si>
  <si>
    <t>Emitido Acumulado 2024</t>
  </si>
  <si>
    <t>Saldo 2024 (USD)</t>
  </si>
  <si>
    <t>ENE P</t>
  </si>
  <si>
    <t>ENE R</t>
  </si>
  <si>
    <t>FEB P</t>
  </si>
  <si>
    <t>FEB R</t>
  </si>
  <si>
    <t>MAR P</t>
  </si>
  <si>
    <t>MAR R</t>
  </si>
  <si>
    <t>ABR P</t>
  </si>
  <si>
    <t>ABR R</t>
  </si>
  <si>
    <t>MAY P</t>
  </si>
  <si>
    <t>MAY R</t>
  </si>
  <si>
    <t>JUN P</t>
  </si>
  <si>
    <t>JUN R</t>
  </si>
  <si>
    <t>JUL P</t>
  </si>
  <si>
    <t>JUL R</t>
  </si>
  <si>
    <t>AGO P</t>
  </si>
  <si>
    <t>AGO R</t>
  </si>
  <si>
    <t>SEP P</t>
  </si>
  <si>
    <t>SEP R</t>
  </si>
  <si>
    <t>OCT P</t>
  </si>
  <si>
    <t>OCT R</t>
  </si>
  <si>
    <t>NOV P</t>
  </si>
  <si>
    <t>NOV R</t>
  </si>
  <si>
    <t>DIC P</t>
  </si>
  <si>
    <t>DIC R</t>
  </si>
  <si>
    <t>Dif.</t>
  </si>
  <si>
    <t>Felipe Rojas</t>
  </si>
  <si>
    <t>Nicolás Ayarza</t>
  </si>
  <si>
    <t>Nicolas Ayarza</t>
  </si>
  <si>
    <t>Ricardo Miranda</t>
  </si>
  <si>
    <t>Gerson Alfaro</t>
  </si>
  <si>
    <t>Alex Figueroa</t>
  </si>
  <si>
    <t>Pablo Quiero</t>
  </si>
  <si>
    <t>Jorman Barrera</t>
  </si>
  <si>
    <t>BHP_Spence 2YB analisys</t>
  </si>
  <si>
    <t>Gonzalo Díaz</t>
  </si>
  <si>
    <t>Fernando Sagastegui</t>
  </si>
  <si>
    <t>Claudio Hernández</t>
  </si>
  <si>
    <t>Rodrigo Cori</t>
  </si>
  <si>
    <t>Mauricio Melendez</t>
  </si>
  <si>
    <t>TBD</t>
  </si>
  <si>
    <t>Rodrigo Baez</t>
  </si>
  <si>
    <t>Freddy Diaz</t>
  </si>
  <si>
    <t>Matias Fuentes</t>
  </si>
  <si>
    <t>Eduardo Sanchez</t>
  </si>
  <si>
    <t>Carolina Arcos</t>
  </si>
  <si>
    <t>Patricio Vergara</t>
  </si>
  <si>
    <t>EroCopper_Scoping Proyecto Furnas</t>
  </si>
  <si>
    <t>Lundin_Análisis Estratégico Caserones</t>
  </si>
  <si>
    <t>Sub total Adjudicado</t>
  </si>
  <si>
    <t>Total 2025</t>
  </si>
  <si>
    <t>Total</t>
  </si>
  <si>
    <t>Gonzalo Diaz</t>
  </si>
  <si>
    <t>Claudio Hernandez</t>
  </si>
  <si>
    <t>PROYECCIÓN INGRESOS 2025</t>
  </si>
  <si>
    <t>Ingresos Recibidos</t>
  </si>
  <si>
    <t>Ingresos por recibir</t>
  </si>
  <si>
    <t>Reporte Contable</t>
  </si>
  <si>
    <t>Minsur_Soporte LOM 2025 Raura</t>
  </si>
  <si>
    <t>SPM_FS Labores Subterraneas 2da MEIA</t>
  </si>
  <si>
    <t>Alpayana_Estudio de Sismicidad</t>
  </si>
  <si>
    <t>Alpamarca_Estudio de Estabilidad Tajo</t>
  </si>
  <si>
    <t>CMP_Actualización Casos de Negocios CNN</t>
  </si>
  <si>
    <t>Taboca_Evaluación Mina Pitinga</t>
  </si>
  <si>
    <t>Capstone Copper_Production at Risk</t>
  </si>
  <si>
    <t>LHG_LOM Urucum</t>
  </si>
  <si>
    <t>CBMM_SIMPLAN Initiatives Evaluation</t>
  </si>
  <si>
    <t>AMSA_Mejoras Planificación Centinela</t>
  </si>
  <si>
    <t>Volcan_Estudio Estabilidad Desmonteras</t>
  </si>
  <si>
    <t>NEXA_Estudio Geomecánico AT y EP</t>
  </si>
  <si>
    <t>NEXA_Peer Review Cerro Lindo</t>
  </si>
  <si>
    <t>CORFO_Valorización Boquerón Chañar</t>
  </si>
  <si>
    <t>PUCOBRE_Acompañamiento Reservas Tovaku</t>
  </si>
  <si>
    <t>Codelco_Formulación caso de negocio TBM</t>
  </si>
  <si>
    <t>EQUINOX_Actualización Ing. Básica UG</t>
  </si>
  <si>
    <t>FN_Oko West project review</t>
  </si>
  <si>
    <t>AMSA_RIINO BC - Centinela</t>
  </si>
  <si>
    <t>JF San Martín</t>
  </si>
  <si>
    <t>Minsur_Factibilidad Infraestructura Coreshack</t>
  </si>
  <si>
    <t/>
  </si>
  <si>
    <t xml:space="preserve"> Strategy analysis for the Hermosa project </t>
  </si>
  <si>
    <t>Anglo_Production at Risk Mina Rio</t>
  </si>
  <si>
    <t>Resolution_General Review</t>
  </si>
  <si>
    <t>Collahuasi_Análisis Mine Compliance</t>
  </si>
  <si>
    <t>jul</t>
  </si>
  <si>
    <t>ago</t>
  </si>
  <si>
    <t>sept</t>
  </si>
  <si>
    <t>oct</t>
  </si>
  <si>
    <t>nov</t>
  </si>
  <si>
    <t>dic</t>
  </si>
  <si>
    <t>Finalizado</t>
  </si>
  <si>
    <t>En cierre</t>
  </si>
  <si>
    <t>En Ejecución</t>
  </si>
  <si>
    <t>Sin Director</t>
  </si>
  <si>
    <t>J.F. San Martin</t>
  </si>
  <si>
    <t>Cumplimiento (USD real/ USD POM)</t>
  </si>
  <si>
    <t>N</t>
  </si>
  <si>
    <t>Cliente</t>
  </si>
  <si>
    <t>Año</t>
  </si>
  <si>
    <t>Proyección</t>
  </si>
  <si>
    <t>Fecha Proyeccion</t>
  </si>
  <si>
    <t>Proyectado USD</t>
  </si>
  <si>
    <t>Emisión</t>
  </si>
  <si>
    <t>Fecha Emisión</t>
  </si>
  <si>
    <t>N°EDP</t>
  </si>
  <si>
    <t>Emitido USD</t>
  </si>
  <si>
    <t>N° Factura</t>
  </si>
  <si>
    <t>Fecha Facturación</t>
  </si>
  <si>
    <t>Facturación</t>
  </si>
  <si>
    <t>Facturado USD</t>
  </si>
  <si>
    <t>Pagado</t>
  </si>
  <si>
    <t>Fecha Ingreso</t>
  </si>
  <si>
    <t>Ingresado USD</t>
  </si>
  <si>
    <t xml:space="preserve">Observaciones </t>
  </si>
  <si>
    <t>Retenciones LOM Los Colorados</t>
  </si>
  <si>
    <t>CMP</t>
  </si>
  <si>
    <t>s/F</t>
  </si>
  <si>
    <t>Factura solicitada por PV mediante correo</t>
  </si>
  <si>
    <t>South 32</t>
  </si>
  <si>
    <t>s/EDP</t>
  </si>
  <si>
    <t>Proyecto de PV</t>
  </si>
  <si>
    <t>PE-MSR-UG-FEL03-008-A</t>
  </si>
  <si>
    <t>Actualizacion LOM Raura</t>
  </si>
  <si>
    <t>Minsur</t>
  </si>
  <si>
    <t>E001-206</t>
  </si>
  <si>
    <t>Dado que no se tiene la OC, el cliente solicitó agrupar las EDP (Junio, Julio y Agosto) / el cliente solicitó retirar alcance (monto total 165,237</t>
  </si>
  <si>
    <t>CH-CMP-OU-FEL00-001-A</t>
  </si>
  <si>
    <t>AARR</t>
  </si>
  <si>
    <t>PE-MSR-OT-OTR00-009-A</t>
  </si>
  <si>
    <t>Sistema de Gestion de Avances (AESA)</t>
  </si>
  <si>
    <t>E001-177</t>
  </si>
  <si>
    <t>E001-207</t>
  </si>
  <si>
    <t>E001-200</t>
  </si>
  <si>
    <t>CH-CMP-OT-FEL03-002-A</t>
  </si>
  <si>
    <t>Algarrobo</t>
  </si>
  <si>
    <t>Se emite la diferencia por 100% del proyecto</t>
  </si>
  <si>
    <t>Aprobación de NOC 2</t>
  </si>
  <si>
    <t>PE-ALP-GM-FEL00-156-A</t>
  </si>
  <si>
    <t>Alpayana</t>
  </si>
  <si>
    <t>Pendiente</t>
  </si>
  <si>
    <t>CH-AMS-CS-OTR00-075-A</t>
  </si>
  <si>
    <t>AMSA_Asesoria Centinela</t>
  </si>
  <si>
    <t>AMSA</t>
  </si>
  <si>
    <t>CH-AMS-CS-OTR00-063-A</t>
  </si>
  <si>
    <t>AMSA_Estandares Minimos</t>
  </si>
  <si>
    <t>CH-AMS-CS-OTR00-029-A</t>
  </si>
  <si>
    <t>AMSA_Planificación</t>
  </si>
  <si>
    <t>CH-AAM-CS-OTR00-146-A</t>
  </si>
  <si>
    <t>AngloAmerican</t>
  </si>
  <si>
    <t>22.409 USD</t>
  </si>
  <si>
    <t>9.954 USD</t>
  </si>
  <si>
    <t>AuraMinerals</t>
  </si>
  <si>
    <t>CH-BSA-CS-OTR00-052-A</t>
  </si>
  <si>
    <t>Banco Santander_Yauricocha y Bolivar</t>
  </si>
  <si>
    <t>Sierra metals</t>
  </si>
  <si>
    <t>BHP</t>
  </si>
  <si>
    <t>CH-BHP-OP-FEL00-103-A</t>
  </si>
  <si>
    <t>CH-BSC-UG-OTR00-073-A</t>
  </si>
  <si>
    <t>Boston_Inmaculada Hochschild</t>
  </si>
  <si>
    <t>CEOM</t>
  </si>
  <si>
    <t>CH-BSC-UG-OTR00-082-A</t>
  </si>
  <si>
    <t>Boston_Inmaculada Hochschild II</t>
  </si>
  <si>
    <t>Facturado por REDTEC</t>
  </si>
  <si>
    <t>CH-LUN-CS-OTR00-004-A</t>
  </si>
  <si>
    <t>Candelaria Estandar</t>
  </si>
  <si>
    <t>Lundin</t>
  </si>
  <si>
    <t>Resuelto</t>
  </si>
  <si>
    <t>Capstone Copper</t>
  </si>
  <si>
    <t>CH-CCO-CS-OTR00-159-A</t>
  </si>
  <si>
    <t>341 / 342</t>
  </si>
  <si>
    <t>349 / 350</t>
  </si>
  <si>
    <t>BR-CBM-CS-OTR00-164-A</t>
  </si>
  <si>
    <t>CBMM</t>
  </si>
  <si>
    <t>Factura reemplaza la 109 por rechazo. La nueva se emite con fecha 03-11-25</t>
  </si>
  <si>
    <t>CMC</t>
  </si>
  <si>
    <t>E001-280</t>
  </si>
  <si>
    <t>E001-286</t>
  </si>
  <si>
    <t>CH-CMP-OU-FEL2A-033-A</t>
  </si>
  <si>
    <t>FEL 2A</t>
  </si>
  <si>
    <t>Se genera nota de credito por factura 78 (presentaba un error)</t>
  </si>
  <si>
    <t>Contractual + Adicionales Update modelos</t>
  </si>
  <si>
    <t>CH-CMP-CS-OTR00-006-A</t>
  </si>
  <si>
    <t>CMP Estandar</t>
  </si>
  <si>
    <t xml:space="preserve">Incluye gastos reembolsables </t>
  </si>
  <si>
    <t>CH-CMP-OP-FEL00-155-A</t>
  </si>
  <si>
    <t>CH-CMP-CS-FEL00-040-A</t>
  </si>
  <si>
    <t>CMP_CNN (Update plan LOM )</t>
  </si>
  <si>
    <t>CH-CMP-OP-OTR00-083-A</t>
  </si>
  <si>
    <t>CMP_LOM CNN 2024</t>
  </si>
  <si>
    <t>CH-CMP-CS-FEL00-038-A</t>
  </si>
  <si>
    <t>CMP_Los Colorados Adelantamiento Planta</t>
  </si>
  <si>
    <t>Romeral Estabilizado + PFS UG</t>
  </si>
  <si>
    <t>Codelco</t>
  </si>
  <si>
    <t>CH-COD-OT-OTR00-030-A</t>
  </si>
  <si>
    <t>Deswik DET</t>
  </si>
  <si>
    <t>CH-COD-UG-FEL00-037-A</t>
  </si>
  <si>
    <t>Codelco_Cluster Toki</t>
  </si>
  <si>
    <t>Cliente solicita valoriza al 50% del valor de proyecto</t>
  </si>
  <si>
    <t>CH-COD-UG-FEL01-039-A</t>
  </si>
  <si>
    <t>Codelco_Drenaje QT</t>
  </si>
  <si>
    <t>CH-COD-UG-FEL01-031-A</t>
  </si>
  <si>
    <t>Codelco_Falla Oeste</t>
  </si>
  <si>
    <t>CH-COD-UG-FEL01-032-A</t>
  </si>
  <si>
    <t>Codelco_Panel Central</t>
  </si>
  <si>
    <t>PE-MSR-OT-OTR00-019-A</t>
  </si>
  <si>
    <t>Compilación R&amp;R Mina Justa</t>
  </si>
  <si>
    <t>E001-181</t>
  </si>
  <si>
    <t>E001-187</t>
  </si>
  <si>
    <t>Compilación R&amp;R Mina Pucamarca</t>
  </si>
  <si>
    <t>E001-194</t>
  </si>
  <si>
    <t>Se respondió en la misma factura</t>
  </si>
  <si>
    <t>Compilación R&amp;R Mina Raura</t>
  </si>
  <si>
    <t>E001-182</t>
  </si>
  <si>
    <t>E001-197</t>
  </si>
  <si>
    <t>Compilación R&amp;R Mina San Rafael</t>
  </si>
  <si>
    <t>PE-COR-UG-FEL00-076-A</t>
  </si>
  <si>
    <t>Coripuno_Metodos de Minado</t>
  </si>
  <si>
    <t>Coripuno</t>
  </si>
  <si>
    <t>E001-260</t>
  </si>
  <si>
    <t>CH-CSH-OP-FEL00-034-A</t>
  </si>
  <si>
    <t>LOM Mina Guarello</t>
  </si>
  <si>
    <t>CSH</t>
  </si>
  <si>
    <t>CH-BHP-CD-OTR00-003-A</t>
  </si>
  <si>
    <t>Plan 2YB - Spence</t>
  </si>
  <si>
    <t>PE-MSR-UG-OTR00-003-C</t>
  </si>
  <si>
    <t>Desarrollo casos LOM UM Raura</t>
  </si>
  <si>
    <t>Raura</t>
  </si>
  <si>
    <t>E001-174</t>
  </si>
  <si>
    <t>PE-SME-UG-OTR00-003-F</t>
  </si>
  <si>
    <t>Desarrollo del Plan de Minado</t>
  </si>
  <si>
    <t>E001-188</t>
  </si>
  <si>
    <t>E001-215</t>
  </si>
  <si>
    <t>El dia 30/06 se envio el EDP / el 20-11 se conversó con el cliente para que regularic el pago (es pago directo, no hay HES)</t>
  </si>
  <si>
    <t>PE-MSR-OT-OTR00-003-E</t>
  </si>
  <si>
    <t>Desarrollo plan LOM en Reservas</t>
  </si>
  <si>
    <t>E001-184</t>
  </si>
  <si>
    <t>E001-183</t>
  </si>
  <si>
    <t>CH-LUN-CS-OTR00-007-A</t>
  </si>
  <si>
    <t>Candelaria Diagnostico</t>
  </si>
  <si>
    <t>Enviado para revision interna EdP 1</t>
  </si>
  <si>
    <t>OT-EMX-CS-OTR00-087-A</t>
  </si>
  <si>
    <t>EMX_Due Diligence de Chapi</t>
  </si>
  <si>
    <t>EMX</t>
  </si>
  <si>
    <t>3_4</t>
  </si>
  <si>
    <t>OT-EMX-CS-OTR00-091-A</t>
  </si>
  <si>
    <t>EMX_Metallurgical expert for review</t>
  </si>
  <si>
    <t>BR-EQG-UG-FEL03-172-A</t>
  </si>
  <si>
    <t>EQUINOX</t>
  </si>
  <si>
    <t>BR-ERC-UG-FEL00-152-A</t>
  </si>
  <si>
    <t>EroCopper</t>
  </si>
  <si>
    <t>Contablemente se pagó el 01/08</t>
  </si>
  <si>
    <t>Debevoise&amp;Plimpton</t>
  </si>
  <si>
    <t>PE-BRO-OT-OTR00-003-D</t>
  </si>
  <si>
    <t>Estudio con Faja Transportadora</t>
  </si>
  <si>
    <t>El Brocal</t>
  </si>
  <si>
    <t>E001-173</t>
  </si>
  <si>
    <t>E001-179</t>
  </si>
  <si>
    <t>RU-ECH-UG-FEL00-081-A</t>
  </si>
  <si>
    <t>Eurochem_Himmelfarb Deposit</t>
  </si>
  <si>
    <t>Eurochem</t>
  </si>
  <si>
    <t>PE-GLE-OP-FEL2A-054-A</t>
  </si>
  <si>
    <t>Glencore_Coroccohuayco_OptimizacionLOM</t>
  </si>
  <si>
    <t>Glencore</t>
  </si>
  <si>
    <t>E001-240</t>
  </si>
  <si>
    <t>E001-241</t>
  </si>
  <si>
    <t>E001-262</t>
  </si>
  <si>
    <t>CH-GLE-CS-OTR00-094-A</t>
  </si>
  <si>
    <t>Glencore_MineHaul y MinePlan Lomas Bayas</t>
  </si>
  <si>
    <t>PE-HUD-GM-FEL00-153-A</t>
  </si>
  <si>
    <t>Hudbay</t>
  </si>
  <si>
    <t>E001-313</t>
  </si>
  <si>
    <t>PE-SME-UG-OTR00-021-A</t>
  </si>
  <si>
    <t>Modificacion MEIA Yauricocha</t>
  </si>
  <si>
    <t>E001-178</t>
  </si>
  <si>
    <t>OT-IEL-UG-FEL2A-088-A</t>
  </si>
  <si>
    <t>IvanhoeElectric_Mine Planning Support</t>
  </si>
  <si>
    <t>Ivanhoe</t>
  </si>
  <si>
    <t>OT-IEL-UG-FEL2A-060-A</t>
  </si>
  <si>
    <t>IvanhoeElectric_Santa-Cruz_PrePFS</t>
  </si>
  <si>
    <t>BR-J&amp;F-CS-OTR00-100-A</t>
  </si>
  <si>
    <t>J&amp;F</t>
  </si>
  <si>
    <t>PE-MMG-UG-FEL2A-143-A</t>
  </si>
  <si>
    <t>Las Bambas</t>
  </si>
  <si>
    <t>E001-307</t>
  </si>
  <si>
    <t>E001-324</t>
  </si>
  <si>
    <t>E001-332</t>
  </si>
  <si>
    <t>PE-MMG-OU-FEL00-022-A</t>
  </si>
  <si>
    <t>LasBambas_Ferrobamba UG</t>
  </si>
  <si>
    <t>E001-216</t>
  </si>
  <si>
    <t>E001-223</t>
  </si>
  <si>
    <t>E001-227</t>
  </si>
  <si>
    <t>E001-230</t>
  </si>
  <si>
    <t>E001-238</t>
  </si>
  <si>
    <t>E001-244</t>
  </si>
  <si>
    <t>E001-245</t>
  </si>
  <si>
    <t>E001-246</t>
  </si>
  <si>
    <t>E001-254</t>
  </si>
  <si>
    <t>E001-250</t>
  </si>
  <si>
    <t>Adicional 01 (80%)</t>
  </si>
  <si>
    <t>E001-251</t>
  </si>
  <si>
    <t>Adicional 02 (50%)</t>
  </si>
  <si>
    <t>E001-255</t>
  </si>
  <si>
    <t>E001-256</t>
  </si>
  <si>
    <t xml:space="preserve">E001-297 </t>
  </si>
  <si>
    <t>E001-298</t>
  </si>
  <si>
    <t>E001-306</t>
  </si>
  <si>
    <t>E001-314</t>
  </si>
  <si>
    <t>E001-315</t>
  </si>
  <si>
    <t>E001-320</t>
  </si>
  <si>
    <t>Adicional</t>
  </si>
  <si>
    <t>E001-328</t>
  </si>
  <si>
    <t>E001-327</t>
  </si>
  <si>
    <t>BR-LHG-UG-OTR00-161-A</t>
  </si>
  <si>
    <t>LHG</t>
  </si>
  <si>
    <t>Sujeto a relatorio final</t>
  </si>
  <si>
    <t>CH-CMP-OP-FEL03-010-A</t>
  </si>
  <si>
    <t>LOM CNN</t>
  </si>
  <si>
    <t>Se cobraré en contrato de Plan Largo Plazo Los Colorados (LoM)</t>
  </si>
  <si>
    <t>CH-CMP-OP-FEL03-011-A</t>
  </si>
  <si>
    <t>LOM MLC</t>
  </si>
  <si>
    <t>CH-GLE-OP-FEL01-012-A</t>
  </si>
  <si>
    <t>Lomas Bayas</t>
  </si>
  <si>
    <t>CH-LUN-CS-OTR00-154-A</t>
  </si>
  <si>
    <t>CH-FLU-CD-OTR00-013-A</t>
  </si>
  <si>
    <t>MARA</t>
  </si>
  <si>
    <t>Fluor</t>
  </si>
  <si>
    <t>PE-MSR-OP-OTR00-024-A</t>
  </si>
  <si>
    <t>Mina Justa</t>
  </si>
  <si>
    <t>Marcobre</t>
  </si>
  <si>
    <t>E001-189</t>
  </si>
  <si>
    <t>E001-193</t>
  </si>
  <si>
    <t>E001-199</t>
  </si>
  <si>
    <t>E001-204</t>
  </si>
  <si>
    <t>E001-275</t>
  </si>
  <si>
    <t>E001-279</t>
  </si>
  <si>
    <t>E001-282</t>
  </si>
  <si>
    <t>E001-291</t>
  </si>
  <si>
    <t>E001-299</t>
  </si>
  <si>
    <t>E001-311</t>
  </si>
  <si>
    <t>OT-MCA-CS-OTR00-080-A</t>
  </si>
  <si>
    <t>McCarthy_Litigio Rio Tinto</t>
  </si>
  <si>
    <t>McCarthy</t>
  </si>
  <si>
    <t>Mitsubichi</t>
  </si>
  <si>
    <t>E001-267</t>
  </si>
  <si>
    <t>E001-274</t>
  </si>
  <si>
    <t>CH-BHP-CD-OTR00-020-A</t>
  </si>
  <si>
    <t>Servicio Enoteca</t>
  </si>
  <si>
    <t>MEL</t>
  </si>
  <si>
    <t>PE-MSR-CS-OTR00-090-A</t>
  </si>
  <si>
    <t>Minsur_Apoyo MEIA Raura</t>
  </si>
  <si>
    <t>E001-242</t>
  </si>
  <si>
    <t>PE-MSR-UG-OTR00-077-A</t>
  </si>
  <si>
    <t>Minsur_Apoyo Planificacion San Rafael</t>
  </si>
  <si>
    <t>E001-263</t>
  </si>
  <si>
    <t>E001-265</t>
  </si>
  <si>
    <t>E001-271</t>
  </si>
  <si>
    <t>E001-277</t>
  </si>
  <si>
    <t>E001-281</t>
  </si>
  <si>
    <t>E001-288</t>
  </si>
  <si>
    <t>PE-MSR-CS-OTR00-163-A</t>
  </si>
  <si>
    <t>E001-329</t>
  </si>
  <si>
    <t>Confirmar</t>
  </si>
  <si>
    <t>PE-MSR-UG-FEL03-036-A</t>
  </si>
  <si>
    <t>Minsur_Forecast_Budget24</t>
  </si>
  <si>
    <t>E001-225</t>
  </si>
  <si>
    <t>Aún no se cuenta con Orden de Compra / El cliente solicitó unificar loe EDP</t>
  </si>
  <si>
    <t>PE-MSR-GM-OTR00-109-A</t>
  </si>
  <si>
    <t>Minsur_Integracion Planeamiento Geomecanica</t>
  </si>
  <si>
    <t>E001-249</t>
  </si>
  <si>
    <t>PE-MSR-UG-OTR00-151-A</t>
  </si>
  <si>
    <t>Sin OC al 14/08</t>
  </si>
  <si>
    <t>PE-MSR-UG-FEL00-086-A</t>
  </si>
  <si>
    <t>Minsur_LOM San Rafael 2025</t>
  </si>
  <si>
    <t>E001-261</t>
  </si>
  <si>
    <t>E001-266</t>
  </si>
  <si>
    <t>PE-MSR-GM-OTR00-092-A</t>
  </si>
  <si>
    <t>Minsur_Mejoramiento datos geotecnicos SR</t>
  </si>
  <si>
    <t>E001-259</t>
  </si>
  <si>
    <t>PE-MSR-CS-OTR00-062-A</t>
  </si>
  <si>
    <t>Minsur_Ore Sorting Raura</t>
  </si>
  <si>
    <t>E001-220</t>
  </si>
  <si>
    <t>PE-MSR-UG-FEL00-079-A</t>
  </si>
  <si>
    <t>Minsur_Rampa de acceso San German</t>
  </si>
  <si>
    <t>E001-273</t>
  </si>
  <si>
    <t>E001-302</t>
  </si>
  <si>
    <t>Factoring</t>
  </si>
  <si>
    <t>PE-MSR-UG-FEL00-142-A</t>
  </si>
  <si>
    <t>E001-312</t>
  </si>
  <si>
    <t>E001-321</t>
  </si>
  <si>
    <t>E001-330</t>
  </si>
  <si>
    <t>PE-MSR-UG-OTR00-162-A</t>
  </si>
  <si>
    <t>E001-333</t>
  </si>
  <si>
    <t>Regularizado</t>
  </si>
  <si>
    <t>PE-MSR-UG-FEL00-071-A</t>
  </si>
  <si>
    <t>Minsur_Update LOM San Rafael</t>
  </si>
  <si>
    <t>E001-232</t>
  </si>
  <si>
    <t>PE-MMA-OP-FEL00-047-A</t>
  </si>
  <si>
    <t>MiskiMayo_LOM</t>
  </si>
  <si>
    <t>MiskiMayo</t>
  </si>
  <si>
    <t>E001-218</t>
  </si>
  <si>
    <t>E001-226</t>
  </si>
  <si>
    <t>E001-228</t>
  </si>
  <si>
    <t xml:space="preserve"> E001-231 </t>
  </si>
  <si>
    <t xml:space="preserve"> E001-234</t>
  </si>
  <si>
    <t>E001-236</t>
  </si>
  <si>
    <t>Mosaic</t>
  </si>
  <si>
    <t>BR-MOS-OU-FEL03-026-A</t>
  </si>
  <si>
    <t>Cajati</t>
  </si>
  <si>
    <t>Pendiente enteder la diferencia respecto a emisión</t>
  </si>
  <si>
    <t>Cajati Optimización OP</t>
  </si>
  <si>
    <t>BR-MOS-OU-FEL03-147-A</t>
  </si>
  <si>
    <t>BR-MOS-UG-FEL01-028-A</t>
  </si>
  <si>
    <t>Mosaic_Taquari Vassouras</t>
  </si>
  <si>
    <t>Mosaic_Taquari Vassouras (Reembolsable)</t>
  </si>
  <si>
    <t>BR-NEX-UG-FEL2A-027-A</t>
  </si>
  <si>
    <t>NEXA_FEL2 Aripuana</t>
  </si>
  <si>
    <t>NEXA</t>
  </si>
  <si>
    <t>RU-OTR-UG-FEL2A-015-A</t>
  </si>
  <si>
    <t>NordGold</t>
  </si>
  <si>
    <t>Otro</t>
  </si>
  <si>
    <t>Consultar a Olesya</t>
  </si>
  <si>
    <t>RU-OTR-GM-FEL01-016-A</t>
  </si>
  <si>
    <t>Norilsk 1</t>
  </si>
  <si>
    <t>50% restante para 92 dias posteriores al pago. Fecha proyectada 18-09-23</t>
  </si>
  <si>
    <t>Pago proyectado a finales de Agosto 2023. A partir de ahí se emite segundo cobro por USD 29.854</t>
  </si>
  <si>
    <t>Se confirma pago por parte de Olesya a finales de diciembre 2023</t>
  </si>
  <si>
    <t>OCP</t>
  </si>
  <si>
    <t>E001-294</t>
  </si>
  <si>
    <t>E001-303</t>
  </si>
  <si>
    <t>E001-317</t>
  </si>
  <si>
    <t>E001-318</t>
  </si>
  <si>
    <t>E001-323</t>
  </si>
  <si>
    <t>RU-OTR-GM-FEL01-017-A</t>
  </si>
  <si>
    <t>Oktyabrsky</t>
  </si>
  <si>
    <t>CH-AMS-OP-FEL01-014-A</t>
  </si>
  <si>
    <t>MLP</t>
  </si>
  <si>
    <t>E001-208</t>
  </si>
  <si>
    <t>En el EDP1 se considerará el anticipo del 10%</t>
  </si>
  <si>
    <t>E001-222</t>
  </si>
  <si>
    <t>E001-224</t>
  </si>
  <si>
    <t>E001-229</t>
  </si>
  <si>
    <t xml:space="preserve"> E001-235</t>
  </si>
  <si>
    <t>E001-237</t>
  </si>
  <si>
    <t>E001-243</t>
  </si>
  <si>
    <t>E001-252</t>
  </si>
  <si>
    <t>E001-253</t>
  </si>
  <si>
    <t>E001-268</t>
  </si>
  <si>
    <t>E001-276</t>
  </si>
  <si>
    <t>E001-278</t>
  </si>
  <si>
    <t>E001-284</t>
  </si>
  <si>
    <t>E001-287</t>
  </si>
  <si>
    <t>E001-289</t>
  </si>
  <si>
    <t>E001-292</t>
  </si>
  <si>
    <t>E001-295</t>
  </si>
  <si>
    <t>E001-305</t>
  </si>
  <si>
    <t>E001-310</t>
  </si>
  <si>
    <t>E001-319</t>
  </si>
  <si>
    <t>E001-325</t>
  </si>
  <si>
    <t>E001-331</t>
  </si>
  <si>
    <t>E001-339</t>
  </si>
  <si>
    <t>CH-LUN-GM-OTR00-005-A</t>
  </si>
  <si>
    <t>Candelaria Pilares</t>
  </si>
  <si>
    <t>CH-COD-UG-OTR00-003-B</t>
  </si>
  <si>
    <t>Planificacion Minera Subterranea</t>
  </si>
  <si>
    <t>PE-MSR-UG-OTR00-042-A</t>
  </si>
  <si>
    <t>Raura Modelo Operacional</t>
  </si>
  <si>
    <t>E001-170</t>
  </si>
  <si>
    <t>E001-171</t>
  </si>
  <si>
    <t>E001-176</t>
  </si>
  <si>
    <t>E001-180</t>
  </si>
  <si>
    <t>E001-196</t>
  </si>
  <si>
    <t>CH-CMP-OT-OTR00-025-A</t>
  </si>
  <si>
    <t>RDP</t>
  </si>
  <si>
    <t>VP Mining</t>
  </si>
  <si>
    <t>CH-CMP-OP-OTR00-018-A</t>
  </si>
  <si>
    <t>Romeral</t>
  </si>
  <si>
    <t>PE-MSR-UG-OTR00-043-A</t>
  </si>
  <si>
    <t>San Rafael Contrato Marco</t>
  </si>
  <si>
    <t>E001-186</t>
  </si>
  <si>
    <t>PE-MSR-UG-OTR00-044-A</t>
  </si>
  <si>
    <t>San Rafael Modelo Operacional</t>
  </si>
  <si>
    <t>E001-185</t>
  </si>
  <si>
    <t>E001-192</t>
  </si>
  <si>
    <t>E001-201</t>
  </si>
  <si>
    <t>El dia 29/02 llegó un correo del cliente donde emite la Orden de Cambio / a petición de cliente se separo el monto en 2 EDP</t>
  </si>
  <si>
    <t>E001-203</t>
  </si>
  <si>
    <t>PE-MSR-UG-OTR00-045-A</t>
  </si>
  <si>
    <t>Minsur_SIMPREP San Rafael</t>
  </si>
  <si>
    <t>E001-205</t>
  </si>
  <si>
    <t>E001-217</t>
  </si>
  <si>
    <t>E001-221</t>
  </si>
  <si>
    <t>Sierra Metals_Plan de Minado</t>
  </si>
  <si>
    <t>Sierra Metals</t>
  </si>
  <si>
    <t>E001-219</t>
  </si>
  <si>
    <t>El cliente desea que la totalidad del proyecto este en un EDP</t>
  </si>
  <si>
    <t>E001-239</t>
  </si>
  <si>
    <t>Se acordó con cliente cobrar al 90% del monto contractual</t>
  </si>
  <si>
    <t>E001-264</t>
  </si>
  <si>
    <t>E001-270</t>
  </si>
  <si>
    <t>E001-283</t>
  </si>
  <si>
    <t>CH-BHP-OP-OTR00-085-A</t>
  </si>
  <si>
    <t>Spence_Confiabilidad Plan 2YB 2025</t>
  </si>
  <si>
    <t>BR-TAB-OP-FEL00-158-A</t>
  </si>
  <si>
    <t>Taboca</t>
  </si>
  <si>
    <t>ThreeCrowns</t>
  </si>
  <si>
    <t>Invoice fueron ajustados y emitidos el 11/07</t>
  </si>
  <si>
    <t>Se elimina fee 10% adm</t>
  </si>
  <si>
    <t>TwinMetals</t>
  </si>
  <si>
    <t>PE-VLC-GM-FEL00-166-A</t>
  </si>
  <si>
    <t>Volcan</t>
  </si>
  <si>
    <t>E001-334</t>
  </si>
  <si>
    <t>E001-335</t>
  </si>
  <si>
    <t>PE-VLC-GM-FEL00-157-A</t>
  </si>
  <si>
    <t>Alpamarca</t>
  </si>
  <si>
    <t>E001-336</t>
  </si>
  <si>
    <t>CH-PUC-CS-OTR00-170-A</t>
  </si>
  <si>
    <t>PUCOBRE</t>
  </si>
  <si>
    <t>CH-AAM-CS-OTR00-179-A</t>
  </si>
  <si>
    <t>CH-COD-UG-FEL00-174-A</t>
  </si>
  <si>
    <t>PE-SPM-UG-FEL03-160-A</t>
  </si>
  <si>
    <t>Santander Peruvian</t>
  </si>
  <si>
    <t>Factorizar</t>
  </si>
  <si>
    <t>PE-NEX-GM-FEL00-167-A</t>
  </si>
  <si>
    <t>PE-NEX-CS-OTR00-168-A</t>
  </si>
  <si>
    <t>E001-337</t>
  </si>
  <si>
    <t>OT-FNE-CS-OTR00-176-A</t>
  </si>
  <si>
    <t>Franco Nevada</t>
  </si>
  <si>
    <t>CH-COL-CS-OTR00-180-A</t>
  </si>
  <si>
    <t>Collahuasi</t>
  </si>
  <si>
    <t>CH-AMS-CS-OTR00-165-A</t>
  </si>
  <si>
    <t>Etiquetas de columna</t>
  </si>
  <si>
    <t>Retenciones FEL 2A y Otro</t>
  </si>
  <si>
    <t>En validación</t>
  </si>
  <si>
    <t>Retenciones AARR</t>
  </si>
  <si>
    <t>The Boston Consulting Group</t>
  </si>
  <si>
    <t>BCG</t>
  </si>
  <si>
    <t>E001-343</t>
  </si>
  <si>
    <t>E001-344</t>
  </si>
  <si>
    <t>E001-345</t>
  </si>
  <si>
    <t>E001-346</t>
  </si>
  <si>
    <t>365 / 366</t>
  </si>
  <si>
    <t>1C</t>
  </si>
  <si>
    <t>E001-341</t>
  </si>
  <si>
    <t>Facturas inicialmente mal emitidas</t>
  </si>
  <si>
    <t>E001-342</t>
  </si>
  <si>
    <t>E001-348</t>
  </si>
  <si>
    <t>CH-GLE-CS-OTR00-183-A</t>
  </si>
  <si>
    <t>Glencore_Estrategia de Propiedades CMLB</t>
  </si>
  <si>
    <t>OT-RES-CS-OTR00-178-A</t>
  </si>
  <si>
    <t>Resolution</t>
  </si>
  <si>
    <t>PE-MMA-OP-FEL00-182-A</t>
  </si>
  <si>
    <t>E001-347</t>
  </si>
  <si>
    <t>BR-AUM-UG-FEL2A-181-A</t>
  </si>
  <si>
    <t>Segmentados en MV y MB</t>
  </si>
  <si>
    <t>Pagadas 349 y 350</t>
  </si>
  <si>
    <t>Pendiente la F 365</t>
  </si>
  <si>
    <t>Retiene 10%</t>
  </si>
  <si>
    <t>E001-349</t>
  </si>
  <si>
    <t>E001-350</t>
  </si>
  <si>
    <t>Fueron facturados juntos</t>
  </si>
  <si>
    <t>Miskimayo_Evaluación Transporte en Mina</t>
  </si>
  <si>
    <t>AuraMinerals_Proyecto Paiol PFS UG</t>
  </si>
  <si>
    <t>CH-CRF-CS-FEL00-169-A</t>
  </si>
  <si>
    <t>CORFO</t>
  </si>
  <si>
    <t>CH-AMS-OP-FEL00-171-A</t>
  </si>
  <si>
    <t>2026</t>
  </si>
  <si>
    <t>No procede</t>
  </si>
  <si>
    <t>E001-352</t>
  </si>
  <si>
    <t>Se presentó un EDP al 80% en dic-25</t>
  </si>
  <si>
    <t>E001-351</t>
  </si>
  <si>
    <t>E001-353</t>
  </si>
  <si>
    <t xml:space="preserve"> </t>
  </si>
  <si>
    <t>PE-BRO-GM-FEL00-191-A</t>
  </si>
  <si>
    <t>PE-CSC-CS-OTR00-192-A</t>
  </si>
  <si>
    <t>ElBrocal_Estudio Geomecanico Estabilidad</t>
  </si>
  <si>
    <t>Los Calatos_Resource Development Plan</t>
  </si>
  <si>
    <t>NORILSK1-FS</t>
  </si>
  <si>
    <t>Lomas Bayas - LoA24</t>
  </si>
  <si>
    <t>Raura Operativo</t>
  </si>
  <si>
    <t>Mosaic_Cajati</t>
  </si>
  <si>
    <t>Marcobre - Minajusta</t>
  </si>
  <si>
    <t>LasBambas_Ferrobamba_OP_UG</t>
  </si>
  <si>
    <t>AMSA_Planificacion</t>
  </si>
  <si>
    <t>CMP Estandar Planificación</t>
  </si>
  <si>
    <t>Actualización Lom Raura</t>
  </si>
  <si>
    <t>Adrianita -Raúl</t>
  </si>
  <si>
    <t>AESA Rendimientos</t>
  </si>
  <si>
    <t>Candelaria (Estandar y Planificacion)</t>
  </si>
  <si>
    <t>CMP - FEL 2A</t>
  </si>
  <si>
    <t>CMP_CNN Update plan LOM</t>
  </si>
  <si>
    <t>Codelco_Capacitacion Deswik DET</t>
  </si>
  <si>
    <t>Compilación de  R&amp;R</t>
  </si>
  <si>
    <t>CSH_LOM Mina Guarello</t>
  </si>
  <si>
    <t>Cuellos de botella del Plan 2YB - Spence</t>
  </si>
  <si>
    <t>Diagnóstico Operacional Candelaria</t>
  </si>
  <si>
    <t>ITS Yauricocha</t>
  </si>
  <si>
    <t>J&amp;F_Autazes Due Diligence</t>
  </si>
  <si>
    <t>LOM CNN 2023</t>
  </si>
  <si>
    <t>LOM MLC 2023</t>
  </si>
  <si>
    <t>MARA - Simulación Sistema Manejo Estéril</t>
  </si>
  <si>
    <t>NorGold</t>
  </si>
  <si>
    <t>OKT-NFM-FS</t>
  </si>
  <si>
    <t>Pelambres</t>
  </si>
  <si>
    <t>CD Capitals</t>
  </si>
  <si>
    <t>Pilares Mineros - Candelaria</t>
  </si>
  <si>
    <t>Planificación Minera Subterránea</t>
  </si>
  <si>
    <t>San Rafael Gestión Operativa</t>
  </si>
  <si>
    <t>San Rafael: Gestión del Corto Plazo</t>
  </si>
  <si>
    <t>E001-269</t>
  </si>
  <si>
    <t>PE-HCS-UG-FEL00-190-A</t>
  </si>
  <si>
    <t>Hochschild_FS Metodos de Minado Tesoro</t>
  </si>
  <si>
    <t>Hochschild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</si>
</sst>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 #,##0_ ;_ * \-#,##0_ ;_ * &quot;-&quot;_ ;_ @_ "/>
    <numFmt numFmtId="164" formatCode="0.0%"/>
    <numFmt numFmtId="165" formatCode="dd\-mmm"/>
    <numFmt numFmtId="166" formatCode="_(* #,##0.00_);_(* \(#,##0.00\);_(* &quot;-&quot;??_);_(@_)"/>
    <numFmt numFmtId="167" formatCode="_(* #,##0_);_(* \(#,##0\);_(* &quot;-&quot;??_);_(@_)"/>
    <numFmt numFmtId="168" formatCode="[$-409]d\-mmm;@"/>
    <numFmt numFmtId="169" formatCode="_-* #,##0.00\ _€_-;\-* #,##0.00\ _€_-;_-* &quot;-&quot;??\ _€_-;_-@_-"/>
  </numFmts>
  <fonts count="39" x14ac:knownFonts="1">
    <font>
      <sz val="11"/>
      <color theme="1"/>
      <name val="Aptos Narrow"/>
      <family val="2"/>
      <scheme val="minor"/>
    </font>
    <font>
      <sz val="11"/>
      <color theme="1"/>
      <name val="Aptos Narrow"/>
      <family val="2"/>
      <scheme val="minor"/>
    </font>
    <font>
      <sz val="11"/>
      <color rgb="FF006100"/>
      <name val="Aptos Narrow"/>
      <family val="2"/>
      <scheme val="minor"/>
    </font>
    <font>
      <sz val="11"/>
      <color rgb="FFFF0000"/>
      <name val="Aptos Narrow"/>
      <family val="2"/>
      <scheme val="minor"/>
    </font>
    <font>
      <b/>
      <sz val="11"/>
      <color theme="1"/>
      <name val="Aptos Narrow"/>
      <family val="2"/>
      <scheme val="minor"/>
    </font>
    <font>
      <b/>
      <sz val="9"/>
      <color indexed="81"/>
      <name val="Tahoma"/>
      <family val="2"/>
    </font>
    <font>
      <sz val="9"/>
      <color indexed="81"/>
      <name val="Tahoma"/>
      <family val="2"/>
    </font>
    <font>
      <sz val="10"/>
      <color theme="1"/>
      <name val="Aptos Narrow"/>
      <family val="2"/>
      <scheme val="minor"/>
    </font>
    <font>
      <b/>
      <sz val="10"/>
      <color theme="0"/>
      <name val="Aptos Narrow"/>
      <family val="2"/>
      <scheme val="minor"/>
    </font>
    <font>
      <sz val="10"/>
      <name val="Aptos Narrow"/>
      <family val="2"/>
      <scheme val="minor"/>
    </font>
    <font>
      <sz val="10"/>
      <color rgb="FF006100"/>
      <name val="Aptos Narrow"/>
      <family val="2"/>
      <scheme val="minor"/>
    </font>
    <font>
      <sz val="10"/>
      <color rgb="FFFF0000"/>
      <name val="Aptos Narrow"/>
      <family val="2"/>
      <scheme val="minor"/>
    </font>
    <font>
      <strike/>
      <sz val="10"/>
      <color rgb="FFFF0000"/>
      <name val="Aptos Narrow"/>
      <family val="2"/>
      <scheme val="minor"/>
    </font>
    <font>
      <b/>
      <sz val="10"/>
      <name val="Aptos Narrow"/>
      <family val="2"/>
      <scheme val="minor"/>
    </font>
    <font>
      <sz val="11"/>
      <color rgb="FFFFC000"/>
      <name val="Aptos Narrow"/>
      <family val="2"/>
      <scheme val="minor"/>
    </font>
    <font>
      <sz val="11"/>
      <color theme="9"/>
      <name val="Aptos Narrow"/>
      <family val="2"/>
      <scheme val="minor"/>
    </font>
    <font>
      <sz val="11"/>
      <name val="Aptos Narrow"/>
      <family val="2"/>
      <scheme val="minor"/>
    </font>
    <font>
      <sz val="11"/>
      <color theme="0" tint="-0.14999847407452621"/>
      <name val="Aptos Narrow"/>
      <family val="2"/>
      <scheme val="minor"/>
    </font>
    <font>
      <b/>
      <sz val="11"/>
      <color theme="0" tint="-0.14999847407452621"/>
      <name val="Aptos Narrow"/>
      <family val="2"/>
      <scheme val="minor"/>
    </font>
    <font>
      <sz val="11"/>
      <color rgb="FFEE0000"/>
      <name val="Aptos Narrow"/>
      <family val="2"/>
      <scheme val="minor"/>
    </font>
    <font>
      <b/>
      <sz val="11"/>
      <color rgb="FFEE0000"/>
      <name val="Aptos Narrow"/>
      <family val="2"/>
      <scheme val="minor"/>
    </font>
    <font>
      <b/>
      <sz val="11"/>
      <name val="Aptos Narrow"/>
      <family val="2"/>
      <scheme val="minor"/>
    </font>
    <font>
      <sz val="11"/>
      <color theme="8"/>
      <name val="Aptos Narrow"/>
      <family val="2"/>
      <scheme val="minor"/>
    </font>
    <font>
      <sz val="11"/>
      <color rgb="FF7030A0"/>
      <name val="Aptos Narrow"/>
      <family val="2"/>
      <scheme val="minor"/>
    </font>
    <font>
      <b/>
      <sz val="11"/>
      <color rgb="FFFF0000"/>
      <name val="Aptos Narrow"/>
      <family val="2"/>
      <scheme val="minor"/>
    </font>
    <font>
      <sz val="10"/>
      <color rgb="FFEE0000"/>
      <name val="Aptos Narrow"/>
      <family val="2"/>
      <scheme val="minor"/>
    </font>
    <font>
      <strike/>
      <sz val="11"/>
      <color rgb="FFFF0000"/>
      <name val="Aptos Narrow"/>
      <family val="2"/>
      <scheme val="minor"/>
    </font>
    <font>
      <b/>
      <strike/>
      <sz val="11"/>
      <color rgb="FFFF0000"/>
      <name val="Aptos Narrow"/>
      <family val="2"/>
      <scheme val="minor"/>
    </font>
    <font>
      <sz val="9"/>
      <color theme="1"/>
      <name val="Aptos Narrow"/>
      <family val="2"/>
      <scheme val="minor"/>
    </font>
    <font>
      <strike/>
      <sz val="9"/>
      <color theme="1"/>
      <name val="Aptos Narrow"/>
      <family val="2"/>
      <scheme val="minor"/>
    </font>
    <font>
      <sz val="9"/>
      <color theme="9" tint="-0.249977111117893"/>
      <name val="Aptos Narrow"/>
      <family val="2"/>
      <scheme val="minor"/>
    </font>
    <font>
      <sz val="9"/>
      <color rgb="FF00B050"/>
      <name val="Aptos Narrow"/>
      <family val="2"/>
      <scheme val="minor"/>
    </font>
    <font>
      <sz val="9"/>
      <color theme="5"/>
      <name val="Aptos Narrow"/>
      <family val="2"/>
      <scheme val="minor"/>
    </font>
    <font>
      <sz val="9"/>
      <color rgb="FF7030A0"/>
      <name val="Aptos Narrow"/>
      <family val="2"/>
      <scheme val="minor"/>
    </font>
    <font>
      <sz val="9"/>
      <color rgb="FFFF0000"/>
      <name val="Aptos Narrow"/>
      <family val="2"/>
      <scheme val="minor"/>
    </font>
    <font>
      <sz val="9"/>
      <color rgb="FF00CC00"/>
      <name val="Aptos Narrow"/>
      <family val="2"/>
      <scheme val="minor"/>
    </font>
    <font>
      <sz val="9"/>
      <color theme="9"/>
      <name val="Aptos Narrow"/>
      <family val="2"/>
      <scheme val="minor"/>
    </font>
    <font>
      <b/>
      <sz val="11"/>
      <color theme="2" tint="-9.9978637043366805E-2"/>
      <name val="Aptos Narrow"/>
      <family val="2"/>
      <scheme val="minor"/>
    </font>
    <font>
      <u/>
      <sz val="11"/>
      <color theme="10"/>
      <name val="Aptos Narrow"/>
      <family val="2"/>
      <scheme val="minor"/>
    </font>
  </fonts>
  <fills count="22">
    <fill>
      <patternFill patternType="none"/>
    </fill>
    <fill>
      <patternFill patternType="gray125"/>
    </fill>
    <fill>
      <patternFill patternType="solid">
        <fgColor rgb="FFC6EFCE"/>
      </patternFill>
    </fill>
    <fill>
      <patternFill patternType="solid">
        <fgColor theme="6" tint="0.59999389629810485"/>
        <bgColor indexed="65"/>
      </patternFill>
    </fill>
    <fill>
      <patternFill patternType="solid">
        <fgColor theme="7" tint="0.79998168889431442"/>
        <bgColor indexed="65"/>
      </patternFill>
    </fill>
    <fill>
      <patternFill patternType="solid">
        <fgColor rgb="FFFFFF00"/>
        <bgColor indexed="64"/>
      </patternFill>
    </fill>
    <fill>
      <patternFill patternType="solid">
        <fgColor rgb="FFFFC000"/>
        <bgColor indexed="64"/>
      </patternFill>
    </fill>
    <fill>
      <patternFill patternType="solid">
        <fgColor theme="9"/>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0000"/>
        <bgColor indexed="64"/>
      </patternFill>
    </fill>
    <fill>
      <patternFill patternType="solid">
        <fgColor theme="3" tint="-0.249977111117893"/>
        <bgColor indexed="64"/>
      </patternFill>
    </fill>
    <fill>
      <patternFill patternType="solid">
        <fgColor rgb="FF00B050"/>
        <bgColor indexed="64"/>
      </patternFill>
    </fill>
    <fill>
      <patternFill patternType="solid">
        <fgColor theme="0"/>
        <bgColor indexed="64"/>
      </patternFill>
    </fill>
    <fill>
      <patternFill patternType="solid">
        <fgColor theme="2"/>
        <bgColor indexed="64"/>
      </patternFill>
    </fill>
    <fill>
      <patternFill patternType="solid">
        <fgColor theme="8" tint="0.39997558519241921"/>
        <bgColor indexed="64"/>
      </patternFill>
    </fill>
    <fill>
      <patternFill patternType="solid">
        <fgColor rgb="FFFFFFCC"/>
        <bgColor indexed="64"/>
      </patternFill>
    </fill>
    <fill>
      <patternFill patternType="solid">
        <fgColor theme="0" tint="-0.14999847407452621"/>
        <bgColor indexed="64"/>
      </patternFill>
    </fill>
    <fill>
      <patternFill patternType="solid">
        <fgColor rgb="FF00CC00"/>
        <bgColor indexed="64"/>
      </patternFill>
    </fill>
    <fill>
      <patternFill patternType="solid">
        <fgColor rgb="FF92D050"/>
        <bgColor indexed="64"/>
      </patternFill>
    </fill>
    <fill>
      <patternFill patternType="solid">
        <fgColor theme="5"/>
        <bgColor indexed="64"/>
      </patternFill>
    </fill>
    <fill>
      <patternFill patternType="solid">
        <fgColor theme="9" tint="0.59999389629810485"/>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2">
    <xf numFmtId="0" fontId="0" fillId="0" borderId="0"/>
    <xf numFmtId="41"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41" fontId="1" fillId="0" borderId="0" applyFont="0" applyFill="0" applyBorder="0" applyAlignment="0" applyProtection="0"/>
    <xf numFmtId="166" fontId="1" fillId="0" borderId="0" applyFont="0" applyFill="0" applyBorder="0" applyAlignment="0" applyProtection="0"/>
    <xf numFmtId="169" fontId="1" fillId="0" borderId="0" applyFont="0" applyFill="0" applyBorder="0" applyAlignment="0" applyProtection="0"/>
    <xf numFmtId="0" fontId="38" fillId="0" borderId="0" applyNumberFormat="0" applyFill="0" applyBorder="0" applyAlignment="0" applyProtection="0"/>
    <xf numFmtId="41" fontId="1" fillId="0" borderId="0" applyFont="0" applyFill="0" applyBorder="0" applyAlignment="0" applyProtection="0"/>
    <xf numFmtId="41" fontId="1" fillId="0" borderId="0" applyFont="0" applyFill="0" applyBorder="0" applyAlignment="0" applyProtection="0"/>
  </cellStyleXfs>
  <cellXfs count="162">
    <xf numFmtId="0" fontId="0" fillId="0" borderId="0" xfId="0"/>
    <xf numFmtId="3" fontId="0" fillId="0" borderId="0" xfId="0" applyNumberFormat="1"/>
    <xf numFmtId="0" fontId="7" fillId="0" borderId="0" xfId="0" applyFont="1"/>
    <xf numFmtId="0" fontId="8" fillId="11" borderId="0" xfId="0" applyFont="1" applyFill="1" applyAlignment="1">
      <alignment vertical="center"/>
    </xf>
    <xf numFmtId="0" fontId="8" fillId="11" borderId="0" xfId="0" applyFont="1" applyFill="1" applyAlignment="1">
      <alignment vertical="center" wrapText="1"/>
    </xf>
    <xf numFmtId="0" fontId="8" fillId="11" borderId="0" xfId="0" applyFont="1" applyFill="1" applyAlignment="1">
      <alignment horizontal="center" vertical="center" wrapText="1"/>
    </xf>
    <xf numFmtId="0" fontId="8" fillId="12" borderId="0" xfId="0" applyFont="1" applyFill="1" applyAlignment="1">
      <alignment horizontal="center" vertical="center" wrapText="1"/>
    </xf>
    <xf numFmtId="0" fontId="9" fillId="13" borderId="1" xfId="0" applyFont="1" applyFill="1" applyBorder="1" applyAlignment="1">
      <alignment horizontal="left" vertical="center" wrapText="1"/>
    </xf>
    <xf numFmtId="0" fontId="10" fillId="2" borderId="1" xfId="3" applyFont="1" applyBorder="1" applyAlignment="1">
      <alignment horizontal="left" vertical="center" wrapText="1"/>
    </xf>
    <xf numFmtId="41" fontId="7" fillId="3" borderId="1" xfId="1" applyFont="1" applyFill="1" applyBorder="1" applyAlignment="1">
      <alignment horizontal="center" vertical="center" wrapText="1"/>
    </xf>
    <xf numFmtId="41" fontId="7" fillId="0" borderId="2" xfId="4" applyNumberFormat="1" applyFont="1" applyFill="1" applyBorder="1" applyAlignment="1">
      <alignment horizontal="center" vertical="center" wrapText="1"/>
    </xf>
    <xf numFmtId="9" fontId="7" fillId="0" borderId="1" xfId="2" applyFont="1" applyFill="1" applyBorder="1" applyAlignment="1">
      <alignment horizontal="center" vertical="center" wrapText="1"/>
    </xf>
    <xf numFmtId="41" fontId="7" fillId="3" borderId="1" xfId="4" applyNumberFormat="1" applyFont="1" applyBorder="1" applyAlignment="1">
      <alignment horizontal="center" vertical="center" wrapText="1"/>
    </xf>
    <xf numFmtId="9" fontId="7" fillId="0" borderId="2" xfId="2" applyFont="1" applyFill="1" applyBorder="1" applyAlignment="1">
      <alignment horizontal="center" vertical="center" wrapText="1"/>
    </xf>
    <xf numFmtId="41" fontId="7" fillId="0" borderId="2" xfId="2" applyNumberFormat="1" applyFont="1" applyFill="1" applyBorder="1" applyAlignment="1">
      <alignment horizontal="center" vertical="center" wrapText="1"/>
    </xf>
    <xf numFmtId="41" fontId="9" fillId="8" borderId="1" xfId="6" applyFont="1" applyFill="1" applyBorder="1" applyAlignment="1">
      <alignment horizontal="center" vertical="center" wrapText="1"/>
    </xf>
    <xf numFmtId="41" fontId="7" fillId="0" borderId="1" xfId="5" applyNumberFormat="1" applyFont="1" applyFill="1" applyBorder="1" applyAlignment="1">
      <alignment horizontal="center" vertical="center" wrapText="1"/>
    </xf>
    <xf numFmtId="41" fontId="9" fillId="14" borderId="1" xfId="5" applyNumberFormat="1" applyFont="1" applyFill="1" applyBorder="1" applyAlignment="1">
      <alignment horizontal="center" vertical="center" wrapText="1"/>
    </xf>
    <xf numFmtId="41" fontId="11" fillId="15" borderId="1" xfId="5" applyNumberFormat="1" applyFont="1" applyFill="1" applyBorder="1" applyAlignment="1">
      <alignment horizontal="center" vertical="center" wrapText="1"/>
    </xf>
    <xf numFmtId="41" fontId="9" fillId="14" borderId="2" xfId="5" applyNumberFormat="1" applyFont="1" applyFill="1" applyBorder="1" applyAlignment="1">
      <alignment horizontal="center" vertical="center" wrapText="1"/>
    </xf>
    <xf numFmtId="41" fontId="11" fillId="14" borderId="1" xfId="5" applyNumberFormat="1" applyFont="1" applyFill="1" applyBorder="1" applyAlignment="1">
      <alignment horizontal="center" vertical="center" wrapText="1"/>
    </xf>
    <xf numFmtId="41" fontId="7" fillId="0" borderId="2" xfId="5" applyNumberFormat="1" applyFont="1" applyFill="1" applyBorder="1" applyAlignment="1">
      <alignment horizontal="center" vertical="center" wrapText="1"/>
    </xf>
    <xf numFmtId="9" fontId="7" fillId="0" borderId="0" xfId="2" applyFont="1"/>
    <xf numFmtId="0" fontId="9" fillId="0" borderId="1" xfId="0" applyFont="1" applyBorder="1" applyAlignment="1">
      <alignment horizontal="left" vertical="center" wrapText="1"/>
    </xf>
    <xf numFmtId="41" fontId="9" fillId="5" borderId="1" xfId="5" applyNumberFormat="1" applyFont="1" applyFill="1" applyBorder="1" applyAlignment="1">
      <alignment horizontal="center" vertical="center" wrapText="1"/>
    </xf>
    <xf numFmtId="1" fontId="7" fillId="0" borderId="0" xfId="2" applyNumberFormat="1" applyFont="1"/>
    <xf numFmtId="9" fontId="7" fillId="0" borderId="1" xfId="2" applyFont="1" applyBorder="1" applyAlignment="1">
      <alignment horizontal="center" vertical="center" wrapText="1"/>
    </xf>
    <xf numFmtId="9" fontId="7" fillId="0" borderId="2" xfId="2" applyFont="1" applyBorder="1" applyAlignment="1">
      <alignment horizontal="center" vertical="center" wrapText="1"/>
    </xf>
    <xf numFmtId="41" fontId="7" fillId="0" borderId="2" xfId="2" applyNumberFormat="1" applyFont="1" applyBorder="1" applyAlignment="1">
      <alignment horizontal="center" vertical="center" wrapText="1"/>
    </xf>
    <xf numFmtId="0" fontId="11" fillId="13" borderId="1" xfId="0" applyFont="1" applyFill="1" applyBorder="1" applyAlignment="1">
      <alignment horizontal="left" vertical="center" wrapText="1"/>
    </xf>
    <xf numFmtId="41" fontId="12" fillId="0" borderId="2" xfId="2" applyNumberFormat="1" applyFont="1" applyFill="1" applyBorder="1" applyAlignment="1">
      <alignment horizontal="center" vertical="center" wrapText="1"/>
    </xf>
    <xf numFmtId="41" fontId="7" fillId="0" borderId="0" xfId="2" applyNumberFormat="1" applyFont="1"/>
    <xf numFmtId="0" fontId="11" fillId="0" borderId="1" xfId="0" applyFont="1" applyBorder="1" applyAlignment="1">
      <alignment horizontal="left" vertical="center" wrapText="1"/>
    </xf>
    <xf numFmtId="0" fontId="13" fillId="15" borderId="1" xfId="0" applyFont="1" applyFill="1" applyBorder="1" applyAlignment="1">
      <alignment horizontal="left" vertical="center" wrapText="1"/>
    </xf>
    <xf numFmtId="41" fontId="13" fillId="15" borderId="1" xfId="6" applyFont="1" applyFill="1" applyBorder="1" applyAlignment="1">
      <alignment horizontal="center" vertical="center" wrapText="1"/>
    </xf>
    <xf numFmtId="9" fontId="13" fillId="15" borderId="1" xfId="2" applyFont="1" applyFill="1" applyBorder="1" applyAlignment="1">
      <alignment horizontal="center" vertical="center" wrapText="1"/>
    </xf>
    <xf numFmtId="41" fontId="13" fillId="15" borderId="1" xfId="1" applyFont="1" applyFill="1" applyBorder="1" applyAlignment="1">
      <alignment horizontal="center" vertical="center" wrapText="1"/>
    </xf>
    <xf numFmtId="9" fontId="7" fillId="0" borderId="0" xfId="0" applyNumberFormat="1" applyFont="1"/>
    <xf numFmtId="41" fontId="7" fillId="0" borderId="0" xfId="1" applyFont="1" applyAlignment="1">
      <alignment horizontal="center"/>
    </xf>
    <xf numFmtId="41" fontId="7" fillId="0" borderId="0" xfId="0" applyNumberFormat="1" applyFont="1"/>
    <xf numFmtId="3" fontId="7" fillId="0" borderId="0" xfId="0" applyNumberFormat="1" applyFont="1"/>
    <xf numFmtId="164" fontId="7" fillId="0" borderId="0" xfId="2" applyNumberFormat="1" applyFont="1"/>
    <xf numFmtId="41" fontId="7" fillId="0" borderId="0" xfId="1" applyFont="1"/>
    <xf numFmtId="0" fontId="0" fillId="9" borderId="0" xfId="0" applyFill="1"/>
    <xf numFmtId="3" fontId="14" fillId="0" borderId="0" xfId="0" applyNumberFormat="1" applyFont="1"/>
    <xf numFmtId="3" fontId="14" fillId="10" borderId="0" xfId="0" applyNumberFormat="1" applyFont="1" applyFill="1"/>
    <xf numFmtId="0" fontId="14" fillId="0" borderId="0" xfId="0" applyFont="1"/>
    <xf numFmtId="0" fontId="14" fillId="10" borderId="0" xfId="0" applyFont="1" applyFill="1"/>
    <xf numFmtId="3" fontId="4" fillId="0" borderId="0" xfId="0" applyNumberFormat="1" applyFont="1"/>
    <xf numFmtId="0" fontId="4" fillId="0" borderId="0" xfId="0" applyFont="1"/>
    <xf numFmtId="0" fontId="3" fillId="0" borderId="0" xfId="0" applyFont="1"/>
    <xf numFmtId="3" fontId="15" fillId="0" borderId="0" xfId="0" applyNumberFormat="1" applyFont="1"/>
    <xf numFmtId="0" fontId="16" fillId="0" borderId="0" xfId="0" applyFont="1"/>
    <xf numFmtId="17" fontId="4" fillId="9" borderId="0" xfId="0" applyNumberFormat="1" applyFont="1" applyFill="1"/>
    <xf numFmtId="0" fontId="4" fillId="9" borderId="0" xfId="0" applyFont="1" applyFill="1"/>
    <xf numFmtId="0" fontId="4" fillId="8" borderId="0" xfId="0" applyFont="1" applyFill="1"/>
    <xf numFmtId="0" fontId="4" fillId="17" borderId="0" xfId="0" applyFont="1" applyFill="1"/>
    <xf numFmtId="3" fontId="4" fillId="17" borderId="0" xfId="0" applyNumberFormat="1" applyFont="1" applyFill="1"/>
    <xf numFmtId="3" fontId="15" fillId="10" borderId="0" xfId="0" applyNumberFormat="1" applyFont="1" applyFill="1"/>
    <xf numFmtId="0" fontId="15" fillId="0" borderId="0" xfId="0" applyFont="1"/>
    <xf numFmtId="0" fontId="17" fillId="0" borderId="0" xfId="0" applyFont="1"/>
    <xf numFmtId="3" fontId="17" fillId="0" borderId="0" xfId="0" applyNumberFormat="1" applyFont="1"/>
    <xf numFmtId="3" fontId="18" fillId="0" borderId="0" xfId="0" applyNumberFormat="1" applyFont="1"/>
    <xf numFmtId="164" fontId="18" fillId="0" borderId="0" xfId="2" applyNumberFormat="1" applyFont="1"/>
    <xf numFmtId="0" fontId="19" fillId="0" borderId="0" xfId="0" applyFont="1"/>
    <xf numFmtId="3" fontId="19" fillId="0" borderId="0" xfId="0" applyNumberFormat="1" applyFont="1"/>
    <xf numFmtId="3" fontId="20" fillId="0" borderId="0" xfId="0" applyNumberFormat="1" applyFont="1"/>
    <xf numFmtId="0" fontId="16" fillId="16" borderId="0" xfId="0" applyFont="1" applyFill="1"/>
    <xf numFmtId="3" fontId="16" fillId="0" borderId="0" xfId="0" applyNumberFormat="1" applyFont="1"/>
    <xf numFmtId="3" fontId="21" fillId="0" borderId="0" xfId="0" applyNumberFormat="1" applyFont="1"/>
    <xf numFmtId="0" fontId="15" fillId="10" borderId="0" xfId="0" applyFont="1" applyFill="1"/>
    <xf numFmtId="3" fontId="22" fillId="0" borderId="0" xfId="0" applyNumberFormat="1" applyFont="1"/>
    <xf numFmtId="3" fontId="22" fillId="10" borderId="0" xfId="0" applyNumberFormat="1" applyFont="1" applyFill="1"/>
    <xf numFmtId="3" fontId="23" fillId="0" borderId="0" xfId="0" applyNumberFormat="1" applyFont="1"/>
    <xf numFmtId="0" fontId="0" fillId="10" borderId="0" xfId="0" applyFill="1"/>
    <xf numFmtId="0" fontId="24" fillId="16" borderId="0" xfId="0" applyFont="1" applyFill="1"/>
    <xf numFmtId="3" fontId="24" fillId="0" borderId="0" xfId="0" applyNumberFormat="1" applyFont="1"/>
    <xf numFmtId="0" fontId="16" fillId="9" borderId="0" xfId="0" applyFont="1" applyFill="1"/>
    <xf numFmtId="41" fontId="9" fillId="6" borderId="1" xfId="5" applyNumberFormat="1" applyFont="1" applyFill="1" applyBorder="1" applyAlignment="1">
      <alignment horizontal="center" vertical="center" wrapText="1"/>
    </xf>
    <xf numFmtId="41" fontId="9" fillId="7" borderId="1" xfId="5" applyNumberFormat="1" applyFont="1" applyFill="1" applyBorder="1" applyAlignment="1">
      <alignment horizontal="center" vertical="center" wrapText="1"/>
    </xf>
    <xf numFmtId="0" fontId="7" fillId="5" borderId="0" xfId="0" applyFont="1" applyFill="1"/>
    <xf numFmtId="41" fontId="25" fillId="14" borderId="1" xfId="5" applyNumberFormat="1" applyFont="1" applyFill="1" applyBorder="1" applyAlignment="1">
      <alignment horizontal="center" vertical="center" wrapText="1"/>
    </xf>
    <xf numFmtId="1" fontId="7" fillId="0" borderId="0" xfId="0" applyNumberFormat="1" applyFont="1"/>
    <xf numFmtId="0" fontId="26" fillId="0" borderId="0" xfId="0" applyFont="1"/>
    <xf numFmtId="0" fontId="27" fillId="16" borderId="0" xfId="0" applyFont="1" applyFill="1"/>
    <xf numFmtId="3" fontId="27" fillId="0" borderId="0" xfId="0" applyNumberFormat="1" applyFont="1"/>
    <xf numFmtId="3" fontId="23" fillId="10" borderId="0" xfId="0" applyNumberFormat="1" applyFont="1" applyFill="1"/>
    <xf numFmtId="0" fontId="16" fillId="10" borderId="0" xfId="0" applyFont="1" applyFill="1"/>
    <xf numFmtId="0" fontId="26" fillId="9" borderId="0" xfId="0" applyFont="1" applyFill="1"/>
    <xf numFmtId="3" fontId="26" fillId="10" borderId="0" xfId="0" applyNumberFormat="1" applyFont="1" applyFill="1"/>
    <xf numFmtId="9" fontId="0" fillId="0" borderId="0" xfId="2" applyFont="1"/>
    <xf numFmtId="0" fontId="26" fillId="10" borderId="0" xfId="0" applyFont="1" applyFill="1"/>
    <xf numFmtId="3" fontId="27" fillId="10" borderId="0" xfId="0" applyNumberFormat="1" applyFont="1" applyFill="1"/>
    <xf numFmtId="0" fontId="28" fillId="0" borderId="0" xfId="0" applyFont="1" applyAlignment="1">
      <alignment horizontal="center" vertical="center" wrapText="1"/>
    </xf>
    <xf numFmtId="0" fontId="28" fillId="0" borderId="0" xfId="0" applyFont="1" applyAlignment="1">
      <alignment horizontal="center" vertical="center"/>
    </xf>
    <xf numFmtId="16" fontId="28" fillId="0" borderId="0" xfId="0" applyNumberFormat="1" applyFont="1" applyAlignment="1">
      <alignment horizontal="center" vertical="center"/>
    </xf>
    <xf numFmtId="41" fontId="28" fillId="0" borderId="0" xfId="1" applyFont="1" applyFill="1" applyAlignment="1">
      <alignment horizontal="center" vertical="center"/>
    </xf>
    <xf numFmtId="41" fontId="28" fillId="0" borderId="0" xfId="1" applyFont="1" applyAlignment="1">
      <alignment horizontal="center" vertical="center"/>
    </xf>
    <xf numFmtId="0" fontId="29" fillId="0" borderId="0" xfId="0" applyFont="1" applyAlignment="1">
      <alignment horizontal="center" vertical="center"/>
    </xf>
    <xf numFmtId="0" fontId="34" fillId="0" borderId="0" xfId="0" applyFont="1" applyAlignment="1">
      <alignment horizontal="center" vertical="center"/>
    </xf>
    <xf numFmtId="41" fontId="28" fillId="20" borderId="0" xfId="1" applyFont="1" applyFill="1" applyAlignment="1">
      <alignment horizontal="center" vertical="center"/>
    </xf>
    <xf numFmtId="0" fontId="0" fillId="0" borderId="0" xfId="0" applyAlignment="1">
      <alignment horizontal="center"/>
    </xf>
    <xf numFmtId="0" fontId="0" fillId="0" borderId="0" xfId="0" pivotButton="1"/>
    <xf numFmtId="0" fontId="0" fillId="0" borderId="0" xfId="0" applyAlignment="1">
      <alignment horizontal="left"/>
    </xf>
    <xf numFmtId="3" fontId="37" fillId="0" borderId="0" xfId="0" applyNumberFormat="1" applyFont="1"/>
    <xf numFmtId="41" fontId="28" fillId="21" borderId="0" xfId="1" applyFont="1" applyFill="1" applyAlignment="1">
      <alignment horizontal="center" vertical="center"/>
    </xf>
    <xf numFmtId="3" fontId="17" fillId="0" borderId="0" xfId="2" applyNumberFormat="1" applyFont="1"/>
    <xf numFmtId="16" fontId="28" fillId="0" borderId="0" xfId="0" applyNumberFormat="1" applyFont="1" applyAlignment="1">
      <alignment horizontal="center" vertical="center" wrapText="1"/>
    </xf>
    <xf numFmtId="41" fontId="28" fillId="0" borderId="0" xfId="0" applyNumberFormat="1" applyFont="1" applyAlignment="1">
      <alignment horizontal="center" vertical="center"/>
    </xf>
    <xf numFmtId="16" fontId="34" fillId="0" borderId="0" xfId="0" applyNumberFormat="1" applyFont="1" applyAlignment="1">
      <alignment horizontal="center" vertical="center"/>
    </xf>
    <xf numFmtId="9" fontId="28" fillId="0" borderId="0" xfId="2" applyFont="1" applyAlignment="1">
      <alignment horizontal="center" vertical="center"/>
    </xf>
    <xf numFmtId="16" fontId="29" fillId="0" borderId="0" xfId="0" applyNumberFormat="1" applyFont="1" applyAlignment="1">
      <alignment horizontal="center" vertical="center"/>
    </xf>
    <xf numFmtId="0" fontId="28" fillId="5" borderId="0" xfId="0" applyFont="1" applyFill="1" applyAlignment="1">
      <alignment horizontal="center" vertical="center"/>
    </xf>
    <xf numFmtId="41" fontId="28" fillId="0" borderId="0" xfId="10" applyFont="1" applyAlignment="1">
      <alignment horizontal="center" vertical="center" wrapText="1"/>
    </xf>
    <xf numFmtId="0" fontId="28" fillId="0" borderId="0" xfId="0" applyFont="1" applyAlignment="1">
      <alignment horizontal="left" vertical="center"/>
    </xf>
    <xf numFmtId="9" fontId="28" fillId="0" borderId="0" xfId="2" applyFont="1" applyAlignment="1">
      <alignment horizontal="left" vertical="center"/>
    </xf>
    <xf numFmtId="0" fontId="29" fillId="0" borderId="0" xfId="0" applyFont="1" applyAlignment="1">
      <alignment horizontal="left" vertical="center"/>
    </xf>
    <xf numFmtId="165" fontId="28" fillId="0" borderId="0" xfId="0" applyNumberFormat="1" applyFont="1" applyAlignment="1">
      <alignment horizontal="center" vertical="center"/>
    </xf>
    <xf numFmtId="0" fontId="35" fillId="0" borderId="0" xfId="0" applyFont="1" applyAlignment="1">
      <alignment horizontal="center" vertical="center"/>
    </xf>
    <xf numFmtId="0" fontId="36" fillId="0" borderId="0" xfId="0" applyFont="1" applyAlignment="1">
      <alignment horizontal="center" vertical="center"/>
    </xf>
    <xf numFmtId="0" fontId="28" fillId="7" borderId="0" xfId="0" applyFont="1" applyFill="1" applyAlignment="1">
      <alignment horizontal="center" vertical="center"/>
    </xf>
    <xf numFmtId="0" fontId="31" fillId="0" borderId="0" xfId="0" applyFont="1" applyAlignment="1">
      <alignment horizontal="center" vertical="center"/>
    </xf>
    <xf numFmtId="41" fontId="28" fillId="5" borderId="0" xfId="0" applyNumberFormat="1" applyFont="1" applyFill="1" applyAlignment="1">
      <alignment horizontal="center" vertical="center"/>
    </xf>
    <xf numFmtId="165" fontId="28" fillId="5" borderId="0" xfId="0" applyNumberFormat="1" applyFont="1" applyFill="1" applyAlignment="1">
      <alignment horizontal="center" vertical="center"/>
    </xf>
    <xf numFmtId="16" fontId="28" fillId="5" borderId="0" xfId="0" applyNumberFormat="1" applyFont="1" applyFill="1" applyAlignment="1">
      <alignment horizontal="center" vertical="center"/>
    </xf>
    <xf numFmtId="0" fontId="28" fillId="18" borderId="0" xfId="0" applyFont="1" applyFill="1" applyAlignment="1">
      <alignment horizontal="center" vertical="center"/>
    </xf>
    <xf numFmtId="167" fontId="28" fillId="0" borderId="0" xfId="7" applyNumberFormat="1" applyFont="1" applyAlignment="1">
      <alignment horizontal="center" vertical="center"/>
    </xf>
    <xf numFmtId="168" fontId="28" fillId="0" borderId="0" xfId="7" applyNumberFormat="1" applyFont="1" applyAlignment="1">
      <alignment horizontal="center" vertical="center"/>
    </xf>
    <xf numFmtId="168" fontId="28" fillId="0" borderId="0" xfId="7" applyNumberFormat="1" applyFont="1" applyFill="1" applyAlignment="1">
      <alignment horizontal="center" vertical="center"/>
    </xf>
    <xf numFmtId="41" fontId="29" fillId="0" borderId="0" xfId="1" applyFont="1" applyAlignment="1">
      <alignment horizontal="center" vertical="center"/>
    </xf>
    <xf numFmtId="167" fontId="29" fillId="0" borderId="0" xfId="7" applyNumberFormat="1" applyFont="1" applyAlignment="1">
      <alignment horizontal="center" vertical="center"/>
    </xf>
    <xf numFmtId="168" fontId="29" fillId="0" borderId="0" xfId="7" applyNumberFormat="1" applyFont="1" applyAlignment="1">
      <alignment horizontal="center" vertical="center"/>
    </xf>
    <xf numFmtId="168" fontId="29" fillId="0" borderId="0" xfId="7" applyNumberFormat="1" applyFont="1" applyFill="1" applyAlignment="1">
      <alignment horizontal="center" vertical="center"/>
    </xf>
    <xf numFmtId="41" fontId="28" fillId="5" borderId="0" xfId="1" applyFont="1" applyFill="1" applyAlignment="1">
      <alignment horizontal="center" vertical="center"/>
    </xf>
    <xf numFmtId="41" fontId="30" fillId="0" borderId="0" xfId="1" applyFont="1" applyAlignment="1">
      <alignment horizontal="center" vertical="center"/>
    </xf>
    <xf numFmtId="41" fontId="29" fillId="0" borderId="0" xfId="1" applyFont="1" applyFill="1" applyAlignment="1">
      <alignment horizontal="center" vertical="center"/>
    </xf>
    <xf numFmtId="41" fontId="31" fillId="0" borderId="0" xfId="1" applyFont="1" applyAlignment="1">
      <alignment horizontal="center" vertical="center"/>
    </xf>
    <xf numFmtId="41" fontId="32" fillId="0" borderId="0" xfId="1" applyFont="1" applyAlignment="1">
      <alignment horizontal="center" vertical="center"/>
    </xf>
    <xf numFmtId="168" fontId="28" fillId="18" borderId="0" xfId="7" applyNumberFormat="1" applyFont="1" applyFill="1" applyAlignment="1">
      <alignment horizontal="center" vertical="center"/>
    </xf>
    <xf numFmtId="167" fontId="33" fillId="0" borderId="0" xfId="7" applyNumberFormat="1" applyFont="1" applyAlignment="1">
      <alignment horizontal="center" vertical="center"/>
    </xf>
    <xf numFmtId="167" fontId="28" fillId="0" borderId="0" xfId="7" applyNumberFormat="1" applyFont="1" applyFill="1" applyAlignment="1">
      <alignment horizontal="center" vertical="center"/>
    </xf>
    <xf numFmtId="167" fontId="28" fillId="19" borderId="0" xfId="7" applyNumberFormat="1" applyFont="1" applyFill="1" applyAlignment="1">
      <alignment horizontal="center" vertical="center"/>
    </xf>
    <xf numFmtId="41" fontId="32" fillId="0" borderId="0" xfId="1" applyFont="1" applyFill="1" applyAlignment="1">
      <alignment horizontal="center" vertical="center"/>
    </xf>
    <xf numFmtId="168" fontId="28" fillId="5" borderId="0" xfId="7" applyNumberFormat="1" applyFont="1" applyFill="1" applyAlignment="1">
      <alignment horizontal="center" vertical="center"/>
    </xf>
    <xf numFmtId="167" fontId="28" fillId="20" borderId="0" xfId="7" applyNumberFormat="1" applyFont="1" applyFill="1" applyAlignment="1">
      <alignment horizontal="center" vertical="center"/>
    </xf>
    <xf numFmtId="41" fontId="28" fillId="18" borderId="0" xfId="1" applyFont="1" applyFill="1" applyAlignment="1">
      <alignment horizontal="center" vertical="center"/>
    </xf>
    <xf numFmtId="0" fontId="29" fillId="0" borderId="0" xfId="1" applyNumberFormat="1" applyFont="1" applyFill="1" applyAlignment="1">
      <alignment horizontal="center" vertical="center"/>
    </xf>
    <xf numFmtId="0" fontId="29" fillId="0" borderId="0" xfId="7" applyNumberFormat="1" applyFont="1" applyAlignment="1">
      <alignment horizontal="center" vertical="center"/>
    </xf>
    <xf numFmtId="167" fontId="28" fillId="0" borderId="0" xfId="7" applyNumberFormat="1" applyFont="1" applyAlignment="1">
      <alignment horizontal="left" vertical="center"/>
    </xf>
    <xf numFmtId="167" fontId="28" fillId="5" borderId="0" xfId="7" applyNumberFormat="1" applyFont="1" applyFill="1" applyAlignment="1">
      <alignment horizontal="center" vertical="center"/>
    </xf>
    <xf numFmtId="41" fontId="34" fillId="0" borderId="0" xfId="1" applyFont="1" applyAlignment="1">
      <alignment horizontal="center" vertical="center"/>
    </xf>
    <xf numFmtId="41" fontId="34" fillId="0" borderId="0" xfId="1" applyFont="1" applyFill="1" applyAlignment="1">
      <alignment horizontal="center" vertical="center"/>
    </xf>
    <xf numFmtId="41" fontId="28" fillId="0" borderId="0" xfId="1" applyFont="1" applyFill="1" applyBorder="1" applyAlignment="1">
      <alignment horizontal="center" vertical="center"/>
    </xf>
    <xf numFmtId="0" fontId="28" fillId="5" borderId="0" xfId="7" applyNumberFormat="1" applyFont="1" applyFill="1" applyBorder="1" applyAlignment="1">
      <alignment horizontal="center" vertical="center"/>
    </xf>
    <xf numFmtId="167" fontId="28" fillId="5" borderId="0" xfId="7" applyNumberFormat="1" applyFont="1" applyFill="1" applyBorder="1" applyAlignment="1">
      <alignment horizontal="center" vertical="center"/>
    </xf>
    <xf numFmtId="168" fontId="28" fillId="0" borderId="0" xfId="7" applyNumberFormat="1" applyFont="1" applyBorder="1" applyAlignment="1">
      <alignment horizontal="center" vertical="center"/>
    </xf>
    <xf numFmtId="41" fontId="28" fillId="0" borderId="0" xfId="1" applyFont="1" applyBorder="1" applyAlignment="1">
      <alignment horizontal="center" vertical="center"/>
    </xf>
    <xf numFmtId="168" fontId="28" fillId="0" borderId="0" xfId="7" applyNumberFormat="1" applyFont="1" applyFill="1" applyBorder="1" applyAlignment="1">
      <alignment horizontal="center" vertical="center"/>
    </xf>
    <xf numFmtId="41" fontId="31" fillId="0" borderId="0" xfId="1" applyFont="1" applyFill="1" applyAlignment="1">
      <alignment horizontal="center" vertical="center"/>
    </xf>
    <xf numFmtId="168" fontId="28" fillId="20" borderId="0" xfId="7" applyNumberFormat="1" applyFont="1" applyFill="1" applyAlignment="1">
      <alignment horizontal="center" vertical="center"/>
    </xf>
    <xf numFmtId="0" fontId="28" fillId="0" borderId="0" xfId="7" applyNumberFormat="1" applyFont="1" applyAlignment="1">
      <alignment horizontal="center" vertical="center"/>
    </xf>
    <xf numFmtId="0" fontId="28" fillId="0" borderId="0" xfId="7" applyNumberFormat="1" applyFont="1" applyFill="1" applyAlignment="1">
      <alignment horizontal="center" vertical="center"/>
    </xf>
  </cellXfs>
  <cellStyles count="12">
    <cellStyle name="20% - Énfasis4" xfId="5" builtinId="42"/>
    <cellStyle name="40% - Énfasis3" xfId="4" builtinId="39"/>
    <cellStyle name="Bueno" xfId="3" builtinId="26"/>
    <cellStyle name="Hyperlink" xfId="9" xr:uid="{C7685478-053D-4818-AAC7-95ACC3F8C3E8}"/>
    <cellStyle name="Millares [0]" xfId="1" builtinId="6"/>
    <cellStyle name="Millares [0] 2" xfId="6" xr:uid="{587E47AD-263B-411C-B3C6-3EC9D3DDBB54}"/>
    <cellStyle name="Millares [0] 2 2" xfId="11" xr:uid="{09D0652E-B006-473A-98D8-6267517EDD02}"/>
    <cellStyle name="Millares [0] 3" xfId="10" xr:uid="{2B68EFA1-BCDF-4A4D-8423-0258944BA464}"/>
    <cellStyle name="Millares 2" xfId="7" xr:uid="{81B32022-8FC0-448F-9CBC-2A8F5EBF9DFE}"/>
    <cellStyle name="Millares 2 2" xfId="8" xr:uid="{CEC9AB0D-779F-46A6-B6B3-DA7BF9B3518F}"/>
    <cellStyle name="Normal" xfId="0" builtinId="0"/>
    <cellStyle name="Porcentaje" xfId="2" builtinId="5"/>
  </cellStyles>
  <dxfs count="121">
    <dxf>
      <numFmt numFmtId="3" formatCode="#,##0"/>
    </dxf>
    <dxf>
      <fill>
        <patternFill patternType="none">
          <bgColor auto="1"/>
        </patternFill>
      </fill>
    </dxf>
    <dxf>
      <fill>
        <patternFill patternType="solid">
          <bgColor theme="5" tint="0.59999389629810485"/>
        </patternFill>
      </fill>
    </dxf>
    <dxf>
      <fill>
        <patternFill patternType="solid">
          <bgColor theme="5" tint="0.59999389629810485"/>
        </patternFill>
      </fill>
    </dxf>
    <dxf>
      <numFmt numFmtId="3" formatCode="#,##0"/>
    </dxf>
    <dxf>
      <fill>
        <patternFill patternType="none">
          <bgColor auto="1"/>
        </patternFill>
      </fill>
    </dxf>
    <dxf>
      <fill>
        <patternFill patternType="solid">
          <bgColor theme="5" tint="0.59999389629810485"/>
        </patternFill>
      </fill>
    </dxf>
    <dxf>
      <fill>
        <patternFill patternType="solid">
          <bgColor theme="5" tint="0.59999389629810485"/>
        </patternFill>
      </fill>
    </dxf>
    <dxf>
      <numFmt numFmtId="3" formatCode="#,##0"/>
    </dxf>
    <dxf>
      <fill>
        <patternFill patternType="none">
          <bgColor auto="1"/>
        </patternFill>
      </fill>
    </dxf>
    <dxf>
      <fill>
        <patternFill patternType="solid">
          <bgColor theme="5" tint="0.59999389629810485"/>
        </patternFill>
      </fill>
    </dxf>
    <dxf>
      <fill>
        <patternFill patternType="solid">
          <bgColor theme="5" tint="0.59999389629810485"/>
        </patternFill>
      </fill>
    </dxf>
    <dxf>
      <numFmt numFmtId="3" formatCode="#,##0"/>
    </dxf>
    <dxf>
      <fill>
        <patternFill patternType="none">
          <bgColor auto="1"/>
        </patternFill>
      </fill>
    </dxf>
    <dxf>
      <fill>
        <patternFill patternType="solid">
          <bgColor theme="5" tint="0.59999389629810485"/>
        </patternFill>
      </fill>
    </dxf>
    <dxf>
      <fill>
        <patternFill patternType="solid">
          <bgColor theme="5" tint="0.59999389629810485"/>
        </patternFill>
      </fill>
    </dxf>
    <dxf>
      <numFmt numFmtId="3" formatCode="#,##0"/>
    </dxf>
    <dxf>
      <fill>
        <patternFill patternType="none">
          <bgColor auto="1"/>
        </patternFill>
      </fill>
    </dxf>
    <dxf>
      <fill>
        <patternFill patternType="solid">
          <bgColor theme="5" tint="0.59999389629810485"/>
        </patternFill>
      </fill>
    </dxf>
    <dxf>
      <fill>
        <patternFill patternType="solid">
          <bgColor theme="5" tint="0.59999389629810485"/>
        </patternFill>
      </fill>
    </dxf>
    <dxf>
      <numFmt numFmtId="3" formatCode="#,##0"/>
    </dxf>
    <dxf>
      <numFmt numFmtId="3" formatCode="#,##0"/>
    </dxf>
    <dxf>
      <fill>
        <patternFill patternType="none">
          <bgColor auto="1"/>
        </patternFill>
      </fill>
    </dxf>
    <dxf>
      <fill>
        <patternFill patternType="solid">
          <bgColor theme="5" tint="0.59999389629810485"/>
        </patternFill>
      </fill>
    </dxf>
    <dxf>
      <fill>
        <patternFill patternType="solid">
          <bgColor theme="5" tint="0.59999389629810485"/>
        </patternFill>
      </fill>
    </dxf>
    <dxf>
      <numFmt numFmtId="3" formatCode="#,##0"/>
    </dxf>
    <dxf>
      <numFmt numFmtId="3" formatCode="#,##0"/>
    </dxf>
    <dxf>
      <fill>
        <patternFill patternType="none">
          <bgColor auto="1"/>
        </patternFill>
      </fill>
    </dxf>
    <dxf>
      <fill>
        <patternFill patternType="solid">
          <bgColor theme="5" tint="0.59999389629810485"/>
        </patternFill>
      </fill>
    </dxf>
    <dxf>
      <fill>
        <patternFill patternType="solid">
          <bgColor theme="5" tint="0.59999389629810485"/>
        </patternFill>
      </fill>
    </dxf>
    <dxf>
      <numFmt numFmtId="3" formatCode="#,##0"/>
    </dxf>
    <dxf>
      <fill>
        <patternFill patternType="none">
          <bgColor auto="1"/>
        </patternFill>
      </fill>
    </dxf>
    <dxf>
      <fill>
        <patternFill patternType="solid">
          <bgColor theme="5" tint="0.59999389629810485"/>
        </patternFill>
      </fill>
    </dxf>
    <dxf>
      <fill>
        <patternFill patternType="solid">
          <bgColor theme="5" tint="0.59999389629810485"/>
        </patternFill>
      </fill>
    </dxf>
    <dxf>
      <numFmt numFmtId="3" formatCode="#,##0"/>
    </dxf>
    <dxf>
      <fill>
        <patternFill patternType="none">
          <bgColor auto="1"/>
        </patternFill>
      </fill>
    </dxf>
    <dxf>
      <fill>
        <patternFill patternType="solid">
          <bgColor theme="5" tint="0.59999389629810485"/>
        </patternFill>
      </fill>
    </dxf>
    <dxf>
      <fill>
        <patternFill patternType="solid">
          <bgColor theme="5" tint="0.59999389629810485"/>
        </patternFill>
      </fill>
    </dxf>
    <dxf>
      <numFmt numFmtId="3" formatCode="#,##0"/>
    </dxf>
    <dxf>
      <fill>
        <patternFill patternType="none">
          <bgColor auto="1"/>
        </patternFill>
      </fill>
    </dxf>
    <dxf>
      <fill>
        <patternFill patternType="solid">
          <bgColor theme="5" tint="0.59999389629810485"/>
        </patternFill>
      </fill>
    </dxf>
    <dxf>
      <fill>
        <patternFill patternType="solid">
          <bgColor theme="5" tint="0.59999389629810485"/>
        </patternFill>
      </fill>
    </dxf>
    <dxf>
      <numFmt numFmtId="3" formatCode="#,##0"/>
    </dxf>
    <dxf>
      <fill>
        <patternFill patternType="none">
          <bgColor auto="1"/>
        </patternFill>
      </fill>
    </dxf>
    <dxf>
      <fill>
        <patternFill patternType="solid">
          <bgColor theme="5" tint="0.59999389629810485"/>
        </patternFill>
      </fill>
    </dxf>
    <dxf>
      <fill>
        <patternFill patternType="solid">
          <bgColor theme="5" tint="0.59999389629810485"/>
        </patternFill>
      </fill>
    </dxf>
    <dxf>
      <numFmt numFmtId="3" formatCode="#,##0"/>
    </dxf>
    <dxf>
      <fill>
        <patternFill patternType="none">
          <bgColor auto="1"/>
        </patternFill>
      </fill>
    </dxf>
    <dxf>
      <fill>
        <patternFill patternType="solid">
          <bgColor theme="5" tint="0.59999389629810485"/>
        </patternFill>
      </fill>
    </dxf>
    <dxf>
      <fill>
        <patternFill patternType="solid">
          <bgColor theme="5" tint="0.59999389629810485"/>
        </patternFill>
      </fill>
    </dxf>
    <dxf>
      <numFmt numFmtId="3" formatCode="#,##0"/>
    </dxf>
    <dxf>
      <numFmt numFmtId="3" formatCode="#,##0"/>
    </dxf>
    <dxf>
      <fill>
        <patternFill patternType="none">
          <bgColor auto="1"/>
        </patternFill>
      </fill>
    </dxf>
    <dxf>
      <fill>
        <patternFill patternType="solid">
          <bgColor theme="5" tint="0.59999389629810485"/>
        </patternFill>
      </fill>
    </dxf>
    <dxf>
      <fill>
        <patternFill patternType="solid">
          <bgColor theme="5" tint="0.59999389629810485"/>
        </patternFill>
      </fill>
    </dxf>
    <dxf>
      <numFmt numFmtId="3" formatCode="#,##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 formatCode="#,##0"/>
    </dxf>
    <dxf>
      <fill>
        <patternFill patternType="none">
          <bgColor auto="1"/>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numFmt numFmtId="3" formatCode="#,##0"/>
    </dxf>
    <dxf>
      <font>
        <b val="0"/>
        <i val="0"/>
        <strike val="0"/>
        <condense val="0"/>
        <extend val="0"/>
        <outline val="0"/>
        <shadow val="0"/>
        <u val="none"/>
        <vertAlign val="baseline"/>
        <sz val="9"/>
        <color theme="1"/>
        <name val="Aptos Narrow"/>
        <family val="2"/>
        <scheme val="minor"/>
      </font>
      <numFmt numFmtId="0" formatCode="General"/>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0" formatCode="General"/>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0" formatCode="General"/>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numFmt numFmtId="167" formatCode="_(* #,##0_);_(* \(#,##0\);_(* &quot;-&quot;??_);_(@_)"/>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33" formatCode="_ * #,##0_ ;_ * \-#,##0_ ;_ * &quot;-&quot;_ ;_ @_ "/>
      <alignment horizontal="center"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168" formatCode="[$-409]d\-mmm;@"/>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numFmt numFmtId="167" formatCode="_(* #,##0_);_(* \(#,##0\);_(* &quot;-&quot;??_);_(@_)"/>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168" formatCode="[$-409]d\-mmm;@"/>
      <alignment horizontal="center"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167" formatCode="_(* #,##0_);_(* \(#,##0\);_(* &quot;-&quot;??_);_(@_)"/>
      <alignment horizontal="center"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numFmt numFmtId="167" formatCode="_(* #,##0_);_(* \(#,##0\);_(* &quot;-&quot;??_);_(@_)"/>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dd\-mmm"/>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21" formatCode="dd/mmm"/>
      <alignment horizontal="center"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strike val="0"/>
        <outline val="0"/>
        <shadow val="0"/>
        <u val="none"/>
        <vertAlign val="baseline"/>
        <sz val="9"/>
        <color rgb="FF000000"/>
        <name val="Calibri"/>
        <family val="2"/>
        <scheme val="none"/>
      </font>
      <alignment horizontal="center" textRotation="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1" indent="0" justifyLastLine="0" shrinkToFit="0" readingOrder="0"/>
    </dxf>
    <dxf>
      <numFmt numFmtId="3" formatCode="#,##0"/>
    </dxf>
    <dxf>
      <numFmt numFmtId="3" formatCode="#,##0"/>
    </dxf>
  </dxfs>
  <tableStyles count="0" defaultTableStyle="TableStyleMedium2" defaultPivotStyle="PivotStyleLight16"/>
  <colors>
    <mruColors>
      <color rgb="FFFF7C80"/>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22</xdr:col>
      <xdr:colOff>111237</xdr:colOff>
      <xdr:row>2782</xdr:row>
      <xdr:rowOff>97981</xdr:rowOff>
    </xdr:from>
    <xdr:to>
      <xdr:col>24</xdr:col>
      <xdr:colOff>347344</xdr:colOff>
      <xdr:row>2792</xdr:row>
      <xdr:rowOff>67414</xdr:rowOff>
    </xdr:to>
    <mc:AlternateContent xmlns:mc="http://schemas.openxmlformats.org/markup-compatibility/2006" xmlns:sle15="http://schemas.microsoft.com/office/drawing/2012/slicer">
      <mc:Choice Requires="sle15">
        <xdr:graphicFrame macro="">
          <xdr:nvGraphicFramePr>
            <xdr:cNvPr id="3" name="País 1">
              <a:extLst>
                <a:ext uri="{FF2B5EF4-FFF2-40B4-BE49-F238E27FC236}">
                  <a16:creationId xmlns:a16="http://schemas.microsoft.com/office/drawing/2014/main" id="{0CB06A55-D070-4B61-9C39-97B9735A3567}"/>
                </a:ext>
              </a:extLst>
            </xdr:cNvPr>
            <xdr:cNvGraphicFramePr/>
          </xdr:nvGraphicFramePr>
          <xdr:xfrm>
            <a:off x="0" y="0"/>
            <a:ext cx="0" cy="0"/>
          </xdr:xfrm>
          <a:graphic>
            <a:graphicData uri="http://schemas.microsoft.com/office/drawing/2010/slicer">
              <sle:slicer xmlns:sle="http://schemas.microsoft.com/office/drawing/2010/slicer" name="País 1"/>
            </a:graphicData>
          </a:graphic>
        </xdr:graphicFrame>
      </mc:Choice>
      <mc:Fallback xmlns="">
        <xdr:sp macro="" textlink="">
          <xdr:nvSpPr>
            <xdr:cNvPr id="0" name=""/>
            <xdr:cNvSpPr>
              <a:spLocks noTextEdit="1"/>
            </xdr:cNvSpPr>
          </xdr:nvSpPr>
          <xdr:spPr>
            <a:xfrm>
              <a:off x="23935643" y="393374912"/>
              <a:ext cx="1886472" cy="1802362"/>
            </a:xfrm>
            <a:prstGeom prst="rect">
              <a:avLst/>
            </a:prstGeom>
            <a:solidFill>
              <a:prstClr val="white"/>
            </a:solidFill>
            <a:ln w="1">
              <a:solidFill>
                <a:prstClr val="green"/>
              </a:solidFill>
            </a:ln>
          </xdr:spPr>
          <xdr:txBody>
            <a:bodyPr vertOverflow="clip" horzOverflow="clip"/>
            <a:lstStyle/>
            <a:p>
              <a:r>
                <a:rPr lang="es-CL"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redcoglobalcl.sharepoint.com/sites/GestinREDCO/Shared%20Documents/General/Registro%20de%20Proyectos.xlsx" TargetMode="External"/><Relationship Id="rId1" Type="http://schemas.openxmlformats.org/officeDocument/2006/relationships/externalLinkPath" Target="/sites/GestinREDCO/Shared%20Documents/General/Registro%20de%20Proyecto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redcoglobalcl.sharepoint.com/sites/GestinREDCO/Shared%20Documents/General/Control%20de%20horas/Origen%20de%20informaci&#243;n/POM%20Plan%20operativo%20mensual/POM%20Febrero%202025.xlsx" TargetMode="External"/><Relationship Id="rId1" Type="http://schemas.openxmlformats.org/officeDocument/2006/relationships/externalLinkPath" Target="/sites/GestinREDCO/Shared%20Documents/General/Control%20de%20horas/Origen%20de%20informaci&#243;n/POM%20Plan%20operativo%20mensual/POM%20Febrero%20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NiFLNqqH3UiNQ52w4MjHkaJekJNSkitOjf-Us92CSmxxGzt9tJH6TI48Zmid9mwi" itemId="01X4HTLNCMVR5IX53OFBFKQNG4BGLQPHFN">
      <xxl21:absoluteUrl r:id="rId2"/>
    </xxl21:alternateUrls>
    <sheetNames>
      <sheetName val="Códigos"/>
      <sheetName val="Índice de Planillas"/>
      <sheetName val="Proyectos (NO FILTRAR)"/>
      <sheetName val="Proyectos Manejo de información"/>
      <sheetName val="Tabla Resumen"/>
      <sheetName val="Hoja Base"/>
    </sheetNames>
    <sheetDataSet>
      <sheetData sheetId="0"/>
      <sheetData sheetId="1"/>
      <sheetData sheetId="2">
        <row r="2">
          <cell r="B2" t="str">
            <v>Código Total</v>
          </cell>
          <cell r="F2" t="str">
            <v>Proyecto Contrato Original</v>
          </cell>
          <cell r="G2" t="str">
            <v>Pais</v>
          </cell>
          <cell r="O2" t="str">
            <v>Monto Total
(US$)</v>
          </cell>
        </row>
        <row r="3">
          <cell r="B3" t="str">
            <v>CH-CMP-OU-FEL00-001-A</v>
          </cell>
          <cell r="F3" t="str">
            <v>Adrianita -Raúl</v>
          </cell>
          <cell r="G3" t="str">
            <v>Chile</v>
          </cell>
          <cell r="O3">
            <v>179433</v>
          </cell>
        </row>
        <row r="4">
          <cell r="B4" t="str">
            <v>CH-CMP-OT-FEL00-001-B</v>
          </cell>
          <cell r="F4" t="str">
            <v>Adrianita -Raúl</v>
          </cell>
          <cell r="G4" t="str">
            <v>Chile</v>
          </cell>
          <cell r="O4">
            <v>52447</v>
          </cell>
        </row>
        <row r="5">
          <cell r="B5" t="str">
            <v>CH-CMP-OT-FEL03-002-A</v>
          </cell>
          <cell r="F5" t="str">
            <v>Algarrobo</v>
          </cell>
          <cell r="G5" t="str">
            <v>Chile</v>
          </cell>
          <cell r="O5">
            <v>443032</v>
          </cell>
        </row>
        <row r="6">
          <cell r="B6" t="str">
            <v>CH-BHP-CD-OTR00-003-A</v>
          </cell>
          <cell r="F6" t="str">
            <v>NO_ESPECIFICADO</v>
          </cell>
          <cell r="G6" t="str">
            <v>Chile</v>
          </cell>
          <cell r="O6">
            <v>50688</v>
          </cell>
        </row>
        <row r="7">
          <cell r="B7" t="str">
            <v>CH-LUN-CS-OTR00-004-A</v>
          </cell>
          <cell r="F7" t="str">
            <v>Candelaria (Estandar y Planificacion)</v>
          </cell>
          <cell r="G7" t="str">
            <v>Chile</v>
          </cell>
          <cell r="O7">
            <v>260550</v>
          </cell>
        </row>
        <row r="8">
          <cell r="B8" t="str">
            <v>CH-LUN-GM-OTR00-005-A</v>
          </cell>
          <cell r="F8" t="str">
            <v>Pilares Mineros - Candelaria</v>
          </cell>
          <cell r="G8" t="str">
            <v>Chile</v>
          </cell>
          <cell r="O8">
            <v>74080</v>
          </cell>
        </row>
        <row r="9">
          <cell r="B9" t="str">
            <v>CH-CMP-CS-OTR00-006-A</v>
          </cell>
          <cell r="F9" t="str">
            <v>CMP Estandar Planificación</v>
          </cell>
          <cell r="G9" t="str">
            <v>Chile</v>
          </cell>
          <cell r="O9">
            <v>296990</v>
          </cell>
        </row>
        <row r="10">
          <cell r="B10" t="str">
            <v>CH-LUN-CS-OTR00-007-A</v>
          </cell>
          <cell r="F10" t="str">
            <v>Diagnóstico Operacional Candelaria</v>
          </cell>
          <cell r="G10" t="str">
            <v>Chile</v>
          </cell>
          <cell r="O10">
            <v>183024</v>
          </cell>
        </row>
        <row r="11">
          <cell r="B11" t="str">
            <v>PE-MSR-UG-FEL03-008-A</v>
          </cell>
          <cell r="F11" t="str">
            <v>Actualización Lom Raura</v>
          </cell>
          <cell r="G11" t="str">
            <v>Perú</v>
          </cell>
          <cell r="O11">
            <v>165237</v>
          </cell>
        </row>
        <row r="12">
          <cell r="B12" t="str">
            <v>PE-MSR-OT-OTR00-009-A</v>
          </cell>
          <cell r="F12" t="str">
            <v>AESA Rendimientos</v>
          </cell>
          <cell r="G12" t="str">
            <v>Perú</v>
          </cell>
          <cell r="O12">
            <v>45815</v>
          </cell>
        </row>
        <row r="13">
          <cell r="B13" t="str">
            <v>CH-CMP-OP-FEL03-010-A</v>
          </cell>
          <cell r="F13" t="str">
            <v>LOM CNN 2023</v>
          </cell>
          <cell r="G13" t="str">
            <v>Chile</v>
          </cell>
          <cell r="O13">
            <v>40859.57</v>
          </cell>
        </row>
        <row r="14">
          <cell r="B14" t="str">
            <v>CH-CMP-OP-FEL03-011-A</v>
          </cell>
          <cell r="F14" t="str">
            <v>LOM MLC 2023</v>
          </cell>
          <cell r="G14" t="str">
            <v>Chile</v>
          </cell>
          <cell r="O14">
            <v>27860.87</v>
          </cell>
        </row>
        <row r="15">
          <cell r="B15" t="str">
            <v>CH-GLE-OP-FEL01-012-A</v>
          </cell>
          <cell r="F15" t="str">
            <v>Lomas Bayas - LoA24</v>
          </cell>
          <cell r="G15" t="str">
            <v>Chile</v>
          </cell>
          <cell r="O15">
            <v>294845.56</v>
          </cell>
        </row>
        <row r="16">
          <cell r="B16" t="str">
            <v>CH-FLU-CD-OTR00-013-A</v>
          </cell>
          <cell r="F16" t="str">
            <v>MARA - Simulación Sistema Manejo Estéril</v>
          </cell>
          <cell r="G16" t="str">
            <v>Chile</v>
          </cell>
          <cell r="O16">
            <v>67800</v>
          </cell>
        </row>
        <row r="17">
          <cell r="B17" t="str">
            <v>CH-AMS-OP-FEL01-014-A</v>
          </cell>
          <cell r="F17" t="str">
            <v>Pelambres</v>
          </cell>
          <cell r="G17" t="str">
            <v>Chile</v>
          </cell>
          <cell r="O17">
            <v>369697.48</v>
          </cell>
        </row>
        <row r="18">
          <cell r="B18" t="str">
            <v>RU-OTR-UG-FEL2A-015-A</v>
          </cell>
          <cell r="F18" t="str">
            <v>NorGold</v>
          </cell>
          <cell r="G18" t="str">
            <v>Rusia</v>
          </cell>
          <cell r="O18">
            <v>45656</v>
          </cell>
        </row>
        <row r="19">
          <cell r="B19" t="str">
            <v>RU-OTR-GM-FEL01-016-A</v>
          </cell>
          <cell r="F19" t="str">
            <v>NORILSK1-FS</v>
          </cell>
          <cell r="G19" t="str">
            <v>Rusia</v>
          </cell>
          <cell r="O19">
            <v>180263</v>
          </cell>
        </row>
        <row r="20">
          <cell r="B20" t="str">
            <v>RU-OTR-GM-FEL01-017-A</v>
          </cell>
          <cell r="F20" t="str">
            <v>OKT-NFM-FS</v>
          </cell>
          <cell r="G20" t="str">
            <v>Rusia</v>
          </cell>
          <cell r="O20">
            <v>123973</v>
          </cell>
        </row>
        <row r="21">
          <cell r="B21" t="str">
            <v>CH-COD-UG-OTR00-003-B</v>
          </cell>
          <cell r="F21" t="str">
            <v>NO_ESPECIFICADO</v>
          </cell>
          <cell r="G21" t="str">
            <v>Chile</v>
          </cell>
          <cell r="O21">
            <v>92002.260000000009</v>
          </cell>
        </row>
        <row r="22">
          <cell r="B22" t="str">
            <v>CH-CMP-OP-OTR00-018-A</v>
          </cell>
          <cell r="F22" t="str">
            <v>Romeral</v>
          </cell>
          <cell r="G22" t="str">
            <v>Chile</v>
          </cell>
          <cell r="O22">
            <v>442325</v>
          </cell>
        </row>
        <row r="23">
          <cell r="B23" t="str">
            <v>PE-MSR-OT-OTR00-019-A</v>
          </cell>
          <cell r="F23" t="str">
            <v>Compilación de  R&amp;R</v>
          </cell>
          <cell r="G23" t="str">
            <v>Perú</v>
          </cell>
          <cell r="O23">
            <v>130565.63500000001</v>
          </cell>
        </row>
        <row r="24">
          <cell r="B24" t="str">
            <v>CH-BHP-CD-OTR00-020-A</v>
          </cell>
          <cell r="F24" t="str">
            <v>MEL</v>
          </cell>
          <cell r="G24" t="str">
            <v>Chile</v>
          </cell>
          <cell r="O24">
            <v>79918</v>
          </cell>
        </row>
        <row r="25">
          <cell r="B25" t="str">
            <v>PE-SME-UG-OTR00-021-A</v>
          </cell>
          <cell r="F25" t="str">
            <v>ITS Yauricocha</v>
          </cell>
          <cell r="G25" t="str">
            <v>Perú</v>
          </cell>
          <cell r="O25">
            <v>18991</v>
          </cell>
        </row>
        <row r="26">
          <cell r="B26" t="str">
            <v>PE-MMG-OU-FEL00-022-A</v>
          </cell>
          <cell r="F26" t="str">
            <v>LasBambas_Ferrobamba_OP_UG</v>
          </cell>
          <cell r="G26" t="str">
            <v>Perú</v>
          </cell>
          <cell r="O26">
            <v>165789</v>
          </cell>
        </row>
        <row r="27">
          <cell r="B27" t="str">
            <v>PE-CSC-UG-FEL2A-023-A</v>
          </cell>
          <cell r="F27" t="str">
            <v>PFS Los Calatos</v>
          </cell>
          <cell r="G27" t="str">
            <v>Perú</v>
          </cell>
          <cell r="O27">
            <v>917313</v>
          </cell>
        </row>
        <row r="28">
          <cell r="B28" t="str">
            <v>PE-MSR-OP-OTR00-024-A</v>
          </cell>
          <cell r="F28" t="str">
            <v>Marcobre - Minajusta</v>
          </cell>
          <cell r="G28" t="str">
            <v>Perú</v>
          </cell>
          <cell r="O28">
            <v>137832</v>
          </cell>
        </row>
        <row r="29">
          <cell r="B29" t="str">
            <v>CH-CMP-OT-OTR00-002-B</v>
          </cell>
          <cell r="F29" t="str">
            <v>Algarrobo</v>
          </cell>
          <cell r="G29" t="str">
            <v>Chile</v>
          </cell>
          <cell r="O29">
            <v>182615</v>
          </cell>
        </row>
        <row r="30">
          <cell r="B30" t="str">
            <v>CH-CMP-OT-OTR00-002-C</v>
          </cell>
          <cell r="F30" t="str">
            <v>Algarrobo</v>
          </cell>
          <cell r="G30" t="str">
            <v>Chile</v>
          </cell>
          <cell r="O30">
            <v>58723</v>
          </cell>
        </row>
        <row r="31">
          <cell r="B31" t="str">
            <v>CH-CMP-OT-OTR00-025-A</v>
          </cell>
          <cell r="F31" t="str">
            <v>RDP</v>
          </cell>
          <cell r="G31" t="str">
            <v>Chile</v>
          </cell>
          <cell r="O31">
            <v>44990</v>
          </cell>
        </row>
        <row r="32">
          <cell r="B32" t="str">
            <v>BR-MOS-OU-FEL03-026-A</v>
          </cell>
          <cell r="F32" t="str">
            <v>Mosaic_Cajati</v>
          </cell>
          <cell r="G32" t="str">
            <v>Brasil</v>
          </cell>
          <cell r="O32">
            <v>555021</v>
          </cell>
        </row>
        <row r="33">
          <cell r="B33" t="str">
            <v>BR-NEX-UG-FEL2A-027-A</v>
          </cell>
          <cell r="F33" t="str">
            <v>NEXA_FEL2 Aripuana</v>
          </cell>
          <cell r="G33" t="str">
            <v>Brasil</v>
          </cell>
          <cell r="O33">
            <v>203609</v>
          </cell>
        </row>
        <row r="34">
          <cell r="B34" t="str">
            <v>BR-MOS-UG-FEL01-028-A</v>
          </cell>
          <cell r="F34" t="str">
            <v>Mosaic_Taquari Vassouras</v>
          </cell>
          <cell r="G34" t="str">
            <v>Brasil</v>
          </cell>
          <cell r="O34">
            <v>284633</v>
          </cell>
        </row>
        <row r="35">
          <cell r="B35" t="str">
            <v>CH-AMS-CS-OTR00-029-A</v>
          </cell>
          <cell r="F35" t="str">
            <v>AMSA_Planificacion</v>
          </cell>
          <cell r="G35" t="str">
            <v>Chile</v>
          </cell>
          <cell r="O35">
            <v>427230</v>
          </cell>
        </row>
        <row r="36">
          <cell r="B36" t="str">
            <v>CH-COD-OT-OTR00-030-A</v>
          </cell>
          <cell r="F36" t="str">
            <v>Codelco_Capacitacion Deswik DET</v>
          </cell>
          <cell r="G36" t="str">
            <v>Chile</v>
          </cell>
          <cell r="O36">
            <v>75000</v>
          </cell>
        </row>
        <row r="37">
          <cell r="B37" t="str">
            <v>CH-COD-UG-FEL01-031-A</v>
          </cell>
          <cell r="F37" t="str">
            <v>Codelco_Falla Oeste</v>
          </cell>
          <cell r="G37" t="str">
            <v>Chile</v>
          </cell>
          <cell r="O37">
            <v>93503</v>
          </cell>
        </row>
        <row r="38">
          <cell r="B38" t="str">
            <v>CH-COD-UG-FEL01-032-A</v>
          </cell>
          <cell r="F38" t="str">
            <v>Codelco_Panel Central</v>
          </cell>
          <cell r="G38" t="str">
            <v>Chile</v>
          </cell>
          <cell r="O38">
            <v>87154</v>
          </cell>
        </row>
        <row r="39">
          <cell r="B39" t="str">
            <v>CH-CMP-OU-FEL2A-033-A</v>
          </cell>
          <cell r="F39" t="str">
            <v>CMP - FEL 2A</v>
          </cell>
          <cell r="G39" t="str">
            <v>Chile</v>
          </cell>
          <cell r="O39">
            <v>540939</v>
          </cell>
        </row>
        <row r="40">
          <cell r="B40" t="str">
            <v>CH-CMP-OU-FEL2A-033-B</v>
          </cell>
          <cell r="F40" t="str">
            <v>CMP - FEL 2A</v>
          </cell>
          <cell r="G40" t="str">
            <v>Chile</v>
          </cell>
          <cell r="O40">
            <v>46513</v>
          </cell>
        </row>
        <row r="41">
          <cell r="B41" t="str">
            <v>CH-CSH-OP-FEL00-034-A</v>
          </cell>
          <cell r="F41" t="str">
            <v>CSH_LOM Mina Guarello</v>
          </cell>
          <cell r="G41" t="str">
            <v>Chile</v>
          </cell>
          <cell r="O41">
            <v>114390</v>
          </cell>
        </row>
        <row r="42">
          <cell r="B42" t="str">
            <v>PE-COR-UG-FEL2A-035-A</v>
          </cell>
          <cell r="F42" t="str">
            <v>MEIA Coripuno</v>
          </cell>
          <cell r="G42" t="str">
            <v>Perú</v>
          </cell>
          <cell r="O42">
            <v>47960</v>
          </cell>
        </row>
        <row r="43">
          <cell r="B43" t="str">
            <v>PE-MSR-UG-FEL03-036-A</v>
          </cell>
          <cell r="F43" t="str">
            <v>Minsur_Forecast_Budget24</v>
          </cell>
          <cell r="G43" t="str">
            <v>Perú</v>
          </cell>
          <cell r="O43">
            <v>65088</v>
          </cell>
        </row>
        <row r="44">
          <cell r="B44" t="str">
            <v>PE-MSR-UG-OTR00-003-C</v>
          </cell>
          <cell r="F44" t="str">
            <v>NO_ESPECIFICADO</v>
          </cell>
          <cell r="G44" t="str">
            <v>Perú</v>
          </cell>
          <cell r="O44">
            <v>14112</v>
          </cell>
        </row>
        <row r="45">
          <cell r="B45" t="str">
            <v>CH-COD-UG-FEL00-037-A</v>
          </cell>
          <cell r="F45" t="str">
            <v>Codelco_Cluster Toki</v>
          </cell>
          <cell r="G45" t="str">
            <v>Chile</v>
          </cell>
          <cell r="O45">
            <v>82787</v>
          </cell>
        </row>
        <row r="46">
          <cell r="B46" t="str">
            <v>CH-CMP-CS-FEL00-038-A</v>
          </cell>
          <cell r="F46" t="str">
            <v>CMP_Los Colorados Adelantamiento Planta</v>
          </cell>
          <cell r="G46" t="str">
            <v>Chile</v>
          </cell>
          <cell r="O46">
            <v>92369.53</v>
          </cell>
        </row>
        <row r="47">
          <cell r="B47" t="str">
            <v>CH-COD-UG-FEL01-039-A</v>
          </cell>
          <cell r="F47" t="str">
            <v>Codelco_Drenaje QT</v>
          </cell>
          <cell r="G47" t="str">
            <v>Chile</v>
          </cell>
          <cell r="O47">
            <v>147000</v>
          </cell>
        </row>
        <row r="48">
          <cell r="B48" t="str">
            <v>CH-CMP-CS-FEL00-040-A</v>
          </cell>
          <cell r="F48" t="str">
            <v>CMP_CNN Update plan LOM</v>
          </cell>
          <cell r="G48" t="str">
            <v>Chile</v>
          </cell>
          <cell r="O48">
            <v>18800</v>
          </cell>
        </row>
        <row r="49">
          <cell r="B49" t="str">
            <v>CH-CMP-OU-FEL2A-041-A</v>
          </cell>
          <cell r="F49" t="str">
            <v>CMP_Romeral Estabilización + UG PFS</v>
          </cell>
          <cell r="G49" t="str">
            <v>Chile</v>
          </cell>
          <cell r="O49">
            <v>370245</v>
          </cell>
        </row>
        <row r="50">
          <cell r="B50" t="str">
            <v>PE-BRO-OT-OTR00-003-D</v>
          </cell>
          <cell r="F50" t="str">
            <v>NO_ESPECIFICADO</v>
          </cell>
          <cell r="G50" t="str">
            <v>Perú</v>
          </cell>
          <cell r="O50">
            <v>50219.75</v>
          </cell>
        </row>
        <row r="51">
          <cell r="B51" t="str">
            <v>PE-MSR-OT-OTR00-003-E</v>
          </cell>
          <cell r="F51" t="str">
            <v>NO_ESPECIFICADO</v>
          </cell>
          <cell r="G51" t="str">
            <v>Perú</v>
          </cell>
          <cell r="O51">
            <v>64800</v>
          </cell>
        </row>
        <row r="52">
          <cell r="B52" t="str">
            <v>PE-SME-UG-OTR00-003-F</v>
          </cell>
          <cell r="F52" t="str">
            <v>NO_ESPECIFICADO</v>
          </cell>
          <cell r="G52" t="str">
            <v>Perú</v>
          </cell>
          <cell r="O52">
            <v>39681</v>
          </cell>
        </row>
        <row r="53">
          <cell r="B53" t="str">
            <v>PE-MSR-UG-OTR00-042-A</v>
          </cell>
          <cell r="F53" t="str">
            <v>Raura Operativo</v>
          </cell>
          <cell r="G53" t="str">
            <v>Perú</v>
          </cell>
          <cell r="O53">
            <v>252096</v>
          </cell>
        </row>
        <row r="54">
          <cell r="B54" t="str">
            <v>PE-MSR-UG-OTR00-043-A</v>
          </cell>
          <cell r="F54" t="str">
            <v>San Rafael Contrato Marco</v>
          </cell>
          <cell r="G54" t="str">
            <v>Perú</v>
          </cell>
          <cell r="O54">
            <v>85000</v>
          </cell>
        </row>
        <row r="55">
          <cell r="B55" t="str">
            <v>PE-MSR-UG-OTR00-044-A</v>
          </cell>
          <cell r="F55" t="str">
            <v>San Rafael Gestión Operativa</v>
          </cell>
          <cell r="G55" t="str">
            <v>Perú</v>
          </cell>
          <cell r="O55">
            <v>263544</v>
          </cell>
        </row>
        <row r="56">
          <cell r="B56" t="str">
            <v>PE-MSR-UG-OTR00-045-A</v>
          </cell>
          <cell r="F56" t="str">
            <v>San Rafael: Gestión del Corto Plazo</v>
          </cell>
          <cell r="G56" t="str">
            <v>Perú</v>
          </cell>
          <cell r="O56">
            <v>82144</v>
          </cell>
        </row>
        <row r="57">
          <cell r="B57" t="str">
            <v>PE-SME-UG-FEL2A-046-A</v>
          </cell>
          <cell r="F57" t="str">
            <v>Sierra Metals_Plan de Minado MEIA</v>
          </cell>
          <cell r="G57" t="str">
            <v>Perú</v>
          </cell>
          <cell r="O57">
            <v>56630</v>
          </cell>
        </row>
        <row r="58">
          <cell r="B58" t="str">
            <v>PE-MMA-OP-FEL00-047-A</v>
          </cell>
          <cell r="F58" t="str">
            <v>MiskiMayo_LOM</v>
          </cell>
          <cell r="G58" t="str">
            <v>Perú</v>
          </cell>
          <cell r="O58">
            <v>115136</v>
          </cell>
        </row>
        <row r="59">
          <cell r="B59" t="str">
            <v>BR-J&amp;F-UG-FEL03-048-A</v>
          </cell>
          <cell r="F59" t="str">
            <v>J&amp;F_Urucrum_RecuperacionPilares</v>
          </cell>
          <cell r="G59" t="str">
            <v>Brasil</v>
          </cell>
          <cell r="O59">
            <v>239308</v>
          </cell>
        </row>
        <row r="60">
          <cell r="B60" t="str">
            <v>CH-COD-UG-OTR00-049-A</v>
          </cell>
          <cell r="F60" t="str">
            <v>Analisis de Riesgo MB4-1</v>
          </cell>
          <cell r="G60" t="str">
            <v>Chile</v>
          </cell>
          <cell r="O60">
            <v>50000</v>
          </cell>
        </row>
        <row r="61">
          <cell r="B61" t="str">
            <v>PE-AES-OT-OTR00-050-A</v>
          </cell>
          <cell r="F61" t="str">
            <v>AESA_Gestión tiempos</v>
          </cell>
          <cell r="G61" t="str">
            <v>Perú</v>
          </cell>
          <cell r="O61">
            <v>100000</v>
          </cell>
        </row>
        <row r="62">
          <cell r="B62" t="str">
            <v>PE-ANT-OU-FEL2A-051-A</v>
          </cell>
          <cell r="F62" t="str">
            <v>Antamina_Transición OP-UG</v>
          </cell>
          <cell r="G62" t="str">
            <v>Perú</v>
          </cell>
          <cell r="O62">
            <v>340000</v>
          </cell>
        </row>
        <row r="63">
          <cell r="B63" t="str">
            <v>CH-BSA-CS-OTR00-052-A</v>
          </cell>
          <cell r="F63" t="str">
            <v>Banco Santander_Yauricocha y Bolivar</v>
          </cell>
          <cell r="G63" t="str">
            <v>Chile</v>
          </cell>
          <cell r="O63">
            <v>87000</v>
          </cell>
        </row>
        <row r="64">
          <cell r="B64" t="str">
            <v>PE-MSR-CS-OTR00-053-A</v>
          </cell>
          <cell r="F64" t="str">
            <v>Gestión del Corto Plazo Raura</v>
          </cell>
          <cell r="G64" t="str">
            <v>Perú</v>
          </cell>
          <cell r="O64">
            <v>60000</v>
          </cell>
        </row>
        <row r="65">
          <cell r="B65" t="str">
            <v>PE-GLE-OP-FEL2A-054-A</v>
          </cell>
          <cell r="F65" t="str">
            <v>Glencore_Coroccohuayco_OptimizacionLOM</v>
          </cell>
          <cell r="G65" t="str">
            <v>Perú</v>
          </cell>
          <cell r="O65">
            <v>198000</v>
          </cell>
        </row>
        <row r="66">
          <cell r="B66" t="str">
            <v>PE-MSR-UG-OTR00-055-A</v>
          </cell>
          <cell r="F66" t="str">
            <v>Minsur_SanRafael_VetasAngostas</v>
          </cell>
          <cell r="G66" t="str">
            <v>Perú</v>
          </cell>
          <cell r="O66">
            <v>500000</v>
          </cell>
        </row>
        <row r="67">
          <cell r="B67" t="str">
            <v>CH-CMP-CS-OTR00-056-A</v>
          </cell>
          <cell r="F67" t="str">
            <v>Optimización Negocio P40 - foco Romeral</v>
          </cell>
          <cell r="G67" t="str">
            <v>Chile</v>
          </cell>
          <cell r="O67">
            <v>140000</v>
          </cell>
        </row>
        <row r="68">
          <cell r="B68" t="str">
            <v>BR-VAL-OP-PIPEL-057-A</v>
          </cell>
          <cell r="F68" t="str">
            <v>Secuenciamiento y Planificacion Estabilizada Gongo Soco</v>
          </cell>
          <cell r="G68" t="str">
            <v>Brasil</v>
          </cell>
          <cell r="O68">
            <v>500000</v>
          </cell>
        </row>
        <row r="69">
          <cell r="B69" t="str">
            <v>RU-ALR-UG-PIPEL-058-A</v>
          </cell>
          <cell r="F69" t="str">
            <v>Diseño y Planificacion de Block Caving</v>
          </cell>
          <cell r="G69" t="str">
            <v>Rusia</v>
          </cell>
          <cell r="O69">
            <v>395000</v>
          </cell>
        </row>
        <row r="70">
          <cell r="B70" t="str">
            <v>RU-EVR-OT-OTR00-059-A</v>
          </cell>
          <cell r="F70" t="str">
            <v>Selección de equipos mineros</v>
          </cell>
          <cell r="G70" t="str">
            <v>Rusia</v>
          </cell>
          <cell r="O70">
            <v>750000</v>
          </cell>
        </row>
        <row r="71">
          <cell r="B71" t="str">
            <v>OT-IEL-UG-FEL2A-060-A</v>
          </cell>
          <cell r="F71" t="str">
            <v>IvanhoeElectric_Santa-Cruz_PrePFS</v>
          </cell>
          <cell r="G71" t="str">
            <v>Otros</v>
          </cell>
          <cell r="O71">
            <v>536410</v>
          </cell>
        </row>
        <row r="72">
          <cell r="B72" t="str">
            <v>CH-ZUB-CS-OTR00-061-A</v>
          </cell>
          <cell r="F72" t="str">
            <v>Aplicación Simprep</v>
          </cell>
          <cell r="G72" t="str">
            <v>Chile</v>
          </cell>
          <cell r="O72">
            <v>130000</v>
          </cell>
        </row>
        <row r="73">
          <cell r="B73" t="str">
            <v>PE-MSR-CS-OTR00-062-A</v>
          </cell>
          <cell r="F73" t="str">
            <v>Minsur_Ore Sorting Raura</v>
          </cell>
          <cell r="G73" t="str">
            <v>Perú</v>
          </cell>
          <cell r="O73">
            <v>15000</v>
          </cell>
        </row>
        <row r="74">
          <cell r="B74" t="str">
            <v>CH-AMS-CS-OTR00-063-A</v>
          </cell>
          <cell r="F74" t="str">
            <v>AMSA_Estandares Minimos</v>
          </cell>
          <cell r="G74" t="str">
            <v>Chile</v>
          </cell>
          <cell r="O74">
            <v>91650</v>
          </cell>
        </row>
        <row r="75">
          <cell r="B75" t="str">
            <v>BR-MOS-UG-FEL2A-064-A</v>
          </cell>
          <cell r="F75" t="str">
            <v>Mosaic_Taquari Vassouras Fase II CP</v>
          </cell>
          <cell r="G75" t="str">
            <v>Brasil</v>
          </cell>
          <cell r="O75">
            <v>52744</v>
          </cell>
        </row>
        <row r="76">
          <cell r="B76" t="str">
            <v>BR-MOS-UG-FEL2A-065-A</v>
          </cell>
          <cell r="F76" t="str">
            <v>Mosaic_Planeamiento Mina Tapira</v>
          </cell>
          <cell r="G76" t="str">
            <v>Brasil</v>
          </cell>
          <cell r="O76">
            <v>120000</v>
          </cell>
        </row>
        <row r="77">
          <cell r="B77" t="str">
            <v>BR-MOS-UG-FEL2A-066-A</v>
          </cell>
          <cell r="F77" t="str">
            <v>Mosaic_CMA_CMP</v>
          </cell>
          <cell r="G77" t="str">
            <v>Brasil</v>
          </cell>
          <cell r="O77">
            <v>140000</v>
          </cell>
        </row>
        <row r="78">
          <cell r="B78" t="str">
            <v>CH-CMP-CS-FEL00-067-A</v>
          </cell>
          <cell r="F78" t="str">
            <v>CMP_CNN Update Analisis Estrategico LOM</v>
          </cell>
          <cell r="G78" t="str">
            <v>Chile</v>
          </cell>
          <cell r="O78">
            <v>19997</v>
          </cell>
        </row>
        <row r="79">
          <cell r="B79" t="str">
            <v>CH-LUN-OP-FEL00-068-A</v>
          </cell>
          <cell r="F79" t="str">
            <v>Lundin_Candelaria_LOM-OP</v>
          </cell>
          <cell r="G79" t="str">
            <v>Chile</v>
          </cell>
          <cell r="O79">
            <v>532000</v>
          </cell>
        </row>
        <row r="80">
          <cell r="B80" t="str">
            <v>CH-LUN-CS-OTR00-069-A</v>
          </cell>
          <cell r="F80" t="str">
            <v>Lundin_Candelaria_EstudiosCugep</v>
          </cell>
          <cell r="G80" t="str">
            <v>Chile</v>
          </cell>
          <cell r="O80">
            <v>199645</v>
          </cell>
        </row>
        <row r="81">
          <cell r="B81" t="str">
            <v>PE-MSR-CS-OTR00-070-A</v>
          </cell>
          <cell r="F81" t="str">
            <v>Minsur_Raura_SGOP</v>
          </cell>
          <cell r="G81" t="str">
            <v>Perú</v>
          </cell>
          <cell r="O81">
            <v>80000</v>
          </cell>
        </row>
        <row r="82">
          <cell r="B82" t="str">
            <v>PE-MSR-UG-FEL00-071-A</v>
          </cell>
          <cell r="F82" t="str">
            <v>Minsur_Update LOM San Rafael</v>
          </cell>
          <cell r="G82" t="str">
            <v>Perú</v>
          </cell>
          <cell r="O82">
            <v>25600</v>
          </cell>
        </row>
        <row r="83">
          <cell r="B83" t="str">
            <v>RU-SEL-UG-FEL2A-072-A</v>
          </cell>
          <cell r="F83" t="str">
            <v>Seligdar_Kyuchus</v>
          </cell>
          <cell r="G83" t="str">
            <v>Rusia</v>
          </cell>
          <cell r="O83">
            <v>4339988</v>
          </cell>
        </row>
        <row r="84">
          <cell r="B84" t="str">
            <v>CH-CMP-OU-FEL2A-033-C</v>
          </cell>
          <cell r="F84" t="str">
            <v>CMP - FEL 2A</v>
          </cell>
          <cell r="G84" t="str">
            <v>Chile</v>
          </cell>
          <cell r="O84">
            <v>37723</v>
          </cell>
        </row>
        <row r="85">
          <cell r="B85" t="str">
            <v>CH-CMP-OU-FEL2A-033-D</v>
          </cell>
          <cell r="F85" t="str">
            <v>CMP - FEL 2A</v>
          </cell>
          <cell r="G85" t="str">
            <v>Chile</v>
          </cell>
          <cell r="O85">
            <v>48615</v>
          </cell>
        </row>
        <row r="86">
          <cell r="B86" t="str">
            <v>CH-CMP-OU-FEL2A-033-E</v>
          </cell>
          <cell r="F86" t="str">
            <v>CMP - FEL 2A</v>
          </cell>
          <cell r="G86" t="str">
            <v>Chile</v>
          </cell>
          <cell r="O86">
            <v>15204</v>
          </cell>
        </row>
        <row r="87">
          <cell r="B87" t="str">
            <v>BR-MOS-OU-FEL03-026-B</v>
          </cell>
          <cell r="F87" t="str">
            <v>Mosaic_Cajati</v>
          </cell>
          <cell r="G87" t="str">
            <v>Brasil</v>
          </cell>
          <cell r="O87">
            <v>78000</v>
          </cell>
        </row>
        <row r="88">
          <cell r="B88" t="str">
            <v>CH-CMP-OP-OTR00-018-B</v>
          </cell>
          <cell r="F88" t="str">
            <v>Romeral</v>
          </cell>
          <cell r="G88" t="str">
            <v>Chile</v>
          </cell>
          <cell r="O88">
            <v>12277</v>
          </cell>
        </row>
        <row r="89">
          <cell r="B89" t="str">
            <v>CH-CMP-OP-OTR00-018-C</v>
          </cell>
          <cell r="F89" t="str">
            <v>Romeral</v>
          </cell>
          <cell r="G89" t="str">
            <v>Chile</v>
          </cell>
          <cell r="O89">
            <v>86828</v>
          </cell>
        </row>
        <row r="90">
          <cell r="B90" t="str">
            <v>CH-CMP-OP-OTR00-018-D</v>
          </cell>
          <cell r="F90" t="str">
            <v>Romeral</v>
          </cell>
          <cell r="G90" t="str">
            <v>Chile</v>
          </cell>
          <cell r="O90">
            <v>96320</v>
          </cell>
        </row>
        <row r="91">
          <cell r="B91" t="str">
            <v>PE-CSC-UG-FEL2A-023-B</v>
          </cell>
          <cell r="F91" t="str">
            <v>PFS Los Calatos</v>
          </cell>
          <cell r="G91" t="str">
            <v>Perú</v>
          </cell>
          <cell r="O91">
            <v>31657</v>
          </cell>
        </row>
        <row r="92">
          <cell r="B92" t="str">
            <v>CH-CMP-OT-OTR00-002-D</v>
          </cell>
          <cell r="F92" t="str">
            <v>Algarrobo</v>
          </cell>
          <cell r="G92" t="str">
            <v>Chile</v>
          </cell>
          <cell r="O92">
            <v>89891.27</v>
          </cell>
        </row>
        <row r="93">
          <cell r="B93" t="str">
            <v>CH-CMP-OT-FEL00-001-C</v>
          </cell>
          <cell r="F93" t="str">
            <v>Adrianita -Raúl</v>
          </cell>
          <cell r="G93" t="str">
            <v>Chile</v>
          </cell>
          <cell r="O93">
            <v>18042</v>
          </cell>
        </row>
        <row r="94">
          <cell r="B94" t="str">
            <v>CH-BSC-UG-OTR00-073-A</v>
          </cell>
          <cell r="F94" t="str">
            <v>Boston_Inmaculada Hochschild</v>
          </cell>
          <cell r="G94" t="str">
            <v>Chile</v>
          </cell>
          <cell r="O94">
            <v>65109</v>
          </cell>
        </row>
        <row r="95">
          <cell r="B95" t="str">
            <v>CH-BHP-UG-FEL01-074-A</v>
          </cell>
          <cell r="F95" t="str">
            <v>BHP_Tunel Exploratorio</v>
          </cell>
          <cell r="G95" t="str">
            <v>Chile</v>
          </cell>
          <cell r="O95">
            <v>198920</v>
          </cell>
        </row>
        <row r="96">
          <cell r="B96" t="str">
            <v>CH-AMS-CS-OTR00-075-A</v>
          </cell>
          <cell r="F96" t="str">
            <v>AMSA_Asesoria Centinela</v>
          </cell>
          <cell r="G96" t="str">
            <v>Chile</v>
          </cell>
          <cell r="O96">
            <v>225451</v>
          </cell>
        </row>
        <row r="97">
          <cell r="B97" t="str">
            <v>PE-MMG-OU-FEL00-022-B</v>
          </cell>
          <cell r="F97" t="str">
            <v>LasBambas_Ferrobamba_OP_UG</v>
          </cell>
          <cell r="G97" t="str">
            <v>Perú</v>
          </cell>
          <cell r="O97">
            <v>38162</v>
          </cell>
        </row>
        <row r="98">
          <cell r="B98" t="str">
            <v>PE-COR-UG-FEL00-076-A</v>
          </cell>
          <cell r="F98" t="str">
            <v>Coripuno_Metodos de Minado</v>
          </cell>
          <cell r="G98" t="str">
            <v>Perú</v>
          </cell>
          <cell r="O98">
            <v>105000</v>
          </cell>
        </row>
        <row r="99">
          <cell r="B99" t="str">
            <v>PE-MSR-UG-OTR00-077-A</v>
          </cell>
          <cell r="F99" t="str">
            <v>Minsur_Apoyo Planificacion San Rafael</v>
          </cell>
          <cell r="G99" t="str">
            <v>Perú</v>
          </cell>
          <cell r="O99">
            <v>119862</v>
          </cell>
        </row>
        <row r="100">
          <cell r="B100" t="str">
            <v>CH-CCO-OP-FEL00-078-A</v>
          </cell>
          <cell r="F100" t="str">
            <v>Capstone Copper_Estimacion confiabilidad de planes</v>
          </cell>
          <cell r="G100" t="str">
            <v>Chile</v>
          </cell>
          <cell r="O100">
            <v>261986</v>
          </cell>
        </row>
        <row r="101">
          <cell r="B101" t="str">
            <v>PE-MSR-UG-FEL00-079-A</v>
          </cell>
          <cell r="F101" t="str">
            <v>Minsur_Rampa de acceso San German</v>
          </cell>
          <cell r="G101" t="str">
            <v>Perú</v>
          </cell>
          <cell r="O101">
            <v>53339</v>
          </cell>
        </row>
        <row r="102">
          <cell r="B102" t="str">
            <v>OT-MCA-CS-OTR00-080-A</v>
          </cell>
          <cell r="F102" t="str">
            <v>McCarthy_Litigio Rio Tinto</v>
          </cell>
          <cell r="G102" t="str">
            <v>Otros</v>
          </cell>
          <cell r="O102">
            <v>611100</v>
          </cell>
        </row>
        <row r="103">
          <cell r="B103" t="str">
            <v>RU-ECH-UG-FEL00-081-A</v>
          </cell>
          <cell r="F103" t="str">
            <v>Eurochem_Himmelfarb Deposit</v>
          </cell>
          <cell r="G103" t="str">
            <v>Rusia</v>
          </cell>
          <cell r="O103">
            <v>152100</v>
          </cell>
        </row>
        <row r="104">
          <cell r="B104" t="str">
            <v>CH-BSC-UG-OTR00-082-A</v>
          </cell>
          <cell r="F104" t="str">
            <v>Boston_Inmaculada Hochschild II</v>
          </cell>
          <cell r="G104" t="str">
            <v>Chile</v>
          </cell>
          <cell r="O104">
            <v>40000</v>
          </cell>
        </row>
        <row r="105">
          <cell r="B105" t="str">
            <v>CH-CMP-OP-OTR00-083-A</v>
          </cell>
          <cell r="F105" t="str">
            <v>CMP_LOM CNN 2024</v>
          </cell>
          <cell r="G105" t="str">
            <v>Chile</v>
          </cell>
          <cell r="O105">
            <v>36205</v>
          </cell>
        </row>
        <row r="106">
          <cell r="B106" t="str">
            <v>CH-CMP-OP-OTR00-084-A</v>
          </cell>
          <cell r="F106" t="str">
            <v>CMP_LOM MLC 2024</v>
          </cell>
          <cell r="G106" t="str">
            <v>Chile</v>
          </cell>
          <cell r="O106">
            <v>62985</v>
          </cell>
        </row>
        <row r="107">
          <cell r="B107" t="str">
            <v>CH-BHP-OP-OTR00-085-A</v>
          </cell>
          <cell r="F107" t="str">
            <v>Spence_Confiabilidad Plan 2YB 2025</v>
          </cell>
          <cell r="G107" t="str">
            <v>Chile</v>
          </cell>
          <cell r="O107">
            <v>35000</v>
          </cell>
        </row>
        <row r="108">
          <cell r="B108" t="str">
            <v>PE-MSR-UG-FEL00-086-A</v>
          </cell>
          <cell r="F108" t="str">
            <v>Minsur_LOM San Rafael 2025</v>
          </cell>
          <cell r="G108" t="str">
            <v>Perú</v>
          </cell>
          <cell r="O108">
            <v>95283</v>
          </cell>
        </row>
        <row r="109">
          <cell r="B109" t="str">
            <v>OT-EMX-CS-OTR00-087-A</v>
          </cell>
          <cell r="F109" t="str">
            <v>EMX_Due Diligence de Chapi</v>
          </cell>
          <cell r="G109" t="str">
            <v>Otros</v>
          </cell>
          <cell r="O109">
            <v>159694</v>
          </cell>
        </row>
        <row r="110">
          <cell r="B110" t="str">
            <v>OT-IEL-UG-FEL2A-088-A</v>
          </cell>
          <cell r="F110" t="str">
            <v>IvanhoeElectric_Mine Planning Support</v>
          </cell>
          <cell r="G110" t="str">
            <v>Otros</v>
          </cell>
          <cell r="O110">
            <v>196720</v>
          </cell>
        </row>
        <row r="111">
          <cell r="B111" t="str">
            <v>CH-MCI-OP-OTR00-089-A</v>
          </cell>
          <cell r="F111" t="str">
            <v>MCI_Mine Plan Review Los Bronces</v>
          </cell>
          <cell r="G111" t="str">
            <v>Chile</v>
          </cell>
          <cell r="O111">
            <v>239000</v>
          </cell>
        </row>
        <row r="112">
          <cell r="B112" t="str">
            <v>PE-MSR-CS-OTR00-090-A</v>
          </cell>
          <cell r="F112" t="str">
            <v>Minsur_Apoyo MEIA Raura</v>
          </cell>
          <cell r="G112" t="str">
            <v>Perú</v>
          </cell>
          <cell r="O112">
            <v>8000</v>
          </cell>
        </row>
        <row r="113">
          <cell r="B113" t="str">
            <v>OT-EMX-CS-OTR00-091-A</v>
          </cell>
          <cell r="F113" t="str">
            <v>EMX_Metallurgical expert for review</v>
          </cell>
          <cell r="G113" t="str">
            <v>Otros</v>
          </cell>
          <cell r="O113">
            <v>14850</v>
          </cell>
        </row>
        <row r="114">
          <cell r="B114" t="str">
            <v>PE-MSR-GM-OTR00-092-A</v>
          </cell>
          <cell r="F114" t="str">
            <v>Minsur_Mejoramiento datos geotecnicos SR</v>
          </cell>
          <cell r="G114" t="str">
            <v>Perú</v>
          </cell>
          <cell r="O114">
            <v>25000</v>
          </cell>
        </row>
        <row r="115">
          <cell r="B115" t="str">
            <v>CH-CMP-UG-FEL03-093-A</v>
          </cell>
          <cell r="F115" t="str">
            <v>CMP_Puesta en marcha SLS Romeral</v>
          </cell>
          <cell r="G115" t="str">
            <v>Chile</v>
          </cell>
          <cell r="O115">
            <v>900007.88</v>
          </cell>
        </row>
        <row r="116">
          <cell r="B116" t="str">
            <v>CH-GLE-CS-OTR00-094-A</v>
          </cell>
          <cell r="F116" t="str">
            <v>Glencore_MineHaul y MinePlan Lomas Bayas</v>
          </cell>
          <cell r="G116" t="str">
            <v>Chile</v>
          </cell>
          <cell r="O116">
            <v>12000</v>
          </cell>
        </row>
        <row r="117">
          <cell r="B117" t="str">
            <v>CH-CMP-UG-OTR00-095-A</v>
          </cell>
          <cell r="F117" t="str">
            <v>CMP_Estrategia Crecimiento Tofo Norte</v>
          </cell>
          <cell r="G117" t="str">
            <v>Chile</v>
          </cell>
          <cell r="O117">
            <v>94854</v>
          </cell>
        </row>
        <row r="118">
          <cell r="B118" t="str">
            <v>CH-CMP-OP-OTR00-096-A</v>
          </cell>
          <cell r="F118" t="str">
            <v>CMP_Plan minero base MLC</v>
          </cell>
          <cell r="G118" t="str">
            <v>Chile</v>
          </cell>
          <cell r="O118">
            <v>36143</v>
          </cell>
        </row>
        <row r="119">
          <cell r="B119" t="str">
            <v>PE-MSR-UG-OTR00-097-A</v>
          </cell>
          <cell r="F119" t="str">
            <v>Minsur_Evaluacion recursos marginales</v>
          </cell>
          <cell r="G119" t="str">
            <v>Perú</v>
          </cell>
          <cell r="O119">
            <v>64935</v>
          </cell>
        </row>
        <row r="120">
          <cell r="B120" t="str">
            <v>BR-MOS-UG-OTR00-098-A</v>
          </cell>
          <cell r="F120" t="str">
            <v>Mosaic_Taquari Vassouras Fase II</v>
          </cell>
          <cell r="G120" t="str">
            <v>Brasil</v>
          </cell>
          <cell r="O120">
            <v>330410</v>
          </cell>
        </row>
        <row r="121">
          <cell r="B121" t="str">
            <v>CH-CMP-OU-FEL2A-033-F</v>
          </cell>
          <cell r="F121" t="str">
            <v>CMP - FEL 2A</v>
          </cell>
          <cell r="G121" t="str">
            <v>Chile</v>
          </cell>
          <cell r="O121">
            <v>20155.189999999999</v>
          </cell>
        </row>
        <row r="122">
          <cell r="B122" t="str">
            <v>PE-SME-CS-OTR00-099-A</v>
          </cell>
          <cell r="F122" t="str">
            <v>SierraMetals_Update MEIA Yauricocha</v>
          </cell>
          <cell r="G122" t="str">
            <v>Perú</v>
          </cell>
          <cell r="O122">
            <v>83610</v>
          </cell>
        </row>
        <row r="123">
          <cell r="B123" t="str">
            <v>BR-J&amp;F-CS-OTR00-100-A</v>
          </cell>
          <cell r="F123" t="str">
            <v>J&amp;F_Autazes Due Diligence</v>
          </cell>
          <cell r="G123" t="str">
            <v>Brasil</v>
          </cell>
          <cell r="O123">
            <v>112664</v>
          </cell>
        </row>
        <row r="124">
          <cell r="B124" t="str">
            <v>CH-RED-CS-OTR00-101-A</v>
          </cell>
          <cell r="F124" t="str">
            <v>Equipo P&amp;C</v>
          </cell>
          <cell r="G124" t="str">
            <v>Chile</v>
          </cell>
          <cell r="O124">
            <v>0</v>
          </cell>
        </row>
        <row r="125">
          <cell r="B125" t="str">
            <v>PE-MMG-OU-FEL00-022-C</v>
          </cell>
          <cell r="F125" t="str">
            <v>LasBambas_Ferrobamba_OP_UG</v>
          </cell>
          <cell r="G125" t="str">
            <v>Perú</v>
          </cell>
          <cell r="O125">
            <v>26000</v>
          </cell>
        </row>
        <row r="126">
          <cell r="B126" t="str">
            <v>BR-MOS-OP-FEL2A-102-A</v>
          </cell>
          <cell r="F126" t="str">
            <v>Mosaic_Actualizacion geotecnica OP</v>
          </cell>
          <cell r="G126" t="str">
            <v>Brasil</v>
          </cell>
          <cell r="O126">
            <v>79900</v>
          </cell>
        </row>
        <row r="127">
          <cell r="B127" t="str">
            <v>CH-BHP-OP-FEL00-103-A</v>
          </cell>
          <cell r="F127" t="str">
            <v>BHP_Plan e Iniciativas LoA25-26</v>
          </cell>
          <cell r="G127" t="str">
            <v>Chile</v>
          </cell>
          <cell r="O127">
            <v>70000</v>
          </cell>
        </row>
        <row r="128">
          <cell r="B128" t="str">
            <v>PE-MSR-CS-OTR00-104-A</v>
          </cell>
          <cell r="F128" t="str">
            <v>Minsur_Control y seguimiento KPIs</v>
          </cell>
          <cell r="G128" t="str">
            <v>Perú</v>
          </cell>
          <cell r="O128">
            <v>132800</v>
          </cell>
        </row>
        <row r="129">
          <cell r="B129" t="str">
            <v>PE-HUD-GM-FEL00-105-A</v>
          </cell>
          <cell r="F129" t="str">
            <v>Hudbay_Analisis estabilidad OP</v>
          </cell>
          <cell r="G129" t="str">
            <v>Perú</v>
          </cell>
          <cell r="O129">
            <v>64800</v>
          </cell>
        </row>
        <row r="130">
          <cell r="B130" t="str">
            <v>CH-CMP-OP-FEL00-106-A</v>
          </cell>
          <cell r="F130" t="str">
            <v>CMP_Mejoras Operacionales CNN</v>
          </cell>
          <cell r="G130" t="str">
            <v>Chile</v>
          </cell>
          <cell r="O130">
            <v>121038.49</v>
          </cell>
        </row>
        <row r="131">
          <cell r="B131" t="str">
            <v>CH-CMP-OT-OTR00-107-A</v>
          </cell>
          <cell r="F131" t="str">
            <v>CMP_Nuevos alcances Algarrobo</v>
          </cell>
          <cell r="G131" t="str">
            <v>Chile</v>
          </cell>
          <cell r="O131">
            <v>112506</v>
          </cell>
        </row>
        <row r="132">
          <cell r="B132" t="str">
            <v>CH-AMS-OT-OTR00-108-A</v>
          </cell>
          <cell r="F132" t="str">
            <v>AMSA_Contrato Marco</v>
          </cell>
          <cell r="G132" t="str">
            <v>Chile</v>
          </cell>
          <cell r="O132">
            <v>191000</v>
          </cell>
        </row>
        <row r="133">
          <cell r="B133" t="str">
            <v>PE-MSR-GM-OTR00-109-A</v>
          </cell>
          <cell r="F133" t="str">
            <v>Minsur_Integracion Planeamiento Geomecanica</v>
          </cell>
          <cell r="G133" t="str">
            <v>Perú</v>
          </cell>
          <cell r="O133">
            <v>13797</v>
          </cell>
        </row>
        <row r="134">
          <cell r="B134" t="str">
            <v>CH-LUN-OP-FEL00-110-A</v>
          </cell>
          <cell r="F134" t="str">
            <v>Lundin_Oportunidades mejoras Caserones</v>
          </cell>
          <cell r="G134" t="str">
            <v>Chile</v>
          </cell>
          <cell r="O134">
            <v>123240</v>
          </cell>
        </row>
        <row r="135">
          <cell r="B135" t="str">
            <v>BR-MOS-CS-OTR00-111-A</v>
          </cell>
          <cell r="F135" t="str">
            <v>Mosaic_Cumplimiento plan con KPIs</v>
          </cell>
          <cell r="G135" t="str">
            <v>Brasil</v>
          </cell>
          <cell r="O135">
            <v>60000</v>
          </cell>
        </row>
        <row r="136">
          <cell r="B136" t="str">
            <v>CH-COD-OU-FEL00-112-A</v>
          </cell>
          <cell r="F136" t="str">
            <v>Codelco_Opciones vaciado mineral via OP</v>
          </cell>
          <cell r="G136" t="str">
            <v>Chile</v>
          </cell>
          <cell r="O136">
            <v>85362.89</v>
          </cell>
        </row>
        <row r="137">
          <cell r="B137" t="str">
            <v>CH-LUN-CS-OTR00-113-A</v>
          </cell>
          <cell r="F137" t="str">
            <v>Lundin_Gaps Planificación y Operación UG</v>
          </cell>
          <cell r="G137" t="str">
            <v>Chile</v>
          </cell>
          <cell r="O137">
            <v>61650</v>
          </cell>
        </row>
        <row r="138">
          <cell r="B138" t="str">
            <v>PE-MAR-OU-FEL01-114-A</v>
          </cell>
          <cell r="F138" t="str">
            <v>Marcobre_Ingeniería de Perfil Achupallas</v>
          </cell>
          <cell r="G138" t="str">
            <v>Perú</v>
          </cell>
          <cell r="O138">
            <v>161778</v>
          </cell>
        </row>
        <row r="139">
          <cell r="B139" t="str">
            <v>BR-MOS-CS-OTR00-115-A</v>
          </cell>
          <cell r="F139" t="str">
            <v>Mosaic_Secuencia Operaciones Cajati</v>
          </cell>
          <cell r="G139" t="str">
            <v>Brasil</v>
          </cell>
          <cell r="O139">
            <v>60100.34</v>
          </cell>
        </row>
        <row r="140">
          <cell r="B140" t="str">
            <v>PE-CSC-UG-FEL2A-023-C</v>
          </cell>
          <cell r="F140" t="str">
            <v>PFS Los Calatos</v>
          </cell>
          <cell r="G140" t="str">
            <v>Perú</v>
          </cell>
          <cell r="O140">
            <v>25000</v>
          </cell>
        </row>
        <row r="141">
          <cell r="B141" t="str">
            <v>PE-CSC-UG-FEL2A-023-D</v>
          </cell>
          <cell r="F141" t="str">
            <v>PFS Los Calatos</v>
          </cell>
          <cell r="G141" t="str">
            <v>Perú</v>
          </cell>
          <cell r="O141">
            <v>14015</v>
          </cell>
        </row>
        <row r="142">
          <cell r="B142" t="str">
            <v>CH-AMS-CS-OTR00-116-A</v>
          </cell>
          <cell r="F142" t="str">
            <v>AMSA_Trade Off Tecnologico NGD</v>
          </cell>
          <cell r="G142" t="str">
            <v>Chile</v>
          </cell>
          <cell r="O142">
            <v>134445.66999999998</v>
          </cell>
        </row>
        <row r="143">
          <cell r="B143" t="str">
            <v>CH-CCO-CS-FEL00-117-A</v>
          </cell>
          <cell r="F143" t="str">
            <v>Capstone Copper_Estudio Sierra Norte</v>
          </cell>
          <cell r="G143" t="str">
            <v>Chile</v>
          </cell>
          <cell r="O143">
            <v>196000.3</v>
          </cell>
        </row>
        <row r="144">
          <cell r="B144" t="str">
            <v>PE-CMC-CD-OTR00-118-A</v>
          </cell>
          <cell r="F144" t="str">
            <v>CMC_Capacitación DBS y SIMPLAN</v>
          </cell>
          <cell r="G144" t="str">
            <v>Perú</v>
          </cell>
          <cell r="O144">
            <v>19700</v>
          </cell>
        </row>
        <row r="145">
          <cell r="B145" t="str">
            <v>OT-TWM-CS-FEL00-119-A</v>
          </cell>
          <cell r="F145" t="str">
            <v>Twin Metals_Pre PFS Birch Lake Maturi</v>
          </cell>
          <cell r="G145" t="str">
            <v>Otros</v>
          </cell>
          <cell r="O145">
            <v>481541</v>
          </cell>
        </row>
        <row r="146">
          <cell r="B146" t="str">
            <v>CH-CMP-CS-FEL00-120-A</v>
          </cell>
          <cell r="F146" t="str">
            <v>CMP_Capacidad Optima Tofo Norte</v>
          </cell>
          <cell r="G146" t="str">
            <v>Chile</v>
          </cell>
        </row>
        <row r="147">
          <cell r="B147" t="str">
            <v>CH-CMP-UG-FEL00-121-A</v>
          </cell>
          <cell r="F147" t="str">
            <v>CMP_Scoping Study Algarrobo</v>
          </cell>
          <cell r="G147" t="str">
            <v>Chile</v>
          </cell>
        </row>
        <row r="148">
          <cell r="B148" t="str">
            <v>OT-THC-CS-OTR00-122-A</v>
          </cell>
          <cell r="F148" t="str">
            <v>ThreeCrowns_Litigio Oyu Tolgoi</v>
          </cell>
          <cell r="G148" t="str">
            <v>Otros</v>
          </cell>
          <cell r="O148">
            <v>645700</v>
          </cell>
        </row>
        <row r="149">
          <cell r="B149" t="str">
            <v>PE-MMG-OU-FEL2A-123-A</v>
          </cell>
          <cell r="F149" t="str">
            <v>LasBambas_PFS Ferrobamba UG</v>
          </cell>
          <cell r="G149" t="str">
            <v>Perú</v>
          </cell>
        </row>
        <row r="150">
          <cell r="B150" t="str">
            <v>CH-COD-CS-OTR00-124-A</v>
          </cell>
          <cell r="F150" t="str">
            <v>Codelco_Prácticas de Planificación DMH</v>
          </cell>
          <cell r="G150" t="str">
            <v>Chile</v>
          </cell>
          <cell r="O150">
            <v>14342</v>
          </cell>
        </row>
        <row r="151">
          <cell r="B151" t="str">
            <v>CH-COD-CS-OTR00-125-A</v>
          </cell>
          <cell r="F151" t="str">
            <v>Codelco_Normativa Recursos y Reservas</v>
          </cell>
          <cell r="G151" t="str">
            <v>Chile</v>
          </cell>
        </row>
        <row r="152">
          <cell r="B152" t="str">
            <v>PE-VLC-CS-OTR00-126-A</v>
          </cell>
          <cell r="F152" t="str">
            <v>Volcan_MEIA Romina</v>
          </cell>
          <cell r="G152" t="str">
            <v>Perú</v>
          </cell>
        </row>
        <row r="153">
          <cell r="B153" t="str">
            <v>CH-AAM-CS-OTR00-127-A</v>
          </cell>
          <cell r="F153" t="str">
            <v>AngloAmerican_Due Dilligence Andina</v>
          </cell>
          <cell r="G153" t="str">
            <v>Chile</v>
          </cell>
        </row>
        <row r="154">
          <cell r="B154" t="str">
            <v>PE-CSC-UG-FEL2A-023-E</v>
          </cell>
          <cell r="F154" t="str">
            <v>PFS Los Calatos</v>
          </cell>
          <cell r="G154" t="str">
            <v>Perú</v>
          </cell>
          <cell r="O154">
            <v>46760</v>
          </cell>
        </row>
        <row r="155">
          <cell r="B155" t="str">
            <v>CH-COD-CS-OTR00-128-A</v>
          </cell>
          <cell r="F155" t="str">
            <v>Codelco_Estándar cierre topográfico</v>
          </cell>
          <cell r="G155" t="str">
            <v>Chile</v>
          </cell>
          <cell r="O155">
            <v>36418</v>
          </cell>
        </row>
        <row r="156">
          <cell r="B156" t="str">
            <v>CH-COD-CS-OTR00-129-A</v>
          </cell>
          <cell r="F156" t="str">
            <v>Codelco_Actualización norma NCC-31</v>
          </cell>
          <cell r="G156" t="str">
            <v>Chile</v>
          </cell>
          <cell r="O156">
            <v>63381.369999999995</v>
          </cell>
        </row>
        <row r="157">
          <cell r="B157" t="str">
            <v>BR-AUM-OU-FEL00-130-A</v>
          </cell>
          <cell r="F157" t="str">
            <v>AuraMinerals_Expansión Mina Paiol OP-UG</v>
          </cell>
          <cell r="G157" t="str">
            <v>Brasil</v>
          </cell>
          <cell r="O157">
            <v>310000</v>
          </cell>
        </row>
        <row r="158">
          <cell r="B158" t="str">
            <v>OT-RES-CS-OTR00-131-A</v>
          </cell>
          <cell r="F158" t="str">
            <v>Resolution_MinePlan Review</v>
          </cell>
          <cell r="G158" t="str">
            <v>Otros</v>
          </cell>
          <cell r="O158">
            <v>254012</v>
          </cell>
        </row>
        <row r="159">
          <cell r="B159" t="str">
            <v>CH-COD-UG-FEL00-132-A</v>
          </cell>
          <cell r="F159" t="str">
            <v>Codelco_Alternativas de acceso UG DMH</v>
          </cell>
          <cell r="G159" t="str">
            <v>Chile</v>
          </cell>
        </row>
        <row r="160">
          <cell r="B160" t="str">
            <v>PE-CSC-UG-FEL2A-133-A</v>
          </cell>
          <cell r="F160" t="str">
            <v>PFS Los Calatos V3</v>
          </cell>
          <cell r="G160" t="str">
            <v>Perú</v>
          </cell>
          <cell r="O160">
            <v>295769</v>
          </cell>
        </row>
        <row r="161">
          <cell r="B161" t="str">
            <v>PE-MSR-UG-OTR00-134-A</v>
          </cell>
          <cell r="F161" t="str">
            <v>Minsur_Raura Análisis LOM25</v>
          </cell>
          <cell r="G161" t="str">
            <v>Perú</v>
          </cell>
          <cell r="O161">
            <v>51870</v>
          </cell>
        </row>
        <row r="162">
          <cell r="B162" t="str">
            <v>CH-BHP-OP-FEL00-135-A</v>
          </cell>
          <cell r="F162" t="str">
            <v>BHP_Medidas de Cierre Botaderos</v>
          </cell>
          <cell r="G162" t="str">
            <v>Chile</v>
          </cell>
          <cell r="O162">
            <v>904853</v>
          </cell>
        </row>
        <row r="163">
          <cell r="B163" t="str">
            <v>CH-CMP-UG-OTR00-095-B</v>
          </cell>
          <cell r="F163" t="str">
            <v>CMP_Estrategia Crecimiento Tofo Norte</v>
          </cell>
          <cell r="G163" t="str">
            <v>Chile</v>
          </cell>
          <cell r="O163">
            <v>46011.26</v>
          </cell>
        </row>
        <row r="164">
          <cell r="B164" t="str">
            <v>CH-CMP-OP-OTR00-096-B</v>
          </cell>
          <cell r="F164" t="str">
            <v>CMP_Plan minero base MLC</v>
          </cell>
          <cell r="G164" t="str">
            <v>Chile</v>
          </cell>
          <cell r="O164">
            <v>36107</v>
          </cell>
        </row>
        <row r="165">
          <cell r="B165" t="str">
            <v>PE-MMG-UG-FEL00-136-A</v>
          </cell>
          <cell r="F165" t="str">
            <v>LasBambas_Ferrobambas UG Escenarios</v>
          </cell>
          <cell r="G165" t="str">
            <v>Perú</v>
          </cell>
          <cell r="O165">
            <v>87520</v>
          </cell>
        </row>
        <row r="166">
          <cell r="B166" t="str">
            <v>CH-D&amp;P-CS-OTR00-137-A</v>
          </cell>
          <cell r="F166" t="str">
            <v>Estrategia Cobre Panama</v>
          </cell>
          <cell r="G166" t="str">
            <v>Chile</v>
          </cell>
          <cell r="O166">
            <v>272200.59999999998</v>
          </cell>
        </row>
        <row r="167">
          <cell r="B167" t="str">
            <v>PE-OCP-CS-OTR00-138-A</v>
          </cell>
          <cell r="F167" t="str">
            <v>OCP_Análisis Estratégico Mina Cobriza</v>
          </cell>
          <cell r="G167" t="str">
            <v>Perú</v>
          </cell>
          <cell r="O167">
            <v>184000</v>
          </cell>
        </row>
        <row r="168">
          <cell r="B168" t="str">
            <v>CH-AAM-OT-FEL03-139-A</v>
          </cell>
          <cell r="F168" t="str">
            <v>AngloAmerican_Tecnología HDD</v>
          </cell>
          <cell r="G168" t="str">
            <v>Chile</v>
          </cell>
          <cell r="O168">
            <v>183430</v>
          </cell>
        </row>
        <row r="169">
          <cell r="B169" t="str">
            <v>CH-BHP-OP-OTR00-140-A</v>
          </cell>
          <cell r="F169" t="str">
            <v>BHP_Spence 2YB Analisys</v>
          </cell>
          <cell r="G169" t="str">
            <v>Chile</v>
          </cell>
          <cell r="O169">
            <v>37400</v>
          </cell>
        </row>
        <row r="170">
          <cell r="B170" t="str">
            <v>OT-TWM-CS-FEL00-141-A</v>
          </cell>
          <cell r="F170" t="str">
            <v>TwinMetals_Birch Lake Integration</v>
          </cell>
          <cell r="G170" t="str">
            <v>Otros</v>
          </cell>
          <cell r="O170">
            <v>132000</v>
          </cell>
        </row>
        <row r="171">
          <cell r="B171" t="str">
            <v>PE-MSR-UG-FEL00-142-A</v>
          </cell>
          <cell r="F171" t="str">
            <v>Minsur_San Rafael Estudio V MEIA</v>
          </cell>
          <cell r="G171" t="str">
            <v>Perú</v>
          </cell>
          <cell r="O171">
            <v>248031</v>
          </cell>
        </row>
        <row r="172">
          <cell r="B172" t="str">
            <v>PE-MMG-UG-FEL2A-143-A</v>
          </cell>
          <cell r="F172" t="str">
            <v>LasBambas_Ferrobamba PFS</v>
          </cell>
          <cell r="G172" t="str">
            <v>Perú</v>
          </cell>
          <cell r="O172">
            <v>1061121</v>
          </cell>
        </row>
        <row r="173">
          <cell r="B173" t="str">
            <v>PE--CS-OTR00-144-A</v>
          </cell>
          <cell r="F173" t="str">
            <v>Simulaciones LB</v>
          </cell>
          <cell r="G173" t="str">
            <v>Perú</v>
          </cell>
          <cell r="O173">
            <v>60000</v>
          </cell>
        </row>
        <row r="174">
          <cell r="B174" t="str">
            <v>CH-BHP-OP-OTR00-145-A</v>
          </cell>
          <cell r="F174" t="str">
            <v>BHP_Análisis LoA 2025 - SCUT</v>
          </cell>
          <cell r="G174" t="str">
            <v>Chile</v>
          </cell>
          <cell r="O174">
            <v>47590</v>
          </cell>
        </row>
        <row r="175">
          <cell r="B175" t="str">
            <v>CH-AAM-CS-OTR00-146-A</v>
          </cell>
          <cell r="F175" t="str">
            <v>AngloAmerican_Análisis Productividad MLB</v>
          </cell>
          <cell r="G175" t="str">
            <v>Chile</v>
          </cell>
          <cell r="O175">
            <v>62417</v>
          </cell>
        </row>
        <row r="176">
          <cell r="B176" t="str">
            <v>BR-MOS-OU-FEL03-147-A</v>
          </cell>
          <cell r="F176" t="str">
            <v>Mosaic_Cajati Business Case</v>
          </cell>
          <cell r="G176" t="str">
            <v>Brasil</v>
          </cell>
          <cell r="O176">
            <v>147935</v>
          </cell>
        </row>
        <row r="177">
          <cell r="B177" t="str">
            <v>CH-CMP-OP-OTR00-096-C</v>
          </cell>
          <cell r="F177" t="str">
            <v>CMP_Plan minero base MLC</v>
          </cell>
          <cell r="G177" t="str">
            <v>Chile</v>
          </cell>
          <cell r="O177">
            <v>17498</v>
          </cell>
        </row>
        <row r="178">
          <cell r="B178" t="str">
            <v>RU-ATL-OP-FEL00-148-A</v>
          </cell>
          <cell r="F178" t="str">
            <v>AtlasMining_Ley de corte optima Malomyr</v>
          </cell>
          <cell r="G178" t="str">
            <v>Rusia</v>
          </cell>
          <cell r="O178">
            <v>225000</v>
          </cell>
        </row>
        <row r="179">
          <cell r="B179" t="str">
            <v>RU-POL-OP-FEL00-149-A</v>
          </cell>
          <cell r="F179" t="str">
            <v>Polyus_Evaluacion talud mina Blagodatny</v>
          </cell>
          <cell r="G179" t="str">
            <v>Rusia</v>
          </cell>
          <cell r="O179">
            <v>153748</v>
          </cell>
        </row>
        <row r="180">
          <cell r="B180" t="str">
            <v>OT-RES-CS-OTR00-150-A</v>
          </cell>
          <cell r="F180" t="str">
            <v>Resolution_UGC 68L Program</v>
          </cell>
          <cell r="G180" t="str">
            <v>Otros</v>
          </cell>
          <cell r="O180">
            <v>47808</v>
          </cell>
        </row>
        <row r="181">
          <cell r="B181" t="str">
            <v>PE-MSR-UG-OTR00-151-A</v>
          </cell>
          <cell r="F181" t="str">
            <v>Minsur_LOM Integrado San Rafael 2025</v>
          </cell>
          <cell r="G181" t="str">
            <v>Perú</v>
          </cell>
          <cell r="O181">
            <v>60000</v>
          </cell>
        </row>
        <row r="182">
          <cell r="B182" t="str">
            <v>BR-ERC-UG-FEL00-152-A</v>
          </cell>
          <cell r="F182" t="str">
            <v>EroCopper_Scoping Proyecto Furnas</v>
          </cell>
          <cell r="G182" t="str">
            <v>Brasil</v>
          </cell>
          <cell r="O182">
            <v>562180</v>
          </cell>
        </row>
        <row r="183">
          <cell r="B183" t="str">
            <v>BR-AUM-OU-FEL2A-130-B</v>
          </cell>
          <cell r="F183" t="str">
            <v>AuraMinerals_Expansión Mina Paiol OP-UG</v>
          </cell>
          <cell r="G183" t="str">
            <v>Brasil</v>
          </cell>
          <cell r="O183">
            <v>108000</v>
          </cell>
        </row>
        <row r="184">
          <cell r="B184" t="str">
            <v>PE-HUD-GM-FEL00-153-A</v>
          </cell>
          <cell r="F184" t="str">
            <v>Hudbay_Actualización Riesgo Sísmico</v>
          </cell>
          <cell r="G184" t="str">
            <v>Perú</v>
          </cell>
          <cell r="O184">
            <v>36720</v>
          </cell>
        </row>
        <row r="185">
          <cell r="B185" t="str">
            <v>CH-LUN-CS-OTR00-154-A</v>
          </cell>
          <cell r="F185" t="str">
            <v>Lundin_Análisis Estratégico Caserones</v>
          </cell>
          <cell r="G185" t="str">
            <v>Chile</v>
          </cell>
          <cell r="O185">
            <v>299270</v>
          </cell>
        </row>
        <row r="186">
          <cell r="B186" t="str">
            <v>CH-BHP-OP-FEL00-135-B</v>
          </cell>
          <cell r="F186" t="str">
            <v>BHP_Medidas de Cierre Botaderos</v>
          </cell>
          <cell r="G186" t="str">
            <v>Chile</v>
          </cell>
          <cell r="O186">
            <v>42940</v>
          </cell>
        </row>
        <row r="187">
          <cell r="B187" t="str">
            <v>CH-BHP-OP-FEL00-135-C</v>
          </cell>
          <cell r="F187" t="str">
            <v>BHP_Medidas de Cierre Botaderos</v>
          </cell>
          <cell r="G187" t="str">
            <v>Chile</v>
          </cell>
          <cell r="O187">
            <v>226030</v>
          </cell>
        </row>
        <row r="188">
          <cell r="B188" t="str">
            <v>PE-MMG-UG-FEL00-136-B</v>
          </cell>
          <cell r="F188" t="str">
            <v>LasBambas_Ferrobambas UG Escenarios</v>
          </cell>
          <cell r="G188" t="str">
            <v>Perú</v>
          </cell>
          <cell r="O188">
            <v>18360</v>
          </cell>
        </row>
        <row r="189">
          <cell r="B189" t="str">
            <v>PE-CSC-UG-FEL2A-133-B</v>
          </cell>
          <cell r="F189" t="str">
            <v>PFS Los Calatos V3</v>
          </cell>
          <cell r="G189" t="str">
            <v>Perú</v>
          </cell>
          <cell r="O189">
            <v>152618</v>
          </cell>
        </row>
        <row r="190">
          <cell r="B190" t="str">
            <v>CH-CMP-OP-FEL00-155-A</v>
          </cell>
          <cell r="F190" t="str">
            <v>CMP_Actualización Casos de Negocios CNN</v>
          </cell>
          <cell r="G190" t="str">
            <v>Chile</v>
          </cell>
          <cell r="O190">
            <v>20733</v>
          </cell>
        </row>
        <row r="191">
          <cell r="B191" t="str">
            <v>PE-ALP-GM-FEL00-156-A</v>
          </cell>
          <cell r="F191" t="str">
            <v>Alpayana_Estudio de Sismicidad</v>
          </cell>
          <cell r="G191" t="str">
            <v>Perú</v>
          </cell>
          <cell r="O191">
            <v>187619</v>
          </cell>
        </row>
        <row r="192">
          <cell r="B192" t="str">
            <v>PE-VLC-GM-FEL00-157-A</v>
          </cell>
          <cell r="F192" t="str">
            <v>Alpamarca_Estudio de Estabilidad Tajo</v>
          </cell>
          <cell r="G192" t="str">
            <v>Perú</v>
          </cell>
          <cell r="O192">
            <v>24440</v>
          </cell>
        </row>
        <row r="193">
          <cell r="B193" t="str">
            <v>BR-TAB-OP-FEL00-158-A</v>
          </cell>
          <cell r="F193" t="str">
            <v>Taboca_Evaluación Mina Pitinga</v>
          </cell>
          <cell r="G193" t="str">
            <v>Brasil</v>
          </cell>
          <cell r="O193">
            <v>180000</v>
          </cell>
        </row>
        <row r="194">
          <cell r="B194" t="str">
            <v>CH-CCO-CS-OTR00-159-A</v>
          </cell>
          <cell r="F194" t="str">
            <v>Capstone Copper_Production at Risk</v>
          </cell>
          <cell r="G194" t="str">
            <v>Chile</v>
          </cell>
          <cell r="O194">
            <v>148281</v>
          </cell>
        </row>
        <row r="195">
          <cell r="B195" t="str">
            <v>PE-SPM-UG-FEL03-160-A</v>
          </cell>
          <cell r="F195" t="str">
            <v>SPM_FS Labores Subterraneas 2da MEIA</v>
          </cell>
          <cell r="G195" t="str">
            <v>Perú</v>
          </cell>
          <cell r="O195">
            <v>99244</v>
          </cell>
        </row>
        <row r="196">
          <cell r="B196" t="str">
            <v>BR-LHG-UG-OTR00-161-A</v>
          </cell>
          <cell r="F196" t="str">
            <v>LHG_LOM Urucum</v>
          </cell>
          <cell r="G196" t="str">
            <v>Brasil</v>
          </cell>
          <cell r="O196">
            <v>113137</v>
          </cell>
        </row>
        <row r="197">
          <cell r="B197" t="str">
            <v>PE-MSR-UG-OTR00-162-A</v>
          </cell>
          <cell r="F197" t="str">
            <v>Minsur_Soporte LOM 2025 Raura</v>
          </cell>
          <cell r="G197" t="str">
            <v>Perú</v>
          </cell>
          <cell r="O197">
            <v>35690</v>
          </cell>
        </row>
        <row r="198">
          <cell r="B198" t="str">
            <v>PE-MSR-CS-OTR00-163-A</v>
          </cell>
          <cell r="F198" t="str">
            <v>Minsur_Factibilidad Infraestructura Coreshack</v>
          </cell>
          <cell r="G198" t="str">
            <v>Perú</v>
          </cell>
          <cell r="O198">
            <v>64060</v>
          </cell>
        </row>
        <row r="199">
          <cell r="B199" t="str">
            <v>BR-CBM-CS-OTR00-164-A</v>
          </cell>
          <cell r="F199" t="str">
            <v>CBMM_SIMPLAN Initiatives Evaluation</v>
          </cell>
          <cell r="G199" t="str">
            <v>Brasil</v>
          </cell>
          <cell r="O199">
            <v>72301</v>
          </cell>
        </row>
        <row r="200">
          <cell r="B200" t="str">
            <v>CH-AMS-CS-OTR00-165-A</v>
          </cell>
          <cell r="F200" t="str">
            <v>AMSA_Mejoras Planificación Centinela</v>
          </cell>
          <cell r="G200" t="str">
            <v>Chile</v>
          </cell>
          <cell r="O200">
            <v>80125</v>
          </cell>
        </row>
        <row r="201">
          <cell r="B201" t="str">
            <v>PE-VLC-GM-FEL00-166-A</v>
          </cell>
          <cell r="F201" t="str">
            <v>Volcan_Estudio Estabilidad Desmonteras</v>
          </cell>
          <cell r="G201" t="str">
            <v>Perú</v>
          </cell>
          <cell r="O201">
            <v>38209</v>
          </cell>
        </row>
        <row r="202">
          <cell r="B202" t="str">
            <v>PE-NEX-GM-FEL00-167-A</v>
          </cell>
          <cell r="F202" t="str">
            <v>NEXA_Estudio Geomecánico AT y EP</v>
          </cell>
          <cell r="G202" t="str">
            <v>Perú</v>
          </cell>
          <cell r="O202">
            <v>80283</v>
          </cell>
        </row>
        <row r="203">
          <cell r="B203" t="str">
            <v>PE-NEX-CS-OTR00-168-A</v>
          </cell>
          <cell r="F203" t="str">
            <v>NEXA_Peer Review Cerro Lindo</v>
          </cell>
          <cell r="G203" t="str">
            <v>Perú</v>
          </cell>
          <cell r="O203">
            <v>29716</v>
          </cell>
        </row>
        <row r="204">
          <cell r="B204" t="str">
            <v>CH-CRF-CS-FEL00-169-A</v>
          </cell>
          <cell r="F204" t="str">
            <v>CORFO_Valorización Boquerón Chañar</v>
          </cell>
          <cell r="G204" t="str">
            <v>Chile</v>
          </cell>
          <cell r="O204">
            <v>40000</v>
          </cell>
        </row>
        <row r="205">
          <cell r="B205" t="str">
            <v>CH-PUC-CS-OTR00-170-A</v>
          </cell>
          <cell r="F205" t="str">
            <v>PUCOBRE_Acompañamiento Reservas Tovaku</v>
          </cell>
          <cell r="G205" t="str">
            <v>Chile</v>
          </cell>
          <cell r="O205">
            <v>20350</v>
          </cell>
        </row>
        <row r="206">
          <cell r="B206" t="str">
            <v>CH-AMS-OP-FEL00-171-A</v>
          </cell>
          <cell r="F206" t="str">
            <v>AMSA_RIINO BC - Centinela</v>
          </cell>
          <cell r="G206" t="str">
            <v>Chile</v>
          </cell>
          <cell r="O206">
            <v>141656.26</v>
          </cell>
        </row>
        <row r="207">
          <cell r="B207" t="str">
            <v>BR-EQG-UG-FEL03-172-A</v>
          </cell>
          <cell r="F207" t="str">
            <v>EQUINOX_Actualización Ing. Básica UG</v>
          </cell>
          <cell r="G207" t="str">
            <v>Brasil</v>
          </cell>
          <cell r="O207">
            <v>352015.61</v>
          </cell>
        </row>
        <row r="208">
          <cell r="B208" t="str">
            <v>RU-POL-OP-FEL00-173-A</v>
          </cell>
          <cell r="F208" t="str">
            <v>Polyus_Olimpiada Cutback 5&amp;6</v>
          </cell>
          <cell r="G208" t="str">
            <v>Rusia</v>
          </cell>
          <cell r="O208">
            <v>178686</v>
          </cell>
        </row>
        <row r="209">
          <cell r="B209" t="str">
            <v>CH-COD-UG-FEL00-174-A</v>
          </cell>
          <cell r="F209" t="str">
            <v>Codelco_Formulación caso de negocio TBM</v>
          </cell>
          <cell r="G209" t="str">
            <v>Chile</v>
          </cell>
          <cell r="O209">
            <v>85371</v>
          </cell>
        </row>
        <row r="210">
          <cell r="B210" t="str">
            <v>CH-COL-OT-FEL2A-175-A</v>
          </cell>
          <cell r="F210" t="str">
            <v>Collahuasi_PFS Perforación pozos con HDD</v>
          </cell>
          <cell r="G210" t="str">
            <v>Chile</v>
          </cell>
        </row>
        <row r="211">
          <cell r="B211" t="str">
            <v>OT-FNE-CS-OTR00-176-A</v>
          </cell>
          <cell r="F211" t="str">
            <v>FN_Oko West project review</v>
          </cell>
          <cell r="G211" t="str">
            <v>Otros</v>
          </cell>
          <cell r="O211">
            <v>52400</v>
          </cell>
        </row>
        <row r="212">
          <cell r="B212" t="str">
            <v>OT-RES-CS-OTR00-177-A</v>
          </cell>
          <cell r="F212" t="str">
            <v>Resolution_Narrow Panel Caving UGC</v>
          </cell>
          <cell r="G212" t="str">
            <v>Otros</v>
          </cell>
        </row>
        <row r="213">
          <cell r="B213" t="str">
            <v>OT-RES-CS-OTR00-178-A</v>
          </cell>
          <cell r="F213" t="str">
            <v>Resolution_General Review</v>
          </cell>
          <cell r="G213" t="str">
            <v>Otros</v>
          </cell>
          <cell r="O213">
            <v>185615</v>
          </cell>
        </row>
        <row r="214">
          <cell r="B214" t="str">
            <v>CH-AAM-CS-OTR00-179-A</v>
          </cell>
          <cell r="F214" t="str">
            <v>Anglo_Production at Risk Mina Rio</v>
          </cell>
          <cell r="G214" t="str">
            <v>Chile</v>
          </cell>
          <cell r="O214">
            <v>84870</v>
          </cell>
        </row>
        <row r="215">
          <cell r="B215" t="str">
            <v>CH-COL-CS-OTR00-180-A</v>
          </cell>
          <cell r="F215" t="str">
            <v>Collahuasi_Análisis Mine Compliance</v>
          </cell>
          <cell r="G215" t="str">
            <v>Chile</v>
          </cell>
          <cell r="O215">
            <v>52492</v>
          </cell>
        </row>
        <row r="216">
          <cell r="B216" t="str">
            <v>BR-AUM-UG-FEL2A-181-A</v>
          </cell>
          <cell r="F216" t="str">
            <v>AuraMinerals_Proyecto Paiol PFS UG</v>
          </cell>
          <cell r="G216" t="str">
            <v>Brasil</v>
          </cell>
          <cell r="O216">
            <v>192082.19</v>
          </cell>
        </row>
        <row r="217">
          <cell r="B217" t="str">
            <v>PE-MMA-OP-FEL00-182-A</v>
          </cell>
          <cell r="F217" t="str">
            <v>Miskimayo_Evaluación Transporte en Mina</v>
          </cell>
          <cell r="G217" t="str">
            <v>Perú</v>
          </cell>
          <cell r="O217">
            <v>141747</v>
          </cell>
        </row>
        <row r="218">
          <cell r="B218" t="str">
            <v>CH-GLE-CS-OTR00-183-A</v>
          </cell>
          <cell r="F218" t="str">
            <v>Glencore_Estrategia de Propiedades CMLB</v>
          </cell>
          <cell r="G218" t="str">
            <v>Chile</v>
          </cell>
          <cell r="O218">
            <v>198640</v>
          </cell>
        </row>
        <row r="219">
          <cell r="B219" t="str">
            <v>CH-CAP-CS-OTR00-184-A</v>
          </cell>
          <cell r="F219" t="str">
            <v>CAP_Due Diligence Costa Fuego</v>
          </cell>
          <cell r="G219" t="str">
            <v>Chile</v>
          </cell>
          <cell r="O219">
            <v>142000</v>
          </cell>
        </row>
        <row r="220">
          <cell r="B220" t="str">
            <v>CH-COL-CS-OTR00-185-A</v>
          </cell>
          <cell r="F220" t="str">
            <v>Collahuasi_Valor Incorporación Chx.03</v>
          </cell>
          <cell r="G220" t="str">
            <v>Chile</v>
          </cell>
          <cell r="O220">
            <v>40120</v>
          </cell>
        </row>
        <row r="221">
          <cell r="B221" t="str">
            <v>CH-ERG-GM-FEL00-186-A</v>
          </cell>
          <cell r="F221" t="str">
            <v>ERG_Parámetros estabilidad taludes</v>
          </cell>
          <cell r="G221" t="str">
            <v>Chile</v>
          </cell>
          <cell r="O221">
            <v>229330</v>
          </cell>
        </row>
        <row r="222">
          <cell r="B222" t="str">
            <v>PE-CSC-CS-OTR00-187-A</v>
          </cell>
          <cell r="F222" t="str">
            <v>Los Calatos_MR&amp;MR y Estrategia Distrital</v>
          </cell>
          <cell r="G222" t="str">
            <v>Perú</v>
          </cell>
          <cell r="O222">
            <v>134500</v>
          </cell>
        </row>
        <row r="223">
          <cell r="B223" t="str">
            <v>PE-ECR-UG-FEL00-188-A</v>
          </cell>
          <cell r="F223" t="str">
            <v>Emincar_Los Castellanos_UG</v>
          </cell>
          <cell r="G223" t="str">
            <v>Perú</v>
          </cell>
          <cell r="O223">
            <v>168500</v>
          </cell>
        </row>
        <row r="224">
          <cell r="B224" t="str">
            <v>CH-ERG-GM-FEL00-189-A</v>
          </cell>
          <cell r="F224" t="str">
            <v>ERG_Structural Model Update</v>
          </cell>
          <cell r="G224" t="str">
            <v>Chile</v>
          </cell>
          <cell r="O224">
            <v>0</v>
          </cell>
        </row>
        <row r="225">
          <cell r="B225" t="str">
            <v>PE-HCS-UG-FEL00-190-A</v>
          </cell>
          <cell r="F225" t="str">
            <v>Hochschild_FS Metodos de Minado Tesoro</v>
          </cell>
          <cell r="G225" t="str">
            <v>Perú</v>
          </cell>
          <cell r="O225">
            <v>92800</v>
          </cell>
        </row>
        <row r="226">
          <cell r="B226" t="str">
            <v>PE-BRO-GM-FEL00-191-A</v>
          </cell>
          <cell r="F226" t="str">
            <v>ElBrocal_Estudio Geomecanico Estabilidad</v>
          </cell>
          <cell r="G226" t="str">
            <v>Perú</v>
          </cell>
          <cell r="O226">
            <v>214363</v>
          </cell>
        </row>
        <row r="227">
          <cell r="B227" t="str">
            <v>PE-CSC-CS-OTR00-192-A</v>
          </cell>
          <cell r="F227" t="str">
            <v>Los Calatos_Resource Development Plan</v>
          </cell>
          <cell r="G227" t="str">
            <v>Perú</v>
          </cell>
          <cell r="O227">
            <v>51605</v>
          </cell>
        </row>
        <row r="228">
          <cell r="B228" t="str">
            <v>CH-COD-CS-OTR00-193-A</v>
          </cell>
          <cell r="F228" t="str">
            <v>Codelco_Auditoria Recursos y Reservas</v>
          </cell>
          <cell r="G228" t="str">
            <v>Chile</v>
          </cell>
          <cell r="O228">
            <v>245000</v>
          </cell>
        </row>
        <row r="229">
          <cell r="B229" t="str">
            <v>CH-COL-CS-OTR00-194-A</v>
          </cell>
          <cell r="F229" t="str">
            <v>Collahuasi_Mine Compliance 2026</v>
          </cell>
          <cell r="G229" t="str">
            <v>Chile</v>
          </cell>
        </row>
        <row r="230">
          <cell r="B230" t="str">
            <v>CH-BRR-CS-OTR00-195-A</v>
          </cell>
          <cell r="F230" t="str">
            <v>Barrick_Production at Risk</v>
          </cell>
          <cell r="G230" t="str">
            <v>Chile</v>
          </cell>
        </row>
        <row r="231">
          <cell r="B231" t="str">
            <v>----196-!</v>
          </cell>
        </row>
        <row r="232">
          <cell r="B232" t="str">
            <v>----197-!</v>
          </cell>
        </row>
        <row r="233">
          <cell r="B233" t="str">
            <v>----198-!</v>
          </cell>
        </row>
        <row r="234">
          <cell r="B234" t="str">
            <v>----199-!</v>
          </cell>
        </row>
        <row r="235">
          <cell r="B235" t="str">
            <v>----200-!</v>
          </cell>
        </row>
        <row r="236">
          <cell r="B236" t="str">
            <v>----201-!</v>
          </cell>
        </row>
        <row r="237">
          <cell r="B237" t="str">
            <v>----202-!</v>
          </cell>
        </row>
        <row r="238">
          <cell r="B238" t="str">
            <v>----203-!</v>
          </cell>
        </row>
        <row r="239">
          <cell r="B239" t="str">
            <v>----204-!</v>
          </cell>
        </row>
        <row r="240">
          <cell r="B240" t="str">
            <v>----205-!</v>
          </cell>
        </row>
        <row r="241">
          <cell r="B241" t="str">
            <v>----206-!</v>
          </cell>
        </row>
        <row r="242">
          <cell r="B242" t="str">
            <v>----207-!</v>
          </cell>
        </row>
        <row r="243">
          <cell r="B243" t="str">
            <v>----208-!</v>
          </cell>
        </row>
        <row r="244">
          <cell r="B244" t="str">
            <v>----209-!</v>
          </cell>
        </row>
        <row r="245">
          <cell r="B245" t="str">
            <v>----210-!</v>
          </cell>
        </row>
        <row r="246">
          <cell r="B246" t="str">
            <v>----211-!</v>
          </cell>
        </row>
        <row r="247">
          <cell r="B247" t="str">
            <v>----212-!</v>
          </cell>
        </row>
        <row r="248">
          <cell r="B248" t="str">
            <v>----213-!</v>
          </cell>
        </row>
        <row r="249">
          <cell r="B249" t="str">
            <v>----214-!</v>
          </cell>
        </row>
        <row r="250">
          <cell r="B250" t="str">
            <v>----215-!</v>
          </cell>
        </row>
        <row r="251">
          <cell r="B251" t="str">
            <v>----216-!</v>
          </cell>
        </row>
        <row r="252">
          <cell r="B252" t="str">
            <v>----217-!</v>
          </cell>
        </row>
        <row r="253">
          <cell r="B253" t="str">
            <v>----218-!</v>
          </cell>
        </row>
        <row r="254">
          <cell r="B254" t="str">
            <v>----219-!</v>
          </cell>
        </row>
        <row r="255">
          <cell r="B255" t="str">
            <v>----220-!</v>
          </cell>
        </row>
        <row r="256">
          <cell r="B256" t="str">
            <v>----221-!</v>
          </cell>
        </row>
        <row r="257">
          <cell r="B257" t="str">
            <v>----222-!</v>
          </cell>
        </row>
        <row r="258">
          <cell r="B258" t="str">
            <v>----223-!</v>
          </cell>
        </row>
        <row r="259">
          <cell r="B259" t="str">
            <v>----224-!</v>
          </cell>
        </row>
        <row r="260">
          <cell r="B260" t="str">
            <v>----225-!</v>
          </cell>
        </row>
        <row r="261">
          <cell r="B261" t="str">
            <v>----226-!</v>
          </cell>
        </row>
        <row r="262">
          <cell r="B262" t="str">
            <v>----227-!</v>
          </cell>
        </row>
        <row r="263">
          <cell r="B263" t="str">
            <v>----228-!</v>
          </cell>
        </row>
        <row r="264">
          <cell r="B264" t="str">
            <v>----229-!</v>
          </cell>
        </row>
        <row r="265">
          <cell r="B265" t="str">
            <v>----230-!</v>
          </cell>
        </row>
        <row r="266">
          <cell r="B266" t="str">
            <v>----231-!</v>
          </cell>
        </row>
        <row r="267">
          <cell r="B267" t="str">
            <v>----232-!</v>
          </cell>
        </row>
        <row r="268">
          <cell r="B268" t="str">
            <v>----233-!</v>
          </cell>
        </row>
        <row r="269">
          <cell r="B269" t="str">
            <v>----234-!</v>
          </cell>
        </row>
        <row r="270">
          <cell r="B270" t="str">
            <v>----235-!</v>
          </cell>
        </row>
        <row r="271">
          <cell r="B271" t="str">
            <v>----236-!</v>
          </cell>
        </row>
        <row r="272">
          <cell r="B272" t="str">
            <v>----237-!</v>
          </cell>
        </row>
        <row r="273">
          <cell r="B273" t="str">
            <v>----238-!</v>
          </cell>
        </row>
        <row r="274">
          <cell r="B274" t="str">
            <v>----239-!</v>
          </cell>
        </row>
        <row r="275">
          <cell r="B275" t="str">
            <v>----240-!</v>
          </cell>
        </row>
        <row r="276">
          <cell r="B276" t="str">
            <v>----241-!</v>
          </cell>
        </row>
        <row r="277">
          <cell r="B277" t="str">
            <v>----242-!</v>
          </cell>
        </row>
        <row r="278">
          <cell r="B278" t="str">
            <v>----243-!</v>
          </cell>
        </row>
        <row r="279">
          <cell r="B279" t="str">
            <v>----244-!</v>
          </cell>
        </row>
        <row r="280">
          <cell r="B280" t="str">
            <v>----245-!</v>
          </cell>
        </row>
        <row r="281">
          <cell r="B281" t="str">
            <v>----246-!</v>
          </cell>
        </row>
        <row r="282">
          <cell r="B282" t="str">
            <v>----247-!</v>
          </cell>
        </row>
        <row r="283">
          <cell r="B283" t="str">
            <v>----248-!</v>
          </cell>
        </row>
        <row r="284">
          <cell r="B284" t="str">
            <v>----249-!</v>
          </cell>
        </row>
        <row r="285">
          <cell r="B285" t="str">
            <v>----250-!</v>
          </cell>
        </row>
        <row r="286">
          <cell r="B286" t="str">
            <v>----251-!</v>
          </cell>
        </row>
        <row r="287">
          <cell r="B287" t="str">
            <v>----252-!</v>
          </cell>
        </row>
        <row r="288">
          <cell r="B288" t="str">
            <v>----253-!</v>
          </cell>
        </row>
        <row r="289">
          <cell r="B289" t="str">
            <v>----254-!</v>
          </cell>
        </row>
        <row r="290">
          <cell r="B290" t="str">
            <v>----255-!</v>
          </cell>
        </row>
        <row r="291">
          <cell r="B291" t="str">
            <v>----256-!</v>
          </cell>
        </row>
        <row r="292">
          <cell r="B292" t="str">
            <v>----257-!</v>
          </cell>
        </row>
        <row r="293">
          <cell r="B293" t="str">
            <v>----258-!</v>
          </cell>
        </row>
        <row r="294">
          <cell r="B294" t="str">
            <v>----259-!</v>
          </cell>
        </row>
        <row r="295">
          <cell r="B295" t="str">
            <v>----260-!</v>
          </cell>
        </row>
        <row r="296">
          <cell r="B296" t="str">
            <v>----261-!</v>
          </cell>
        </row>
        <row r="297">
          <cell r="B297" t="str">
            <v>----262-!</v>
          </cell>
        </row>
        <row r="298">
          <cell r="B298" t="str">
            <v>----263-!</v>
          </cell>
        </row>
        <row r="299">
          <cell r="B299" t="str">
            <v>----264-!</v>
          </cell>
        </row>
        <row r="300">
          <cell r="B300" t="str">
            <v>----265-!</v>
          </cell>
        </row>
      </sheetData>
      <sheetData sheetId="3"/>
      <sheetData sheetId="4"/>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NiFLNqqH3UiNQ52w4MjHkaJekJNSkitOjf-Us92CSmxxGzt9tJH6TI48Zmid9mwi" itemId="01X4HTLNHXDZN6AAEBNFCIF5XBPXUK67OD">
      <xxl21:absoluteUrl r:id="rId2"/>
    </xxl21:alternateUrls>
    <sheetNames>
      <sheetName val="Resumen"/>
      <sheetName val="Listado Profesionales"/>
      <sheetName val="Listado Proyectos"/>
      <sheetName val="Algarrobo Finos"/>
      <sheetName val="AMSA_Contrato Marco"/>
      <sheetName val="AMSA_Trade Off Tecnologico NGD"/>
      <sheetName val="AngloAmerican HDD aguas claras"/>
      <sheetName val="AuraMinerals_Expansion Mina Pai"/>
      <sheetName val="BHP_Medidas de Cierre Botaderos"/>
      <sheetName val="Spence"/>
      <sheetName val="BHP_Spence 2YB analisys"/>
      <sheetName val="Capstone Copper_Estudio Sierra"/>
      <sheetName val="CMP_Mejoras Operacionales CNN"/>
      <sheetName val="CMP_Puesta en Marcha SLS"/>
      <sheetName val="Codelco_Act norma NCC-31"/>
      <sheetName val="Estrategia Cobre Panama"/>
      <sheetName val="JyF Urucum"/>
      <sheetName val="LasBambas_Ferrobambas UG Escena"/>
      <sheetName val="Marcobre_Achupallas"/>
      <sheetName val="MCI_Mine plan review Los Bronce"/>
      <sheetName val="Minsur_Raura Analisis LOM25"/>
      <sheetName val="Cajati Geom"/>
      <sheetName val="Mosaic_Secuencia Op. Cajati"/>
      <sheetName val="PFS Los Calatos"/>
      <sheetName val="Eurochem"/>
      <sheetName val="Tofo Norte"/>
      <sheetName val="CMP_Capacidad Optima Tofo Norte"/>
      <sheetName val="Mosaic_Taquari Vassouras FaseII"/>
      <sheetName val="PFS Los Calatos V3"/>
      <sheetName val="Resolution_MinePlan Review"/>
      <sheetName val="Seligdar"/>
      <sheetName val="Capstone"/>
      <sheetName val="Yauricocha MEIA"/>
      <sheetName val="San Rafael Q3+Budget 25"/>
      <sheetName val="San Rafael Marginal Ore"/>
      <sheetName val="CMP_Estabilizacion + PFS UG"/>
      <sheetName val="Plan Minero Base MLC v2"/>
      <sheetName val="Codelco_Opciones Vaciado"/>
      <sheetName val="GPT cache"/>
      <sheetName val="IvanhoeElectric_Mine Planning"/>
      <sheetName val="Lundin_Gaps Planif y Operacion"/>
      <sheetName val="Lundin_Oport Mejoras Caserones"/>
      <sheetName val="CMC_Capacitación DBS y SIMPLAN"/>
      <sheetName val="Twin Metals_Pre PFS Birch Lake"/>
      <sheetName val="CMP_Scoping Study Algarrobo"/>
      <sheetName val="ThreeCrowns_Litigio Oyu Tolgoi"/>
      <sheetName val="LasBambas_PFS Ferrobamba UG"/>
      <sheetName val="Codelco_Practicas Plan DMH"/>
      <sheetName val="Codelco_Normativa Rec yReservas"/>
      <sheetName val="Codelco_Estándar cierre topogr"/>
      <sheetName val="Hojas y Proyectos"/>
      <sheetName val="Reporte POM PBI"/>
      <sheetName val="Resumen EDP PO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row r="1">
          <cell r="B1"/>
          <cell r="E1"/>
        </row>
        <row r="2">
          <cell r="B2" t="str">
            <v>Proyecto</v>
          </cell>
          <cell r="E2" t="str">
            <v>Estimación EDP (POM)</v>
          </cell>
        </row>
        <row r="3">
          <cell r="B3" t="str">
            <v>AMSA_Contrato Marco</v>
          </cell>
          <cell r="E3">
            <v>5241.6000000000004</v>
          </cell>
        </row>
        <row r="4">
          <cell r="B4" t="str">
            <v>AMSA_Trade Off Tecnologico NGD</v>
          </cell>
          <cell r="E4">
            <v>45000</v>
          </cell>
        </row>
        <row r="5">
          <cell r="B5" t="str">
            <v>AngloAmerican_Tecnología HDD captación aguas claras</v>
          </cell>
          <cell r="E5">
            <v>35000</v>
          </cell>
        </row>
        <row r="6">
          <cell r="B6" t="str">
            <v>AuraMinerals_Expansión Mina Paiol OP-UG</v>
          </cell>
          <cell r="E6">
            <v>46000</v>
          </cell>
        </row>
        <row r="7">
          <cell r="B7" t="str">
            <v>BHP_Medidas de Cierre Botaderos</v>
          </cell>
          <cell r="E7">
            <v>65000</v>
          </cell>
        </row>
        <row r="8">
          <cell r="B8" t="str">
            <v>BHP_Plan e Iniciativas LoA25-26</v>
          </cell>
          <cell r="E8">
            <v>23528</v>
          </cell>
        </row>
        <row r="9">
          <cell r="B9" t="str">
            <v>BHP_Spence 2YB analisys</v>
          </cell>
          <cell r="E9">
            <v>0</v>
          </cell>
        </row>
        <row r="10">
          <cell r="B10" t="str">
            <v>Capstone Copper_Estudio Sierra Norte</v>
          </cell>
          <cell r="E10">
            <v>4648</v>
          </cell>
        </row>
        <row r="11">
          <cell r="B11" t="str">
            <v>CMP_Mejoras Operacionales CNN</v>
          </cell>
          <cell r="E11">
            <v>25000</v>
          </cell>
        </row>
        <row r="12">
          <cell r="B12" t="str">
            <v>CMP_Nuevos alcances Algarrobo</v>
          </cell>
          <cell r="E12">
            <v>105000</v>
          </cell>
        </row>
        <row r="13">
          <cell r="B13" t="str">
            <v>CMP_Puesta en marcha SLS Romeral</v>
          </cell>
          <cell r="E13">
            <v>40000</v>
          </cell>
        </row>
        <row r="14">
          <cell r="B14" t="str">
            <v>Codelco_Actualización norma NCC-31</v>
          </cell>
          <cell r="E14">
            <v>20771</v>
          </cell>
        </row>
        <row r="15">
          <cell r="B15" t="str">
            <v>Estrategia Cobre Panama</v>
          </cell>
          <cell r="E15">
            <v>79200</v>
          </cell>
        </row>
        <row r="16">
          <cell r="B16" t="str">
            <v>J&amp;F_Urucrum_RecuperacionPilares</v>
          </cell>
          <cell r="E16">
            <v>0</v>
          </cell>
        </row>
        <row r="17">
          <cell r="B17" t="str">
            <v>LasBambas_Ferrobambas UG Escenarios</v>
          </cell>
          <cell r="E17">
            <v>30000</v>
          </cell>
        </row>
        <row r="18">
          <cell r="B18" t="str">
            <v>Marcobre_Ingeniería de Perfil Achupallas</v>
          </cell>
          <cell r="E18">
            <v>24960</v>
          </cell>
        </row>
        <row r="19">
          <cell r="B19" t="str">
            <v>Minsur_Raura Análisis LOM25</v>
          </cell>
          <cell r="E19">
            <v>18424</v>
          </cell>
        </row>
        <row r="20">
          <cell r="B20" t="str">
            <v>Mosaic_Actualizacion geotecnica OP</v>
          </cell>
          <cell r="E20">
            <v>5000</v>
          </cell>
        </row>
        <row r="21">
          <cell r="B21" t="str">
            <v>Mosaic_Secuencia Operaciones Cajati</v>
          </cell>
          <cell r="E21">
            <v>16055.2</v>
          </cell>
        </row>
        <row r="22">
          <cell r="B22" t="str">
            <v>Mosaic_Taquari Vassouras Fase II</v>
          </cell>
          <cell r="E22">
            <v>12081.563039723662</v>
          </cell>
        </row>
        <row r="23">
          <cell r="B23" t="str">
            <v>PFS Los Calatos V3</v>
          </cell>
          <cell r="E23">
            <v>44000</v>
          </cell>
        </row>
        <row r="24">
          <cell r="B24" t="str">
            <v>Resolution_MinePlan Review</v>
          </cell>
          <cell r="E24">
            <v>95000</v>
          </cell>
        </row>
        <row r="25">
          <cell r="B25" t="str">
            <v>Twin Metals_Pre PFS Birch Lake Maturi</v>
          </cell>
          <cell r="E25">
            <v>133000</v>
          </cell>
        </row>
        <row r="26">
          <cell r="B26"/>
          <cell r="E26">
            <v>872909.3630397236</v>
          </cell>
        </row>
        <row r="28">
          <cell r="E28">
            <v>21</v>
          </cell>
        </row>
        <row r="29">
          <cell r="E29">
            <v>41567.112525701123</v>
          </cell>
        </row>
      </sheetData>
    </sheetDataSet>
  </externalBook>
</externalLink>
</file>

<file path=xl/persons/person.xml><?xml version="1.0" encoding="utf-8"?>
<personList xmlns="http://schemas.microsoft.com/office/spreadsheetml/2018/threadedcomments" xmlns:x="http://schemas.openxmlformats.org/spreadsheetml/2006/main">
  <person displayName="Roxana Aviles Diaz" id="{2AC11F32-ADA8-4E94-9055-6E8A2D2F00DF}" userId="Roxana Aviles Diaz" providerId="None"/>
  <person displayName="Jessica Rojas" id="{C41F845C-172D-404C-B6F1-FCD6367C4B99}" userId="jrojas@redcoglobal.com" providerId="PeoplePicker"/>
  <person displayName="Eduardo Cuevas" id="{54CAB220-22A2-43B8-BD30-8213BDB88AA8}" userId="ecuevas@redcoglobal.com" providerId="PeoplePicker"/>
  <person displayName="Eduardo Cuevas" id="{B9B3E79A-D3B9-4D12-A13F-F66C23798BDE}" userId="S::ecuevas@redcoglobal.com::1895eeda-fe30-4958-a15c-75961a407efe" providerId="AD"/>
  <person displayName="Roxana Avilés Diaz" id="{28CEEBB1-60EF-4165-B5DA-EB7EDDFCAE55}" userId="S::raviles@redcoglobal.com::d7a277ab-b868-404e-8391-5c4bdbdc73d5" providerId="AD"/>
  <person displayName="Victor Arias" id="{945A8048-E5EC-4119-8684-D5F36964F1EB}" userId="S::victorarias@redcoglobal.com::15c54426-e988-4e59-a0c8-5e629734f01d"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duardo Cuevas" refreshedDate="46056.768788194444" createdVersion="8" refreshedVersion="8" minRefreshableVersion="3" recordCount="621" xr:uid="{FBB91003-D0A7-4772-8042-B99D8B0493D9}">
  <cacheSource type="worksheet">
    <worksheetSource name="Tabla13"/>
  </cacheSource>
  <cacheFields count="25">
    <cacheField name="N" numFmtId="0">
      <sharedItems containsString="0" containsBlank="1" containsNumber="1" containsInteger="1" minValue="1" maxValue="620"/>
    </cacheField>
    <cacheField name="Código" numFmtId="0">
      <sharedItems containsBlank="1"/>
    </cacheField>
    <cacheField name="Nombre Teams" numFmtId="0">
      <sharedItems containsMixedTypes="1" containsNumber="1" containsInteger="1" minValue="0" maxValue="0" count="160">
        <n v="0"/>
        <s v="Actualización Lom Raura"/>
        <s v="Adrianita -Raúl"/>
        <s v="AESA Rendimientos"/>
        <s v="Algarrobo"/>
        <s v="Alpayana_Estudio de Sismicidad"/>
        <s v="AMSA_Asesoria Centinela"/>
        <s v="AMSA_Contrato Marco"/>
        <s v="AMSA_Estandares Minimos"/>
        <s v="AMSA_Planificacion"/>
        <s v="AMSA_Trade Off Tecnologico NGD"/>
        <s v="AngloAmerican_Análisis Productividad MLB"/>
        <s v="AngloAmerican_Tecnología HDD"/>
        <s v="AuraMinerals_Expansión Mina Paiol OP-UG"/>
        <s v="Banco Santander_Yauricocha y Bolivar"/>
        <s v="BHP_Análisis LoA 2025 - SCUT"/>
        <s v="BHP_Medidas de Cierre Botaderos"/>
        <s v="BHP_Plan e Iniciativas LoA25-26"/>
        <s v="BHP_Spence 2YB Analisys"/>
        <s v="BHP_Tunel Exploratorio"/>
        <s v="Boston_Inmaculada Hochschild"/>
        <s v="Boston_Inmaculada Hochschild II"/>
        <s v="Candelaria (Estandar y Planificacion)"/>
        <s v="Capstone Copper_Estimacion confiabilidad de planes"/>
        <s v="Capstone Copper_Estudio Sierra Norte"/>
        <s v="Capstone Copper_Production at Risk"/>
        <s v="CBMM_SIMPLAN Initiatives Evaluation"/>
        <s v="CMC_Capacitación DBS y SIMPLAN"/>
        <s v="CMP - FEL 2A"/>
        <s v="CMP Estandar Planificación"/>
        <s v="CMP_Actualización Casos de Negocios CNN"/>
        <s v="CMP_CNN Update plan LOM"/>
        <s v="CMP_Estrategia Crecimiento Tofo Norte"/>
        <s v="CMP_LOM CNN 2024"/>
        <s v="CMP_LOM MLC 2024"/>
        <s v="CMP_Los Colorados Adelantamiento Planta"/>
        <s v="CMP_Mejoras Operacionales CNN"/>
        <s v="CMP_Nuevos alcances Algarrobo"/>
        <s v="CMP_Plan minero base MLC"/>
        <s v="CMP_Puesta en marcha SLS Romeral"/>
        <s v="CMP_Romeral Estabilización + UG PFS"/>
        <s v="Codelco_Actualización norma NCC-31"/>
        <s v="Codelco_Capacitacion Deswik DET"/>
        <s v="Codelco_Cluster Toki"/>
        <s v="Codelco_Drenaje QT"/>
        <s v="Codelco_Estándar cierre topográfico"/>
        <s v="Codelco_Falla Oeste"/>
        <s v="Codelco_Opciones vaciado mineral via OP"/>
        <s v="Codelco_Panel Central"/>
        <s v="Codelco_Prácticas de Planificación DMH"/>
        <s v="Compilación de  R&amp;R"/>
        <s v="Coripuno_Metodos de Minado"/>
        <s v="CSH_LOM Mina Guarello"/>
        <s v="Cuellos de botella del Plan 2YB - Spence"/>
        <s v="Desarrollo casos LOM UM Raura"/>
        <s v="Desarrollo del Plan de Minado"/>
        <s v="Desarrollo plan LOM en Reservas"/>
        <s v="Diagnóstico Operacional Candelaria"/>
        <s v="EMX_Due Diligence de Chapi"/>
        <s v="EMX_Metallurgical expert for review"/>
        <s v="EQUINOX_Actualización Ing. Básica UG"/>
        <s v="EroCopper_Scoping Proyecto Furnas"/>
        <s v="Estrategia Cobre Panama"/>
        <s v="Estudio con Faja Transportadora"/>
        <s v="Euclidea Consulting "/>
        <s v="Eurochem_Himmelfarb Deposit"/>
        <s v="Glencore_Coroccohuayco_OptimizacionLOM"/>
        <s v="Glencore_MineHaul y MinePlan Lomas Bayas"/>
        <s v="Hudbay_Actualización Riesgo Sísmico"/>
        <s v="ITS Yauricocha"/>
        <s v="IvanhoeElectric_Mine Planning Support"/>
        <s v="IvanhoeElectric_Santa-Cruz_PrePFS"/>
        <s v="J&amp;F_Autazes Due Diligence"/>
        <s v="J&amp;F_Urucrum_RecuperacionPilares"/>
        <s v="LasBambas_Ferrobamba PFS"/>
        <s v="LasBambas_Ferrobamba_OP_UG"/>
        <s v="LasBambas_Ferrobambas UG Escenarios"/>
        <s v="LHG_LOM Urucum"/>
        <s v="LOM CNN 2023"/>
        <s v="LOM MLC 2023"/>
        <s v="Lomas Bayas - LoA24"/>
        <s v="Lundin_Análisis Estratégico Caserones"/>
        <s v="Lundin_Candelaria_EstudiosCugep"/>
        <s v="Lundin_Gaps Planificación y Operación UG"/>
        <s v="Lundin_Oportunidades mejoras Caserones"/>
        <s v="MARA - Simulación Sistema Manejo Estéril"/>
        <s v="Marcobre - Minajusta"/>
        <s v="Marcobre_Ingeniería de Perfil Achupallas"/>
        <s v="McCarthy_Litigio Rio Tinto"/>
        <s v="MCI_Mine Plan Review Los Bronces"/>
        <s v="MEIA Coripuno"/>
        <s v="MEL"/>
        <s v="Minsur_Apoyo MEIA Raura"/>
        <s v="Minsur_Apoyo Planificacion San Rafael"/>
        <s v="Minsur_Evaluacion recursos marginales"/>
        <s v="Minsur_Factibilidad Infraestructura Coreshack"/>
        <s v="Minsur_Forecast_Budget24"/>
        <s v="Minsur_Integracion Planeamiento Geomecanica"/>
        <s v="Minsur_LOM Integrado San Rafael 2025"/>
        <s v="Minsur_LOM San Rafael 2025"/>
        <s v="Minsur_Mejoramiento datos geotecnicos SR"/>
        <s v="Minsur_Ore Sorting Raura"/>
        <s v="Minsur_Rampa de acceso San German"/>
        <s v="Minsur_Raura Análisis LOM25"/>
        <s v="Minsur_San Rafael Estudio V MEIA"/>
        <s v="Minsur_Soporte LOM 2025 Raura"/>
        <s v="Minsur_Update LOM San Rafael"/>
        <s v="MiskiMayo_LOM"/>
        <s v="Mosaic_Actualizacion geotecnica OP"/>
        <s v="Mosaic_Cajati"/>
        <s v="Mosaic_Cajati Business Case"/>
        <s v="Mosaic_Secuencia Operaciones Cajati"/>
        <s v="Mosaic_Taquari Vassouras"/>
        <s v="Mosaic_Taquari Vassouras Fase II"/>
        <s v="Mosaic_Taquari Vassouras Fase II CP"/>
        <s v="NEXA_FEL2 Aripuana"/>
        <s v="NorGold"/>
        <s v="NORILSK1-FS"/>
        <s v="OCP_Análisis Estratégico Mina Cobriza"/>
        <s v="OKT-NFM-FS"/>
        <s v="Pelambres"/>
        <s v="PFS Los Calatos"/>
        <s v="PFS Los Calatos V3"/>
        <s v="Pilares Mineros - Candelaria"/>
        <s v="Planificación Minera Subterránea"/>
        <s v="Raura Operativo"/>
        <s v="RDP"/>
        <s v="Resolution_MinePlan Review"/>
        <s v="Resolution_UGC 68L Program"/>
        <s v="Romeral"/>
        <s v="San Rafael Contrato Marco"/>
        <s v="San Rafael Gestión Operativa"/>
        <s v="San Rafael: Gestión del Corto Plazo"/>
        <s v="Sierra Metals_Plan de Minado MEIA"/>
        <s v="SierraMetals_Update MEIA Yauricocha"/>
        <s v="Spence_Confiabilidad Plan 2YB 2025"/>
        <s v="Taboca_Evaluación Mina Pitinga"/>
        <s v="ThreeCrowns_Litigio Oyu Tolgoi"/>
        <s v="Twin Metals_Pre PFS Birch Lake Maturi"/>
        <s v="TwinMetals_Birch Lake Integration"/>
        <s v="Volcan_Estudio Estabilidad Desmonteras"/>
        <s v="Alpamarca_Estudio de Estabilidad Tajo"/>
        <s v="PUCOBRE_Acompañamiento Reservas Tovaku"/>
        <s v="Anglo_Production at Risk Mina Rio"/>
        <s v="Codelco_Formulación caso de negocio TBM"/>
        <s v="SPM_FS Labores Subterraneas 2da MEIA"/>
        <s v="NEXA_Estudio Geomecánico AT y EP"/>
        <s v="NEXA_Peer Review Cerro Lindo"/>
        <s v="FN_Oko West project review"/>
        <s v="Collahuasi_Análisis Mine Compliance"/>
        <s v="AMSA_Mejoras Planificación Centinela"/>
        <s v="Glencore_Estrategia de Propiedades CMLB"/>
        <s v="Resolution_General Review"/>
        <s v="Miskimayo_Evaluación Transporte en Mina"/>
        <s v="AuraMinerals_Proyecto Paiol PFS UG"/>
        <s v="CORFO_Valorización Boquerón Chañar"/>
        <s v="AMSA_RIINO BC - Centinela"/>
        <s v="ElBrocal_Estudio Geomecanico Estabilidad"/>
        <s v="Hochschild_FS Metodos de Minado Tesoro"/>
        <s v="Los Calatos_Resource Development Plan"/>
      </sharedItems>
    </cacheField>
    <cacheField name="Proyecto" numFmtId="0">
      <sharedItems/>
    </cacheField>
    <cacheField name="Cliente" numFmtId="0">
      <sharedItems/>
    </cacheField>
    <cacheField name="País" numFmtId="0">
      <sharedItems containsBlank="1" count="7">
        <s v="Chile"/>
        <s v="USA"/>
        <s v="Perú"/>
        <s v="Brasil"/>
        <s v="BVI"/>
        <s v="Rusia"/>
        <m u="1"/>
      </sharedItems>
    </cacheField>
    <cacheField name="Año" numFmtId="0">
      <sharedItems containsSemiMixedTypes="0" containsString="0" containsNumber="1" containsInteger="1" minValue="2022" maxValue="2026"/>
    </cacheField>
    <cacheField name="Proyección" numFmtId="0">
      <sharedItems containsSemiMixedTypes="0" containsString="0" containsNumber="1" containsInteger="1" minValue="-1" maxValue="1"/>
    </cacheField>
    <cacheField name="Fecha Proyeccion" numFmtId="0">
      <sharedItems containsDate="1" containsString="0" containsBlank="1" containsMixedTypes="1" minDate="2023-09-01T00:00:00" maxDate="2024-02-02T00:00:00"/>
    </cacheField>
    <cacheField name="Proyectado USD" numFmtId="0">
      <sharedItems containsString="0" containsBlank="1" containsNumber="1" minValue="0" maxValue="266974"/>
    </cacheField>
    <cacheField name="Emisión" numFmtId="0">
      <sharedItems containsSemiMixedTypes="0" containsString="0" containsNumber="1" containsInteger="1" minValue="-1" maxValue="1"/>
    </cacheField>
    <cacheField name="Fecha Emisión" numFmtId="0">
      <sharedItems containsNonDate="0" containsDate="1" containsString="0" containsBlank="1" minDate="2022-11-21T00:00:00" maxDate="2026-01-31T00:00:00"/>
    </cacheField>
    <cacheField name="N°EDP" numFmtId="0">
      <sharedItems containsBlank="1" containsMixedTypes="1" containsNumber="1" containsInteger="1" minValue="0" maxValue="26"/>
    </cacheField>
    <cacheField name="Emitido USD" numFmtId="41">
      <sharedItems containsString="0" containsBlank="1" containsNumber="1" minValue="0" maxValue="453390.59"/>
    </cacheField>
    <cacheField name="N° Factura" numFmtId="0">
      <sharedItems containsMixedTypes="1" containsNumber="1" containsInteger="1" minValue="1" maxValue="508"/>
    </cacheField>
    <cacheField name="Fecha Facturación" numFmtId="0">
      <sharedItems containsNonDate="0" containsDate="1" containsString="0" containsBlank="1" minDate="2022-12-06T00:00:00" maxDate="2026-01-29T00:00:00"/>
    </cacheField>
    <cacheField name="Facturación" numFmtId="0">
      <sharedItems containsSemiMixedTypes="0" containsString="0" containsNumber="1" containsInteger="1" minValue="-1" maxValue="1"/>
    </cacheField>
    <cacheField name="Facturado USD" numFmtId="0">
      <sharedItems containsString="0" containsBlank="1" containsNumber="1" minValue="0" maxValue="453390.59"/>
    </cacheField>
    <cacheField name="Pagado" numFmtId="0">
      <sharedItems containsSemiMixedTypes="0" containsString="0" containsNumber="1" containsInteger="1" minValue="-1" maxValue="8"/>
    </cacheField>
    <cacheField name="Fecha Ingreso" numFmtId="0">
      <sharedItems containsNonDate="0" containsDate="1" containsString="0" containsBlank="1" minDate="2022-12-30T00:00:00" maxDate="2026-03-26T00:00:00" count="359">
        <d v="2024-07-12T00:00:00"/>
        <d v="2025-11-19T00:00:00"/>
        <d v="2025-10-10T00:00:00"/>
        <d v="2024-09-23T00:00:00"/>
        <d v="2025-11-27T00:00:00"/>
        <d v="2025-10-09T00:00:00"/>
        <d v="2023-11-01T00:00:00"/>
        <d v="2023-01-25T00:00:00"/>
        <d v="2023-03-01T00:00:00"/>
        <d v="2023-03-15T00:00:00"/>
        <d v="2023-04-21T00:00:00"/>
        <d v="2023-06-14T00:00:00"/>
        <d v="2023-07-21T00:00:00"/>
        <d v="2023-09-01T00:00:00"/>
        <d v="2023-11-02T00:00:00"/>
        <d v="2023-11-17T00:00:00"/>
        <d v="2023-03-03T00:00:00"/>
        <d v="2023-11-04T00:00:00"/>
        <d v="2023-08-03T00:00:00"/>
        <d v="2023-02-01T00:00:00"/>
        <d v="2023-02-15T00:00:00"/>
        <d v="2023-03-17T00:00:00"/>
        <d v="2023-04-26T00:00:00"/>
        <d v="2023-05-24T00:00:00"/>
        <d v="2023-11-24T00:00:00"/>
        <d v="2023-12-20T00:00:00"/>
        <d v="2024-01-19T00:00:00"/>
        <d v="2024-05-26T00:00:00"/>
        <d v="2024-08-02T00:00:00"/>
        <d v="2024-11-20T00:00:00"/>
        <d v="2025-12-05T00:00:00"/>
        <d v="2026-03-20T00:00:00"/>
        <d v="2024-04-26T00:00:00"/>
        <d v="2024-05-31T00:00:00"/>
        <d v="2024-08-09T00:00:00"/>
        <d v="2024-09-27T00:00:00"/>
        <d v="2024-10-18T00:00:00"/>
        <d v="2024-12-27T00:00:00"/>
        <d v="2025-02-07T00:00:00"/>
        <d v="2025-03-07T00:00:00"/>
        <d v="2025-04-04T00:00:00"/>
        <d v="2025-05-16T00:00:00"/>
        <d v="2024-05-24T00:00:00"/>
        <d v="2023-10-20T00:00:00"/>
        <d v="2023-11-03T00:00:00"/>
        <d v="2023-12-15T00:00:00"/>
        <d v="2024-01-05T00:00:00"/>
        <d v="2024-01-12T00:00:00"/>
        <d v="2025-04-11T00:00:00"/>
        <d v="2025-07-18T00:00:00"/>
        <d v="2025-08-07T00:00:00"/>
        <d v="2025-03-27T00:00:00"/>
        <d v="2025-04-24T00:00:00"/>
        <d v="2025-05-15T00:00:00"/>
        <d v="2025-07-01T00:00:00"/>
        <d v="2025-08-28T00:00:00"/>
        <d v="2025-09-25T00:00:00"/>
        <m/>
        <d v="2025-03-05T00:00:00"/>
        <d v="2025-04-22T00:00:00"/>
        <d v="2025-05-20T00:00:00"/>
        <d v="2025-06-20T00:00:00"/>
        <d v="2025-07-25T00:00:00"/>
        <d v="2025-09-05T00:00:00"/>
        <d v="2025-10-20T00:00:00"/>
        <d v="2025-11-05T00:00:00"/>
        <d v="2025-12-20T00:00:00"/>
        <d v="2024-06-27T00:00:00"/>
        <d v="2025-03-19T00:00:00"/>
        <d v="2025-06-26T00:00:00"/>
        <d v="2025-06-16T00:00:00"/>
        <d v="2025-05-08T00:00:00"/>
        <d v="2025-06-04T00:00:00"/>
        <d v="2025-07-15T00:00:00"/>
        <d v="2025-07-31T00:00:00"/>
        <d v="2025-09-15T00:00:00"/>
        <d v="2025-11-06T00:00:00"/>
        <d v="2025-11-10T00:00:00"/>
        <d v="2024-09-17T00:00:00"/>
        <d v="2024-10-21T00:00:00"/>
        <d v="2024-12-04T00:00:00"/>
        <d v="2025-05-13T00:00:00"/>
        <d v="2025-06-11T00:00:00"/>
        <d v="2025-07-11T00:00:00"/>
        <d v="2025-08-14T00:00:00"/>
        <d v="2024-04-19T00:00:00"/>
        <d v="2024-10-14T00:00:00"/>
        <d v="2023-06-12T00:00:00"/>
        <d v="2023-10-26T00:00:00"/>
        <d v="2024-11-22T00:00:00"/>
        <d v="2024-12-20T00:00:00"/>
        <d v="2025-01-17T00:00:00"/>
        <d v="2025-03-04T00:00:00"/>
        <d v="2025-02-14T00:00:00"/>
        <d v="2025-02-10T00:00:00"/>
        <d v="2025-12-12T00:00:00"/>
        <d v="2026-01-02T00:00:00"/>
        <d v="2026-02-27T00:00:00"/>
        <d v="2025-11-24T00:00:00"/>
        <d v="2026-01-05T00:00:00"/>
        <d v="2026-02-17T00:00:00"/>
        <d v="2026-02-22T00:00:00"/>
        <d v="2025-01-24T00:00:00"/>
        <d v="2025-01-27T00:00:00"/>
        <d v="2022-12-31T00:00:00"/>
        <d v="2023-06-23T00:00:00"/>
        <d v="2023-09-08T00:00:00"/>
        <d v="2023-10-13T00:00:00"/>
        <d v="2024-02-28T00:00:00"/>
        <d v="2024-03-22T00:00:00"/>
        <d v="2024-04-30T00:00:00"/>
        <d v="2024-06-13T00:00:00"/>
        <d v="2024-07-20T00:00:00"/>
        <d v="2023-01-27T00:00:00"/>
        <d v="2023-03-08T00:00:00"/>
        <d v="2023-04-28T00:00:00"/>
        <d v="2023-06-02T00:00:00"/>
        <d v="2023-08-02T00:00:00"/>
        <d v="2024-08-14T00:00:00"/>
        <d v="2024-10-11T00:00:00"/>
        <d v="2024-12-18T00:00:00"/>
        <d v="2025-02-28T00:00:00"/>
        <d v="2025-05-28T00:00:00"/>
        <d v="2025-02-26T00:00:00"/>
        <d v="2025-01-15T00:00:00"/>
        <d v="2025-03-21T00:00:00"/>
        <d v="2025-05-22T00:00:00"/>
        <d v="2025-07-04T00:00:00"/>
        <d v="2025-10-15T00:00:00"/>
        <d v="2025-06-18T00:00:00"/>
        <d v="2025-01-03T00:00:00"/>
        <d v="2025-01-22T00:00:00"/>
        <d v="2025-02-12T00:00:00"/>
        <d v="2025-03-26T00:00:00"/>
        <d v="2025-04-16T00:00:00"/>
        <d v="2025-11-14T00:00:00"/>
        <d v="2024-03-13T00:00:00"/>
        <d v="2024-05-29T00:00:00"/>
        <d v="2024-07-24T00:00:00"/>
        <d v="2025-01-08T00:00:00"/>
        <d v="2025-09-17T00:00:00"/>
        <d v="2025-09-26T00:00:00"/>
        <d v="2024-03-01T00:00:00"/>
        <d v="2024-05-05T00:00:00"/>
        <d v="2024-10-26T00:00:00"/>
        <d v="2024-02-09T00:00:00"/>
        <d v="2024-03-15T00:00:00"/>
        <d v="2024-02-20T00:00:00"/>
        <d v="2024-04-10T00:00:00"/>
        <d v="2024-12-26T00:00:00"/>
        <d v="2023-04-24T00:00:00"/>
        <d v="2023-05-19T00:00:00"/>
        <d v="2024-11-26T00:00:00"/>
        <d v="2024-04-13T00:00:00"/>
        <d v="2024-04-14T00:00:00"/>
        <d v="2024-05-25T00:00:00"/>
        <d v="2024-06-07T00:00:00"/>
        <d v="2024-10-16T00:00:00"/>
        <d v="2023-03-13T00:00:00"/>
        <d v="2023-02-16T00:00:00"/>
        <d v="2023-06-13T00:00:00"/>
        <d v="2023-12-09T00:00:00"/>
        <d v="2023-06-30T00:00:00"/>
        <d v="2023-10-06T00:00:00"/>
        <d v="2024-07-15T00:00:00"/>
        <d v="2024-08-30T00:00:00"/>
        <d v="2024-07-31T00:00:00"/>
        <d v="2025-12-23T00:00:00"/>
        <d v="2026-01-23T00:00:00"/>
        <d v="2025-08-20T00:00:00"/>
        <d v="2025-09-22T00:00:00"/>
        <d v="2025-12-18T00:00:00"/>
        <d v="2026-01-19T00:00:00"/>
        <d v="2025-06-02T00:00:00"/>
        <d v="2023-07-03T00:00:00"/>
        <d v="2025-08-08T00:00:00"/>
        <d v="2024-10-17T00:00:00"/>
        <d v="2024-08-27T00:00:00"/>
        <d v="2024-09-09T00:00:00"/>
        <d v="2024-09-25T00:00:00"/>
        <d v="2024-11-07T00:00:00"/>
        <d v="2024-12-06T00:00:00"/>
        <d v="2024-02-14T00:00:00"/>
        <d v="2024-03-29T00:00:00"/>
        <d v="2024-05-17T00:00:00"/>
        <d v="2024-06-25T00:00:00"/>
        <d v="2024-07-25T00:00:00"/>
        <d v="2024-11-29T00:00:00"/>
        <d v="2024-08-16T00:00:00"/>
        <d v="2024-10-07T00:00:00"/>
        <d v="2024-12-16T00:00:00"/>
        <d v="2025-01-06T00:00:00"/>
        <d v="2025-05-19T00:00:00"/>
        <d v="2025-08-21T00:00:00"/>
        <d v="2025-12-10T00:00:00"/>
        <d v="2026-01-07T00:00:00"/>
        <d v="2024-02-07T00:00:00"/>
        <d v="2024-02-26T00:00:00"/>
        <d v="2024-03-26T00:00:00"/>
        <d v="2024-04-04T00:00:00"/>
        <d v="2024-07-05T00:00:00"/>
        <d v="2024-08-25T00:00:00"/>
        <d v="2025-09-29T00:00:00"/>
        <d v="2025-09-11T00:00:00"/>
        <d v="2025-11-17T00:00:00"/>
        <d v="2023-10-25T00:00:00"/>
        <d v="2023-07-07T00:00:00"/>
        <d v="2023-08-25T00:00:00"/>
        <d v="2024-01-26T00:00:00"/>
        <d v="2025-08-29T00:00:00"/>
        <d v="2025-09-12T00:00:00"/>
        <d v="2025-10-24T00:00:00"/>
        <d v="2025-11-21T00:00:00"/>
        <d v="2025-12-19T00:00:00"/>
        <d v="2026-01-31T00:00:00"/>
        <d v="2024-06-16T00:00:00"/>
        <d v="2024-11-15T00:00:00"/>
        <d v="2024-12-30T00:00:00"/>
        <d v="2025-04-12T00:00:00"/>
        <d v="2023-05-04T00:00:00"/>
        <d v="2023-06-08T00:00:00"/>
        <d v="2023-06-26T00:00:00"/>
        <d v="2023-10-08T00:00:00"/>
        <d v="2024-12-05T00:00:00"/>
        <d v="2025-01-16T00:00:00"/>
        <d v="2025-07-10T00:00:00"/>
        <d v="2024-09-12T00:00:00"/>
        <d v="2024-10-10T00:00:00"/>
        <d v="2025-04-07T00:00:00"/>
        <d v="2024-10-25T00:00:00"/>
        <d v="2025-02-17T00:00:00"/>
        <d v="2023-01-06T00:00:00"/>
        <d v="2023-03-09T00:00:00"/>
        <d v="2023-06-16T00:00:00"/>
        <d v="2024-07-11T00:00:00"/>
        <d v="2024-09-20T00:00:00"/>
        <d v="2024-10-04T00:00:00"/>
        <d v="2024-11-21T00:00:00"/>
        <d v="2025-10-23T00:00:00"/>
        <d v="2024-01-28T00:00:00"/>
        <d v="2024-07-18T00:00:00"/>
        <d v="2026-03-09T00:00:00"/>
        <d v="2024-09-19T00:00:00"/>
        <d v="2024-08-26T00:00:00"/>
        <d v="2023-12-29T00:00:00"/>
        <d v="2024-10-31T00:00:00"/>
        <d v="2025-05-21T00:00:00"/>
        <d v="2025-07-24T00:00:00"/>
        <d v="2025-09-04T00:00:00"/>
        <d v="2025-10-07T00:00:00"/>
        <d v="2024-03-21T00:00:00"/>
        <d v="2023-12-22T00:00:00"/>
        <d v="2024-02-23T00:00:00"/>
        <d v="2024-05-04T00:00:00"/>
        <d v="2024-04-21T00:00:00"/>
        <d v="2025-01-25T00:00:00"/>
        <d v="2025-02-24T00:00:00"/>
        <d v="2023-07-24T00:00:00"/>
        <d v="2023-08-22T00:00:00"/>
        <d v="2023-09-23T00:00:00"/>
        <d v="2023-10-31T00:00:00"/>
        <d v="2023-12-01T00:00:00"/>
        <d v="2024-01-07T00:00:00"/>
        <d v="2024-01-31T00:00:00"/>
        <d v="2024-03-03T00:00:00"/>
        <d v="2024-04-02T00:00:00"/>
        <d v="2024-07-22T00:00:00"/>
        <d v="2024-05-19T00:00:00"/>
        <d v="2024-10-23T00:00:00"/>
        <d v="2025-09-18T00:00:00"/>
        <d v="2025-03-11T00:00:00"/>
        <d v="2025-03-14T00:00:00"/>
        <d v="2024-02-11T00:00:00"/>
        <d v="2024-04-23T00:00:00"/>
        <d v="2024-05-06T00:00:00"/>
        <d v="2024-08-13T00:00:00"/>
        <d v="2025-08-18T00:00:00"/>
        <d v="2025-10-06T00:00:00"/>
        <d v="2026-01-21T00:00:00"/>
        <d v="2023-12-07T00:00:00"/>
        <d v="2024-03-02T00:00:00"/>
        <d v="2024-04-22T00:00:00"/>
        <d v="2023-10-24T00:00:00"/>
        <d v="2023-06-15T00:00:00"/>
        <d v="2023-09-18T00:00:00"/>
        <d v="2023-08-31T00:00:00"/>
        <d v="2025-04-08T00:00:00"/>
        <d v="2025-07-02T00:00:00"/>
        <d v="2023-07-27T00:00:00"/>
        <d v="2023-08-30T00:00:00"/>
        <d v="2023-03-10T00:00:00"/>
        <d v="2023-04-06T00:00:00"/>
        <d v="2023-07-14T00:00:00"/>
        <d v="2023-08-11T00:00:00"/>
        <d v="2024-04-25T00:00:00"/>
        <d v="2024-05-22T00:00:00"/>
        <d v="2024-10-30T00:00:00"/>
        <d v="2024-12-19T00:00:00"/>
        <d v="2025-01-21T00:00:00"/>
        <d v="2025-06-06T00:00:00"/>
        <d v="2025-08-13T00:00:00"/>
        <d v="2025-10-28T00:00:00"/>
        <d v="2023-09-29T00:00:00"/>
        <d v="2023-02-07T00:00:00"/>
        <d v="2022-12-30T00:00:00"/>
        <d v="2023-02-28T00:00:00"/>
        <d v="2023-04-13T00:00:00"/>
        <d v="2023-07-11T00:00:00"/>
        <d v="2025-02-19T00:00:00"/>
        <d v="2023-05-26T00:00:00"/>
        <d v="2023-05-09T00:00:00"/>
        <d v="2023-07-05T00:00:00"/>
        <d v="2023-10-02T00:00:00"/>
        <d v="2023-10-10T00:00:00"/>
        <d v="2023-10-23T00:00:00"/>
        <d v="2024-08-19T00:00:00"/>
        <d v="2024-11-11T00:00:00"/>
        <d v="2025-01-20T00:00:00"/>
        <d v="2025-06-09T00:00:00"/>
        <d v="2025-10-02T00:00:00"/>
        <d v="2026-01-27T00:00:00"/>
        <d v="2025-01-29T00:00:00"/>
        <d v="2025-05-29T00:00:00"/>
        <d v="2025-04-30T00:00:00"/>
        <d v="2025-12-31T00:00:00"/>
        <d v="2025-11-18T00:00:00"/>
        <d v="2025-12-29T00:00:00"/>
        <d v="2026-01-16T00:00:00"/>
        <d v="2026-02-09T00:00:00"/>
        <d v="2025-11-20T00:00:00"/>
        <d v="2026-01-08T00:00:00"/>
        <d v="2026-02-20T00:00:00"/>
        <d v="2026-02-28T00:00:00"/>
        <d v="2025-12-11T00:00:00"/>
        <d v="2025-11-07T00:00:00"/>
        <d v="2025-12-17T00:00:00"/>
        <d v="2026-01-25T00:00:00"/>
        <d v="2026-03-05T00:00:00"/>
        <d v="2025-08-11T00:00:00" u="1"/>
        <d v="2026-02-25T00:00:00" u="1"/>
        <d v="2026-03-25T00:00:00" u="1"/>
        <d v="2026-03-15T00:00:00" u="1"/>
        <d v="2026-01-03T00:00:00" u="1"/>
        <d v="2026-01-15T00:00:00" u="1"/>
        <d v="2026-02-10T00:00:00" u="1"/>
        <d v="2026-01-12T00:00:00" u="1"/>
        <d v="2026-01-17T00:00:00" u="1"/>
        <d v="2026-01-22T00:00:00" u="1"/>
        <d v="2026-02-19T00:00:00" u="1"/>
        <d v="2025-12-28T00:00:00" u="1"/>
        <d v="2025-12-30T00:00:00" u="1"/>
        <d v="2025-12-25T00:00:00" u="1"/>
        <d v="2025-11-30T00:00:00" u="1"/>
        <d v="2025-11-29T00:00:00" u="1"/>
        <d v="2025-11-22T00:00:00" u="1"/>
        <d v="2025-12-03T00:00:00" u="1"/>
        <d v="2025-11-13T00:00:00" u="1"/>
        <d v="2025-12-04T00:00:00" u="1"/>
        <d v="2026-01-11T00:00:00" u="1"/>
      </sharedItems>
      <fieldGroup par="24"/>
    </cacheField>
    <cacheField name="Ingresado USD" numFmtId="0">
      <sharedItems containsString="0" containsBlank="1" containsNumber="1" minValue="260.3" maxValue="444151.6874113208"/>
    </cacheField>
    <cacheField name="Observaciones " numFmtId="0">
      <sharedItems containsBlank="1"/>
    </cacheField>
    <cacheField name="Meses (Fecha Ingreso)" numFmtId="0" databaseField="0">
      <fieldGroup base="19">
        <rangePr groupBy="months" startDate="2022-12-30T00:00:00" endDate="2026-03-21T00:00:00"/>
        <groupItems count="14">
          <s v="&lt;30-12-2022"/>
          <s v="ene"/>
          <s v="feb"/>
          <s v="mar"/>
          <s v="abr"/>
          <s v="may"/>
          <s v="jun"/>
          <s v="jul"/>
          <s v="ago"/>
          <s v="sept"/>
          <s v="oct"/>
          <s v="nov"/>
          <s v="dic"/>
          <s v="&gt;21-03-2026"/>
        </groupItems>
      </fieldGroup>
    </cacheField>
    <cacheField name="Trimestres (Fecha Ingreso)" numFmtId="0" databaseField="0">
      <fieldGroup base="19">
        <rangePr groupBy="quarters" startDate="2022-12-30T00:00:00" endDate="2026-03-21T00:00:00"/>
        <groupItems count="6">
          <s v="&lt;30-12-2022"/>
          <s v="Trim.1"/>
          <s v="Trim.2"/>
          <s v="Trim.3"/>
          <s v="Trim.4"/>
          <s v="&gt;21-03-2026"/>
        </groupItems>
      </fieldGroup>
    </cacheField>
    <cacheField name="Años (Fecha Ingreso)" numFmtId="0" databaseField="0">
      <fieldGroup base="19">
        <rangePr groupBy="years" startDate="2022-12-30T00:00:00" endDate="2026-03-21T00:00:00"/>
        <groupItems count="7">
          <s v="&lt;30-12-2022"/>
          <s v="2022"/>
          <s v="2023"/>
          <s v="2024"/>
          <s v="2025"/>
          <s v="2026"/>
          <s v="&gt;21-03-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21">
  <r>
    <n v="1"/>
    <m/>
    <x v="0"/>
    <s v="Retenciones LOM Los Colorados"/>
    <s v="CMP"/>
    <x v="0"/>
    <n v="2024"/>
    <n v="-1"/>
    <m/>
    <m/>
    <n v="-1"/>
    <d v="2024-07-12T00:00:00"/>
    <n v="0"/>
    <n v="0"/>
    <s v="s/F"/>
    <d v="2024-07-12T00:00:00"/>
    <n v="-1"/>
    <n v="0"/>
    <n v="1"/>
    <x v="0"/>
    <n v="43052.599788760286"/>
    <m/>
  </r>
  <r>
    <n v="2"/>
    <m/>
    <x v="0"/>
    <s v="Retenciones FEL 2A y Otro"/>
    <s v="CMP"/>
    <x v="0"/>
    <n v="2025"/>
    <n v="-1"/>
    <m/>
    <m/>
    <n v="-1"/>
    <d v="2025-11-19T00:00:00"/>
    <n v="0"/>
    <n v="0"/>
    <s v="s/F"/>
    <d v="2025-11-19T00:00:00"/>
    <n v="-1"/>
    <n v="0"/>
    <n v="1"/>
    <x v="1"/>
    <n v="50646"/>
    <s v="En validación"/>
  </r>
  <r>
    <n v="3"/>
    <m/>
    <x v="0"/>
    <s v="Retenciones AARR"/>
    <s v="CMP"/>
    <x v="0"/>
    <n v="2025"/>
    <n v="-1"/>
    <m/>
    <m/>
    <n v="-1"/>
    <d v="2025-10-10T00:00:00"/>
    <n v="0"/>
    <n v="0"/>
    <s v="s/F"/>
    <d v="2025-10-10T00:00:00"/>
    <n v="-1"/>
    <n v="0"/>
    <n v="1"/>
    <x v="2"/>
    <n v="12155"/>
    <m/>
  </r>
  <r>
    <n v="4"/>
    <m/>
    <x v="0"/>
    <s v="Euclidea Consulting "/>
    <s v="Euclidea Consulting "/>
    <x v="1"/>
    <n v="2024"/>
    <n v="-1"/>
    <m/>
    <m/>
    <n v="1"/>
    <d v="2024-09-06T00:00:00"/>
    <n v="1"/>
    <n v="7150"/>
    <s v="s/F"/>
    <d v="2024-09-06T00:00:00"/>
    <n v="1"/>
    <n v="7150"/>
    <n v="1"/>
    <x v="3"/>
    <n v="7150"/>
    <s v="Factura solicitada por PV mediante correo"/>
  </r>
  <r>
    <n v="5"/>
    <m/>
    <x v="0"/>
    <s v="The Boston Consulting Group"/>
    <s v="BCG"/>
    <x v="0"/>
    <n v="2025"/>
    <n v="-1"/>
    <m/>
    <m/>
    <n v="-1"/>
    <d v="2025-09-29T00:00:00"/>
    <n v="0"/>
    <n v="0"/>
    <n v="345"/>
    <d v="2025-09-29T00:00:00"/>
    <n v="1"/>
    <n v="22182"/>
    <n v="1"/>
    <x v="4"/>
    <n v="22182"/>
    <m/>
  </r>
  <r>
    <n v="6"/>
    <m/>
    <x v="0"/>
    <s v=" Strategy analysis for the Hermosa project "/>
    <s v="South 32"/>
    <x v="1"/>
    <n v="2025"/>
    <n v="-1"/>
    <m/>
    <m/>
    <n v="-1"/>
    <d v="2025-08-29T00:00:00"/>
    <n v="0"/>
    <n v="0"/>
    <s v="s/F"/>
    <d v="2025-08-29T00:00:00"/>
    <n v="1"/>
    <n v="44465"/>
    <n v="1"/>
    <x v="5"/>
    <n v="44465"/>
    <s v="Proyecto de PV"/>
  </r>
  <r>
    <n v="7"/>
    <s v="PE-MSR-UG-FEL03-008-A"/>
    <x v="1"/>
    <s v="Actualizacion LOM Raura"/>
    <s v="Minsur"/>
    <x v="2"/>
    <n v="2023"/>
    <n v="1"/>
    <d v="2023-09-01T00:00:00"/>
    <n v="165237"/>
    <n v="1"/>
    <d v="2023-09-25T00:00:00"/>
    <n v="1"/>
    <n v="165237"/>
    <s v="E001-206"/>
    <d v="2023-10-23T00:00:00"/>
    <n v="1"/>
    <n v="165237"/>
    <n v="1"/>
    <x v="6"/>
    <n v="165194.82999999999"/>
    <s v="Dado que no se tiene la OC, el cliente solicitó agrupar las EDP (Junio, Julio y Agosto) / el cliente solicitó retirar alcance (monto total 165,237"/>
  </r>
  <r>
    <n v="8"/>
    <s v="CH-CMP-OU-FEL00-001-A"/>
    <x v="2"/>
    <s v="AARR"/>
    <s v="CMP"/>
    <x v="0"/>
    <n v="2023"/>
    <n v="-1"/>
    <m/>
    <m/>
    <n v="1"/>
    <d v="2022-12-21T00:00:00"/>
    <n v="1"/>
    <n v="48961.63"/>
    <n v="42"/>
    <d v="2023-01-10T00:00:00"/>
    <n v="1"/>
    <n v="48961.63"/>
    <n v="1"/>
    <x v="7"/>
    <n v="46513.548499999997"/>
    <m/>
  </r>
  <r>
    <n v="9"/>
    <s v="CH-CMP-OU-FEL00-001-A"/>
    <x v="2"/>
    <s v="AARR"/>
    <s v="CMP"/>
    <x v="0"/>
    <n v="2023"/>
    <n v="-1"/>
    <m/>
    <m/>
    <n v="1"/>
    <d v="2022-12-21T00:00:00"/>
    <n v="1"/>
    <n v="2880.1731874999996"/>
    <n v="47"/>
    <d v="2023-02-23T00:00:00"/>
    <n v="1"/>
    <n v="2880.1731874999996"/>
    <n v="1"/>
    <x v="8"/>
    <n v="2736.1645281249994"/>
    <m/>
  </r>
  <r>
    <n v="10"/>
    <s v="CH-CMP-OU-FEL00-001-A"/>
    <x v="2"/>
    <s v="AARR"/>
    <s v="CMP"/>
    <x v="0"/>
    <n v="2023"/>
    <n v="-1"/>
    <m/>
    <m/>
    <n v="1"/>
    <d v="2023-02-21T00:00:00"/>
    <n v="2"/>
    <n v="35461.962500000001"/>
    <n v="54"/>
    <d v="2023-03-07T00:00:00"/>
    <n v="1"/>
    <n v="35461.962500000001"/>
    <n v="1"/>
    <x v="9"/>
    <n v="33688.864374999997"/>
    <m/>
  </r>
  <r>
    <n v="11"/>
    <s v="CH-CMP-OU-FEL00-001-A"/>
    <x v="2"/>
    <s v="AARR"/>
    <s v="CMP"/>
    <x v="0"/>
    <n v="2023"/>
    <n v="-1"/>
    <m/>
    <m/>
    <n v="1"/>
    <d v="2023-03-21T00:00:00"/>
    <n v="3"/>
    <n v="20262.080000000002"/>
    <n v="59"/>
    <d v="2023-04-05T00:00:00"/>
    <n v="1"/>
    <n v="20262.080000000002"/>
    <n v="1"/>
    <x v="10"/>
    <n v="19248.976000000002"/>
    <m/>
  </r>
  <r>
    <n v="12"/>
    <s v="CH-CMP-OU-FEL00-001-A"/>
    <x v="2"/>
    <s v="AARR"/>
    <s v="CMP"/>
    <x v="0"/>
    <n v="2023"/>
    <n v="-1"/>
    <m/>
    <m/>
    <n v="1"/>
    <d v="2023-04-21T00:00:00"/>
    <n v="4"/>
    <n v="41629"/>
    <n v="74"/>
    <d v="2023-05-31T00:00:00"/>
    <n v="1"/>
    <n v="41719.32"/>
    <n v="1"/>
    <x v="11"/>
    <n v="39633.353999999999"/>
    <m/>
  </r>
  <r>
    <n v="13"/>
    <s v="CH-CMP-OU-FEL00-001-A"/>
    <x v="2"/>
    <s v="AARR"/>
    <s v="CMP"/>
    <x v="0"/>
    <n v="2023"/>
    <n v="-1"/>
    <m/>
    <m/>
    <n v="1"/>
    <d v="2023-05-21T00:00:00"/>
    <n v="5"/>
    <n v="29206.65"/>
    <n v="76"/>
    <d v="2023-05-31T00:00:00"/>
    <n v="1"/>
    <n v="29206.65"/>
    <n v="1"/>
    <x v="11"/>
    <n v="27746.317500000001"/>
    <s v="-"/>
  </r>
  <r>
    <n v="14"/>
    <s v="CH-CMP-OU-FEL00-001-A"/>
    <x v="2"/>
    <s v="AARR"/>
    <s v="CMP"/>
    <x v="0"/>
    <n v="2023"/>
    <n v="-1"/>
    <m/>
    <m/>
    <n v="1"/>
    <d v="2023-06-21T00:00:00"/>
    <n v="6"/>
    <n v="24240"/>
    <n v="88"/>
    <d v="2023-07-05T00:00:00"/>
    <n v="1"/>
    <n v="24240"/>
    <n v="1"/>
    <x v="12"/>
    <n v="23028"/>
    <m/>
  </r>
  <r>
    <n v="15"/>
    <s v="CH-CMP-OU-FEL00-001-A"/>
    <x v="2"/>
    <s v="AARR"/>
    <s v="CMP"/>
    <x v="0"/>
    <n v="2023"/>
    <n v="-1"/>
    <m/>
    <m/>
    <n v="1"/>
    <d v="2023-07-27T00:00:00"/>
    <n v="7"/>
    <n v="10588.84"/>
    <n v="98"/>
    <d v="2023-08-04T00:00:00"/>
    <n v="1"/>
    <n v="10589"/>
    <n v="1"/>
    <x v="13"/>
    <n v="10059.549999999999"/>
    <m/>
  </r>
  <r>
    <n v="16"/>
    <s v="CH-CMP-OU-FEL00-001-A"/>
    <x v="2"/>
    <s v="AARR"/>
    <s v="CMP"/>
    <x v="0"/>
    <n v="2023"/>
    <n v="1"/>
    <d v="2023-09-01T00:00:00"/>
    <n v="1136"/>
    <n v="1"/>
    <d v="2023-09-25T00:00:00"/>
    <n v="8"/>
    <n v="274"/>
    <n v="120"/>
    <d v="2023-10-18T00:00:00"/>
    <n v="1"/>
    <n v="274"/>
    <n v="1"/>
    <x v="14"/>
    <n v="260.3"/>
    <m/>
  </r>
  <r>
    <n v="17"/>
    <s v="CH-CMP-OU-FEL00-001-A"/>
    <x v="2"/>
    <s v="AARR"/>
    <s v="CMP"/>
    <x v="0"/>
    <n v="2023"/>
    <n v="1"/>
    <d v="2023-10-01T00:00:00"/>
    <n v="51143"/>
    <n v="1"/>
    <d v="2023-10-23T00:00:00"/>
    <n v="9"/>
    <n v="51143"/>
    <n v="123"/>
    <d v="2023-11-07T00:00:00"/>
    <n v="1"/>
    <n v="51143"/>
    <n v="1"/>
    <x v="15"/>
    <n v="48585.85"/>
    <m/>
  </r>
  <r>
    <n v="18"/>
    <s v="PE-MSR-OT-OTR00-009-A"/>
    <x v="3"/>
    <s v="Sistema de Gestion de Avances (AESA)"/>
    <s v="Minsur"/>
    <x v="2"/>
    <n v="2023"/>
    <n v="-1"/>
    <m/>
    <m/>
    <n v="1"/>
    <d v="2022-12-21T00:00:00"/>
    <n v="1"/>
    <n v="19250.8"/>
    <s v="E001-177"/>
    <d v="2023-03-23T00:00:00"/>
    <n v="1"/>
    <n v="19250.8"/>
    <n v="1"/>
    <x v="16"/>
    <n v="19250.8"/>
    <m/>
  </r>
  <r>
    <n v="19"/>
    <s v="PE-MSR-OT-OTR00-009-A"/>
    <x v="3"/>
    <s v="Sistema de Gestion de Avances (AESA)"/>
    <s v="Minsur"/>
    <x v="2"/>
    <n v="2023"/>
    <n v="-1"/>
    <m/>
    <m/>
    <n v="1"/>
    <d v="2023-06-21T00:00:00"/>
    <n v="2"/>
    <n v="17907.507532000003"/>
    <s v="E001-207"/>
    <d v="2023-10-24T00:00:00"/>
    <n v="1"/>
    <n v="17907.507532000003"/>
    <n v="1"/>
    <x v="17"/>
    <n v="17907.507532000003"/>
    <m/>
  </r>
  <r>
    <n v="20"/>
    <s v="PE-MSR-OT-OTR00-009-A"/>
    <x v="3"/>
    <s v="Sistema de Gestion de Avances (AESA)"/>
    <s v="Minsur"/>
    <x v="2"/>
    <n v="2023"/>
    <n v="-1"/>
    <m/>
    <m/>
    <n v="1"/>
    <d v="2023-06-21T00:00:00"/>
    <n v="3"/>
    <n v="8656.69"/>
    <s v="E001-200"/>
    <d v="2023-07-27T00:00:00"/>
    <n v="1"/>
    <n v="8656.69"/>
    <n v="1"/>
    <x v="18"/>
    <n v="8656.69"/>
    <m/>
  </r>
  <r>
    <n v="21"/>
    <s v="CH-CMP-OT-FEL03-002-A"/>
    <x v="4"/>
    <s v="Algarrobo"/>
    <s v="CMP"/>
    <x v="0"/>
    <n v="2023"/>
    <n v="-1"/>
    <m/>
    <m/>
    <n v="1"/>
    <d v="2022-12-21T00:00:00"/>
    <n v="6"/>
    <n v="46355"/>
    <n v="39"/>
    <d v="2023-01-05T00:00:00"/>
    <n v="1"/>
    <n v="46355"/>
    <n v="1"/>
    <x v="19"/>
    <n v="44037.25"/>
    <m/>
  </r>
  <r>
    <n v="22"/>
    <s v="CH-CMP-OT-FEL03-002-A"/>
    <x v="4"/>
    <s v="Algarrobo"/>
    <s v="CMP"/>
    <x v="0"/>
    <n v="2023"/>
    <n v="-1"/>
    <m/>
    <m/>
    <n v="1"/>
    <d v="2023-01-21T00:00:00"/>
    <n v="7"/>
    <n v="115649.15012499999"/>
    <n v="46"/>
    <d v="2023-02-07T00:00:00"/>
    <n v="1"/>
    <n v="115649.15012499999"/>
    <n v="1"/>
    <x v="20"/>
    <n v="109866.69261874998"/>
    <m/>
  </r>
  <r>
    <n v="23"/>
    <s v="CH-CMP-OT-FEL03-002-A"/>
    <x v="4"/>
    <s v="Algarrobo"/>
    <s v="CMP"/>
    <x v="0"/>
    <n v="2023"/>
    <n v="-1"/>
    <m/>
    <m/>
    <n v="1"/>
    <d v="2023-02-21T00:00:00"/>
    <n v="8"/>
    <n v="78464.052500000005"/>
    <n v="57"/>
    <d v="2023-03-09T00:00:00"/>
    <n v="1"/>
    <n v="78464.052500000005"/>
    <n v="1"/>
    <x v="21"/>
    <n v="74540.849875"/>
    <m/>
  </r>
  <r>
    <n v="24"/>
    <s v="CH-CMP-OT-FEL03-002-A"/>
    <x v="4"/>
    <s v="Algarrobo"/>
    <s v="CMP"/>
    <x v="0"/>
    <n v="2023"/>
    <n v="-1"/>
    <m/>
    <m/>
    <n v="1"/>
    <d v="2023-03-21T00:00:00"/>
    <n v="9"/>
    <n v="33129.275000000001"/>
    <n v="63"/>
    <d v="2023-04-14T00:00:00"/>
    <n v="1"/>
    <n v="33129.275000000001"/>
    <n v="1"/>
    <x v="22"/>
    <n v="31472.811249999999"/>
    <m/>
  </r>
  <r>
    <n v="25"/>
    <s v="CH-CMP-OT-FEL03-002-A"/>
    <x v="4"/>
    <s v="Algarrobo"/>
    <s v="CMP"/>
    <x v="0"/>
    <n v="2023"/>
    <n v="-1"/>
    <m/>
    <m/>
    <n v="1"/>
    <d v="2023-04-21T00:00:00"/>
    <n v="10"/>
    <n v="55089"/>
    <n v="67"/>
    <d v="2023-05-10T00:00:00"/>
    <n v="1"/>
    <n v="55848.53"/>
    <n v="1"/>
    <x v="23"/>
    <n v="53056.1"/>
    <m/>
  </r>
  <r>
    <n v="26"/>
    <s v="CH-CMP-OT-FEL03-002-A"/>
    <x v="4"/>
    <s v="Algarrobo"/>
    <s v="CMP"/>
    <x v="0"/>
    <n v="2023"/>
    <n v="-1"/>
    <m/>
    <m/>
    <n v="1"/>
    <d v="2023-05-21T00:00:00"/>
    <n v="11"/>
    <n v="19271.57"/>
    <n v="77"/>
    <d v="2023-06-01T00:00:00"/>
    <n v="1"/>
    <n v="19277"/>
    <n v="1"/>
    <x v="11"/>
    <n v="18313.150000000001"/>
    <s v="Se emite la diferencia por 100% del proyecto"/>
  </r>
  <r>
    <n v="27"/>
    <s v="CH-CMP-OT-FEL03-002-A"/>
    <x v="4"/>
    <s v="Algarrobo"/>
    <s v="CMP"/>
    <x v="0"/>
    <n v="2023"/>
    <n v="1"/>
    <d v="2023-10-01T00:00:00"/>
    <n v="266974"/>
    <n v="1"/>
    <d v="2023-10-23T00:00:00"/>
    <n v="12"/>
    <n v="58723"/>
    <n v="126"/>
    <d v="2023-11-14T00:00:00"/>
    <n v="1"/>
    <n v="58723"/>
    <n v="1"/>
    <x v="24"/>
    <n v="55786.85"/>
    <s v="Aprobación de NOC 2"/>
  </r>
  <r>
    <n v="28"/>
    <s v="CH-CMP-OT-FEL03-002-A"/>
    <x v="4"/>
    <s v="Algarrobo"/>
    <s v="CMP"/>
    <x v="0"/>
    <n v="2023"/>
    <n v="1"/>
    <d v="2023-11-01T00:00:00"/>
    <n v="83300.391999999993"/>
    <n v="1"/>
    <d v="2023-11-20T00:00:00"/>
    <n v="13"/>
    <n v="64612"/>
    <n v="129"/>
    <d v="2023-12-07T00:00:00"/>
    <n v="1"/>
    <n v="64612"/>
    <n v="1"/>
    <x v="25"/>
    <n v="61381.399999999994"/>
    <m/>
  </r>
  <r>
    <n v="29"/>
    <s v="CH-CMP-OT-FEL03-002-A"/>
    <x v="4"/>
    <s v="Algarrobo"/>
    <s v="CMP"/>
    <x v="0"/>
    <n v="2023"/>
    <n v="1"/>
    <d v="2023-12-01T00:00:00"/>
    <n v="57455.591999999997"/>
    <n v="1"/>
    <d v="2023-12-21T00:00:00"/>
    <n v="14"/>
    <n v="63352"/>
    <n v="136"/>
    <d v="2024-01-05T00:00:00"/>
    <n v="1"/>
    <n v="63352"/>
    <n v="1"/>
    <x v="26"/>
    <n v="60184.399999999994"/>
    <m/>
  </r>
  <r>
    <n v="30"/>
    <s v="CH-CMP-OT-FEL03-002-A"/>
    <x v="4"/>
    <s v="Algarrobo"/>
    <s v="CMP"/>
    <x v="0"/>
    <n v="2024"/>
    <n v="-1"/>
    <d v="2024-02-01T00:00:00"/>
    <n v="0"/>
    <n v="1"/>
    <d v="2024-02-25T00:00:00"/>
    <n v="15"/>
    <n v="11925"/>
    <n v="180"/>
    <d v="2024-04-26T00:00:00"/>
    <n v="1"/>
    <n v="11925"/>
    <n v="1"/>
    <x v="27"/>
    <n v="11328.75"/>
    <m/>
  </r>
  <r>
    <n v="31"/>
    <s v="CH-CMP-OT-FEL03-002-A"/>
    <x v="4"/>
    <s v="Algarrobo"/>
    <s v="CMP"/>
    <x v="0"/>
    <n v="2024"/>
    <n v="-1"/>
    <d v="2024-04-01T00:00:00"/>
    <n v="0"/>
    <n v="1"/>
    <d v="2024-04-25T00:00:00"/>
    <n v="16"/>
    <n v="37470"/>
    <n v="198"/>
    <d v="2024-07-24T00:00:00"/>
    <n v="1"/>
    <n v="31084.113067635655"/>
    <n v="1"/>
    <x v="28"/>
    <n v="29529.8"/>
    <m/>
  </r>
  <r>
    <n v="32"/>
    <s v="CH-CMP-OT-FEL03-002-A"/>
    <x v="4"/>
    <s v="Algarrobo"/>
    <s v="CMP"/>
    <x v="0"/>
    <n v="2024"/>
    <n v="-1"/>
    <m/>
    <m/>
    <n v="1"/>
    <d v="2024-09-27T00:00:00"/>
    <n v="17"/>
    <n v="24846"/>
    <n v="233"/>
    <d v="2024-11-08T00:00:00"/>
    <n v="1"/>
    <n v="24846"/>
    <n v="1"/>
    <x v="29"/>
    <n v="23603.699999999997"/>
    <m/>
  </r>
  <r>
    <n v="33"/>
    <s v="PE-ALP-GM-FEL00-156-A"/>
    <x v="5"/>
    <s v="Alpayana_Estudio de Sismicidad"/>
    <s v="Alpayana"/>
    <x v="2"/>
    <n v="2025"/>
    <n v="-1"/>
    <m/>
    <m/>
    <n v="1"/>
    <d v="2025-07-25T00:00:00"/>
    <n v="1"/>
    <n v="14455"/>
    <s v="E001-343"/>
    <d v="2025-11-17T00:00:00"/>
    <n v="1"/>
    <n v="14634"/>
    <n v="1"/>
    <x v="30"/>
    <n v="14336"/>
    <m/>
  </r>
  <r>
    <n v="34"/>
    <s v="PE-ALP-GM-FEL00-156-A"/>
    <x v="5"/>
    <s v="Alpayana_Estudio de Sismicidad"/>
    <s v="Alpayana"/>
    <x v="2"/>
    <n v="2025"/>
    <n v="-1"/>
    <m/>
    <m/>
    <n v="1"/>
    <d v="2025-08-29T00:00:00"/>
    <n v="2"/>
    <n v="13779"/>
    <s v="E001-344"/>
    <d v="2025-11-17T00:00:00"/>
    <n v="1"/>
    <n v="13884"/>
    <n v="1"/>
    <x v="30"/>
    <n v="13601"/>
    <m/>
  </r>
  <r>
    <n v="35"/>
    <s v="PE-ALP-GM-FEL00-156-A"/>
    <x v="5"/>
    <s v="Alpayana_Estudio de Sismicidad"/>
    <s v="Alpayana"/>
    <x v="2"/>
    <n v="2025"/>
    <n v="-1"/>
    <m/>
    <m/>
    <n v="1"/>
    <d v="2025-09-30T00:00:00"/>
    <n v="3"/>
    <n v="15554"/>
    <s v="E001-345"/>
    <d v="2025-11-17T00:00:00"/>
    <n v="1"/>
    <n v="15572"/>
    <n v="1"/>
    <x v="30"/>
    <n v="15255"/>
    <m/>
  </r>
  <r>
    <n v="36"/>
    <s v="PE-ALP-GM-FEL00-156-A"/>
    <x v="5"/>
    <s v="Alpayana_Estudio de Sismicidad"/>
    <s v="Alpayana"/>
    <x v="2"/>
    <n v="2025"/>
    <n v="-1"/>
    <m/>
    <m/>
    <n v="1"/>
    <d v="2025-10-24T00:00:00"/>
    <n v="4"/>
    <n v="20205"/>
    <s v="E001-346"/>
    <d v="2025-11-17T00:00:00"/>
    <n v="1"/>
    <n v="20263"/>
    <n v="1"/>
    <x v="30"/>
    <n v="19850"/>
    <m/>
  </r>
  <r>
    <n v="37"/>
    <s v="PE-ALP-GM-FEL00-156-A"/>
    <x v="5"/>
    <s v="Alpayana_Estudio de Sismicidad"/>
    <s v="Alpayana"/>
    <x v="2"/>
    <n v="2025"/>
    <n v="-1"/>
    <m/>
    <m/>
    <n v="1"/>
    <d v="2025-11-25T00:00:00"/>
    <n v="5"/>
    <n v="34300"/>
    <s v="Pendiente"/>
    <m/>
    <n v="-1"/>
    <m/>
    <n v="-1"/>
    <x v="31"/>
    <n v="34300"/>
    <m/>
  </r>
  <r>
    <n v="38"/>
    <s v="PE-ALP-GM-FEL00-156-A"/>
    <x v="5"/>
    <s v="Alpayana_Estudio de Sismicidad"/>
    <s v="Alpayana"/>
    <x v="2"/>
    <n v="2025"/>
    <n v="-1"/>
    <m/>
    <m/>
    <n v="1"/>
    <d v="2025-12-24T00:00:00"/>
    <n v="6"/>
    <n v="33020"/>
    <s v="Pendiente"/>
    <m/>
    <n v="-1"/>
    <m/>
    <n v="-1"/>
    <x v="31"/>
    <n v="33020"/>
    <m/>
  </r>
  <r>
    <n v="39"/>
    <s v="PE-ALP-GM-FEL00-156-A"/>
    <x v="5"/>
    <s v="Alpayana_Estudio de Sismicidad"/>
    <s v="Alpayana"/>
    <x v="2"/>
    <n v="2026"/>
    <n v="-1"/>
    <m/>
    <m/>
    <n v="1"/>
    <d v="2026-01-26T00:00:00"/>
    <n v="7"/>
    <n v="36078"/>
    <s v="Pendiente"/>
    <m/>
    <n v="-1"/>
    <m/>
    <n v="-1"/>
    <x v="31"/>
    <n v="36078"/>
    <m/>
  </r>
  <r>
    <n v="40"/>
    <s v="CH-AMS-CS-OTR00-075-A"/>
    <x v="6"/>
    <s v="AMSA_Asesoria Centinela"/>
    <s v="AMSA"/>
    <x v="0"/>
    <n v="2024"/>
    <n v="-1"/>
    <d v="2024-03-01T00:00:00"/>
    <n v="0"/>
    <n v="1"/>
    <d v="2024-03-25T00:00:00"/>
    <n v="1"/>
    <n v="62048"/>
    <n v="178"/>
    <d v="2024-04-17T00:00:00"/>
    <n v="1"/>
    <n v="62048"/>
    <n v="1"/>
    <x v="32"/>
    <n v="62048"/>
    <m/>
  </r>
  <r>
    <n v="41"/>
    <s v="CH-AMS-CS-OTR00-075-A"/>
    <x v="6"/>
    <s v="AMSA_Asesoria Centinela"/>
    <s v="AMSA"/>
    <x v="0"/>
    <n v="2024"/>
    <n v="1"/>
    <d v="2024-04-01T00:00:00"/>
    <n v="61813"/>
    <n v="1"/>
    <d v="2024-04-25T00:00:00"/>
    <n v="2"/>
    <n v="44853"/>
    <n v="185"/>
    <d v="2024-05-16T00:00:00"/>
    <n v="1"/>
    <n v="44853"/>
    <n v="1"/>
    <x v="33"/>
    <n v="44853"/>
    <m/>
  </r>
  <r>
    <n v="42"/>
    <s v="CH-AMS-CS-OTR00-075-A"/>
    <x v="6"/>
    <s v="AMSA_Asesoria Centinela"/>
    <s v="AMSA"/>
    <x v="0"/>
    <n v="2024"/>
    <n v="1"/>
    <d v="2024-05-01T00:00:00"/>
    <n v="118299.5"/>
    <n v="1"/>
    <d v="2024-05-28T00:00:00"/>
    <n v="3"/>
    <n v="35250"/>
    <n v="196"/>
    <d v="2024-07-05T00:00:00"/>
    <n v="1"/>
    <n v="35250"/>
    <n v="1"/>
    <x v="0"/>
    <n v="35249.999466125679"/>
    <m/>
  </r>
  <r>
    <n v="43"/>
    <s v="CH-AMS-CS-OTR00-075-A"/>
    <x v="6"/>
    <s v="AMSA_Asesoria Centinela"/>
    <s v="AMSA"/>
    <x v="0"/>
    <n v="2024"/>
    <n v="1"/>
    <d v="2024-06-01T00:00:00"/>
    <n v="83049.5"/>
    <n v="1"/>
    <d v="2024-06-26T00:00:00"/>
    <n v="4"/>
    <n v="74540"/>
    <n v="199"/>
    <d v="2024-08-01T00:00:00"/>
    <n v="1"/>
    <n v="74540"/>
    <n v="1"/>
    <x v="34"/>
    <n v="75523.474218724834"/>
    <m/>
  </r>
  <r>
    <n v="44"/>
    <s v="CH-AMS-CS-OTR00-075-A"/>
    <x v="6"/>
    <s v="AMSA_Asesoria Centinela"/>
    <s v="AMSA"/>
    <x v="0"/>
    <n v="2024"/>
    <n v="-1"/>
    <m/>
    <m/>
    <n v="1"/>
    <d v="2024-07-25T00:00:00"/>
    <n v="5"/>
    <n v="8760"/>
    <n v="207"/>
    <d v="2024-08-27T00:00:00"/>
    <n v="1"/>
    <n v="8759"/>
    <n v="1"/>
    <x v="35"/>
    <n v="8759"/>
    <m/>
  </r>
  <r>
    <n v="45"/>
    <s v="CH-AMS-OT-OTR00-108-A"/>
    <x v="7"/>
    <s v="AMSA_Contrato Marco"/>
    <s v="AMSA"/>
    <x v="0"/>
    <n v="2024"/>
    <n v="-1"/>
    <m/>
    <m/>
    <n v="1"/>
    <d v="2024-08-29T00:00:00"/>
    <n v="1"/>
    <n v="34347"/>
    <n v="220"/>
    <d v="2024-10-10T00:00:00"/>
    <n v="1"/>
    <n v="34347"/>
    <n v="1"/>
    <x v="36"/>
    <n v="34347"/>
    <m/>
  </r>
  <r>
    <n v="46"/>
    <s v="CH-AMS-OT-OTR00-108-A"/>
    <x v="7"/>
    <s v="AMSA_Contrato Marco"/>
    <s v="AMSA"/>
    <x v="0"/>
    <n v="2024"/>
    <n v="-1"/>
    <m/>
    <m/>
    <n v="1"/>
    <d v="2024-09-30T00:00:00"/>
    <n v="2"/>
    <n v="18000"/>
    <n v="222"/>
    <d v="2024-10-10T00:00:00"/>
    <n v="1"/>
    <n v="18000"/>
    <n v="1"/>
    <x v="36"/>
    <n v="18000"/>
    <m/>
  </r>
  <r>
    <n v="47"/>
    <s v="CH-AMS-OT-OTR00-108-A"/>
    <x v="7"/>
    <s v="AMSA_Contrato Marco"/>
    <s v="AMSA"/>
    <x v="0"/>
    <n v="2024"/>
    <n v="-1"/>
    <m/>
    <m/>
    <n v="1"/>
    <d v="2024-11-29T00:00:00"/>
    <n v="3"/>
    <n v="11821"/>
    <n v="244"/>
    <d v="2024-12-19T00:00:00"/>
    <n v="1"/>
    <n v="11821"/>
    <n v="1"/>
    <x v="37"/>
    <n v="11821"/>
    <m/>
  </r>
  <r>
    <n v="48"/>
    <s v="CH-AMS-OT-OTR00-108-A"/>
    <x v="7"/>
    <s v="AMSA_Contrato Marco"/>
    <s v="AMSA"/>
    <x v="0"/>
    <n v="2024"/>
    <n v="-1"/>
    <m/>
    <m/>
    <n v="1"/>
    <d v="2024-12-26T00:00:00"/>
    <n v="4"/>
    <n v="12357"/>
    <n v="260"/>
    <d v="2025-01-27T00:00:00"/>
    <n v="1"/>
    <n v="12357"/>
    <n v="1"/>
    <x v="38"/>
    <n v="12823"/>
    <m/>
  </r>
  <r>
    <n v="49"/>
    <s v="CH-AMS-OT-OTR00-108-A"/>
    <x v="7"/>
    <s v="AMSA_Contrato Marco"/>
    <s v="AMSA"/>
    <x v="0"/>
    <n v="2025"/>
    <n v="-1"/>
    <m/>
    <m/>
    <n v="1"/>
    <d v="2025-01-30T00:00:00"/>
    <n v="5"/>
    <n v="7816"/>
    <n v="262"/>
    <d v="2025-02-24T00:00:00"/>
    <n v="1"/>
    <n v="7816"/>
    <n v="1"/>
    <x v="39"/>
    <n v="8110.6632000000009"/>
    <m/>
  </r>
  <r>
    <n v="50"/>
    <s v="CH-AMS-OT-OTR00-108-A"/>
    <x v="7"/>
    <s v="AMSA_Contrato Marco"/>
    <s v="AMSA"/>
    <x v="0"/>
    <n v="2025"/>
    <n v="-1"/>
    <m/>
    <m/>
    <n v="1"/>
    <d v="2025-02-25T00:00:00"/>
    <n v="6"/>
    <n v="10739"/>
    <n v="280"/>
    <d v="2025-03-21T00:00:00"/>
    <n v="1"/>
    <n v="10739"/>
    <n v="1"/>
    <x v="40"/>
    <n v="11158"/>
    <m/>
  </r>
  <r>
    <n v="51"/>
    <s v="CH-AMS-OT-OTR00-108-A"/>
    <x v="7"/>
    <s v="AMSA_Contrato Marco"/>
    <s v="AMSA"/>
    <x v="0"/>
    <n v="2025"/>
    <n v="-1"/>
    <m/>
    <m/>
    <n v="1"/>
    <d v="2025-03-31T00:00:00"/>
    <n v="7"/>
    <n v="8828"/>
    <n v="294"/>
    <d v="2025-05-05T00:00:00"/>
    <n v="1"/>
    <n v="8828"/>
    <n v="1"/>
    <x v="41"/>
    <n v="8828"/>
    <m/>
  </r>
  <r>
    <n v="52"/>
    <s v="CH-AMS-OT-OTR00-108-A"/>
    <x v="7"/>
    <s v="AMSA_Contrato Marco"/>
    <s v="AMSA"/>
    <x v="0"/>
    <n v="2025"/>
    <n v="-1"/>
    <m/>
    <m/>
    <n v="1"/>
    <d v="2025-04-29T00:00:00"/>
    <n v="8"/>
    <n v="4263"/>
    <n v="295"/>
    <d v="2025-05-05T00:00:00"/>
    <n v="1"/>
    <n v="4263"/>
    <n v="1"/>
    <x v="41"/>
    <n v="4263"/>
    <m/>
  </r>
  <r>
    <n v="53"/>
    <s v="CH-AMS-CS-OTR00-063-A"/>
    <x v="8"/>
    <s v="AMSA_Estandares Minimos"/>
    <s v="AMSA"/>
    <x v="0"/>
    <n v="2024"/>
    <n v="1"/>
    <d v="2024-04-01T00:00:00"/>
    <n v="54990"/>
    <n v="1"/>
    <d v="2024-04-25T00:00:00"/>
    <n v="1"/>
    <n v="31730"/>
    <n v="183"/>
    <d v="2024-05-15T00:00:00"/>
    <n v="1"/>
    <n v="31730"/>
    <n v="1"/>
    <x v="42"/>
    <n v="31730"/>
    <m/>
  </r>
  <r>
    <n v="54"/>
    <s v="CH-AMS-CS-OTR00-063-A"/>
    <x v="8"/>
    <s v="AMSA_Estandares Minimos"/>
    <s v="AMSA"/>
    <x v="0"/>
    <n v="2024"/>
    <n v="1"/>
    <d v="2024-06-01T00:00:00"/>
    <n v="33341.5"/>
    <n v="1"/>
    <d v="2024-06-26T00:00:00"/>
    <n v="2"/>
    <n v="21884"/>
    <n v="200"/>
    <d v="2024-08-01T00:00:00"/>
    <n v="1"/>
    <n v="21884"/>
    <n v="1"/>
    <x v="34"/>
    <n v="24919.504235150136"/>
    <m/>
  </r>
  <r>
    <n v="55"/>
    <s v="CH-AMS-CS-OTR00-063-A"/>
    <x v="8"/>
    <s v="AMSA_Estandares Minimos"/>
    <s v="AMSA"/>
    <x v="0"/>
    <n v="2024"/>
    <n v="-1"/>
    <m/>
    <m/>
    <n v="1"/>
    <d v="2024-07-25T00:00:00"/>
    <n v="3"/>
    <n v="15305"/>
    <n v="210"/>
    <d v="2024-08-27T00:00:00"/>
    <n v="1"/>
    <n v="15305"/>
    <n v="1"/>
    <x v="35"/>
    <n v="15305"/>
    <m/>
  </r>
  <r>
    <n v="56"/>
    <s v="CH-AMS-CS-OTR00-063-A"/>
    <x v="8"/>
    <s v="AMSA_Estandares Minimos"/>
    <s v="AMSA"/>
    <x v="0"/>
    <n v="2024"/>
    <n v="-1"/>
    <m/>
    <m/>
    <n v="1"/>
    <d v="2024-09-30T00:00:00"/>
    <n v="4"/>
    <n v="19723"/>
    <n v="225"/>
    <d v="2024-10-14T00:00:00"/>
    <n v="1"/>
    <n v="19723"/>
    <n v="1"/>
    <x v="36"/>
    <n v="19723"/>
    <m/>
  </r>
  <r>
    <n v="57"/>
    <s v="CH-AMS-CS-OTR00-029-A"/>
    <x v="9"/>
    <s v="AMSA_Planificación"/>
    <s v="AMSA"/>
    <x v="0"/>
    <n v="2023"/>
    <n v="-1"/>
    <d v="2023-09-01T00:00:00"/>
    <n v="0"/>
    <n v="1"/>
    <d v="2023-09-25T00:00:00"/>
    <n v="1"/>
    <n v="30338"/>
    <n v="115"/>
    <d v="2023-10-06T00:00:00"/>
    <n v="1"/>
    <n v="30338"/>
    <n v="1"/>
    <x v="43"/>
    <n v="30338"/>
    <m/>
  </r>
  <r>
    <n v="58"/>
    <s v="CH-AMS-CS-OTR00-029-A"/>
    <x v="9"/>
    <s v="AMSA_Planificación"/>
    <s v="AMSA"/>
    <x v="0"/>
    <n v="2023"/>
    <n v="1"/>
    <d v="2023-10-01T00:00:00"/>
    <n v="40000"/>
    <n v="1"/>
    <d v="2023-10-23T00:00:00"/>
    <n v="2"/>
    <n v="105098"/>
    <n v="122"/>
    <d v="2023-10-25T00:00:00"/>
    <n v="1"/>
    <n v="105098"/>
    <n v="1"/>
    <x v="44"/>
    <n v="105098"/>
    <m/>
  </r>
  <r>
    <n v="59"/>
    <s v="CH-AMS-CS-OTR00-029-A"/>
    <x v="9"/>
    <s v="AMSA_Planificación"/>
    <s v="AMSA"/>
    <x v="0"/>
    <n v="2023"/>
    <n v="1"/>
    <d v="2023-11-01T00:00:00"/>
    <n v="43769.1"/>
    <n v="1"/>
    <d v="2023-11-20T00:00:00"/>
    <n v="3"/>
    <n v="60311"/>
    <n v="128"/>
    <d v="2023-12-05T00:00:00"/>
    <n v="1"/>
    <n v="60311"/>
    <n v="1"/>
    <x v="45"/>
    <n v="60311"/>
    <m/>
  </r>
  <r>
    <n v="60"/>
    <s v="CH-AMS-CS-OTR00-029-A"/>
    <x v="9"/>
    <s v="AMSA_Planificación"/>
    <s v="AMSA"/>
    <x v="0"/>
    <n v="2023"/>
    <n v="1"/>
    <d v="2023-12-01T00:00:00"/>
    <n v="172360"/>
    <n v="1"/>
    <d v="2023-12-21T00:00:00"/>
    <n v="4"/>
    <n v="186082"/>
    <n v="132"/>
    <d v="2023-12-29T00:00:00"/>
    <n v="1"/>
    <n v="186082"/>
    <n v="1"/>
    <x v="46"/>
    <n v="186082"/>
    <m/>
  </r>
  <r>
    <n v="61"/>
    <s v="CH-AMS-CS-OTR00-029-A"/>
    <x v="9"/>
    <s v="AMSA_Planificación"/>
    <s v="AMSA"/>
    <x v="0"/>
    <n v="2023"/>
    <n v="-1"/>
    <d v="2023-12-01T00:00:00"/>
    <n v="0"/>
    <n v="1"/>
    <d v="2023-12-28T00:00:00"/>
    <n v="5"/>
    <n v="45403"/>
    <n v="133"/>
    <d v="2023-12-29T00:00:00"/>
    <n v="1"/>
    <n v="45403"/>
    <n v="1"/>
    <x v="47"/>
    <n v="45403"/>
    <m/>
  </r>
  <r>
    <n v="62"/>
    <s v="CH-AMS-CS-OTR00-116-A"/>
    <x v="10"/>
    <s v="AMSA_Trade Off Tecnologico NGD"/>
    <s v="AMSA"/>
    <x v="0"/>
    <n v="2025"/>
    <n v="-1"/>
    <m/>
    <m/>
    <n v="1"/>
    <d v="2025-02-20T00:00:00"/>
    <n v="1"/>
    <n v="31900"/>
    <n v="266"/>
    <d v="2025-02-24T00:00:00"/>
    <n v="1"/>
    <n v="31885"/>
    <n v="1"/>
    <x v="39"/>
    <n v="33087.0645"/>
    <m/>
  </r>
  <r>
    <n v="63"/>
    <s v="CH-AMS-CS-OTR00-116-A"/>
    <x v="10"/>
    <s v="AMSA_Trade Off Tecnologico NGD"/>
    <s v="AMSA"/>
    <x v="0"/>
    <n v="2025"/>
    <n v="-1"/>
    <m/>
    <m/>
    <n v="1"/>
    <d v="2025-03-06T00:00:00"/>
    <n v="2"/>
    <n v="32888"/>
    <n v="283"/>
    <d v="2025-04-02T00:00:00"/>
    <n v="1"/>
    <n v="32888"/>
    <n v="1"/>
    <x v="48"/>
    <n v="32888"/>
    <m/>
  </r>
  <r>
    <n v="64"/>
    <s v="CH-AMS-CS-OTR00-116-A"/>
    <x v="10"/>
    <s v="AMSA_Trade Off Tecnologico NGD"/>
    <s v="AMSA"/>
    <x v="0"/>
    <n v="2025"/>
    <n v="-1"/>
    <m/>
    <m/>
    <n v="1"/>
    <d v="2025-03-31T00:00:00"/>
    <n v="3"/>
    <n v="30364.67"/>
    <n v="284"/>
    <d v="2025-04-02T00:00:00"/>
    <n v="1"/>
    <n v="30365"/>
    <n v="1"/>
    <x v="48"/>
    <n v="30365"/>
    <m/>
  </r>
  <r>
    <n v="65"/>
    <s v="CH-AMS-CS-OTR00-116-A"/>
    <x v="10"/>
    <s v="AMSA_Trade Off Tecnologico NGD"/>
    <s v="AMSA"/>
    <x v="0"/>
    <n v="2025"/>
    <n v="-1"/>
    <m/>
    <m/>
    <n v="1"/>
    <d v="2025-04-29T00:00:00"/>
    <n v="4"/>
    <n v="39293"/>
    <n v="315"/>
    <d v="2025-07-04T00:00:00"/>
    <n v="1"/>
    <n v="39293"/>
    <n v="1"/>
    <x v="49"/>
    <n v="39293"/>
    <m/>
  </r>
  <r>
    <n v="66"/>
    <s v="CH-AAM-CS-OTR00-146-A"/>
    <x v="11"/>
    <s v="AngloAmerican_Análisis Productividad MLB"/>
    <s v="AngloAmerican"/>
    <x v="0"/>
    <n v="2025"/>
    <n v="-1"/>
    <m/>
    <m/>
    <n v="1"/>
    <d v="2025-04-29T00:00:00"/>
    <n v="1"/>
    <n v="62417"/>
    <n v="320"/>
    <d v="2025-07-09T00:00:00"/>
    <n v="1"/>
    <n v="62417"/>
    <n v="1"/>
    <x v="50"/>
    <n v="62417"/>
    <m/>
  </r>
  <r>
    <n v="67"/>
    <s v="CH-AAM-OT-FEL03-139-A"/>
    <x v="12"/>
    <s v="AngloAmerican_Tecnología HDD"/>
    <s v="AngloAmerican"/>
    <x v="0"/>
    <n v="2025"/>
    <n v="-1"/>
    <m/>
    <m/>
    <n v="1"/>
    <d v="2025-02-20T00:00:00"/>
    <n v="1"/>
    <n v="5211"/>
    <n v="268"/>
    <d v="2025-02-28T00:00:00"/>
    <n v="1"/>
    <n v="5211"/>
    <n v="-1"/>
    <x v="51"/>
    <m/>
    <m/>
  </r>
  <r>
    <n v="68"/>
    <s v="CH-AAM-OT-FEL03-139-A"/>
    <x v="12"/>
    <s v="AngloAmerican_Tecnología HDD"/>
    <s v="AngloAmerican"/>
    <x v="0"/>
    <n v="2025"/>
    <n v="-1"/>
    <m/>
    <m/>
    <n v="1"/>
    <d v="2025-03-20T00:00:00"/>
    <n v="2"/>
    <n v="10435"/>
    <n v="282"/>
    <d v="2025-03-28T00:00:00"/>
    <n v="1"/>
    <n v="10435"/>
    <n v="-1"/>
    <x v="52"/>
    <m/>
    <m/>
  </r>
  <r>
    <n v="69"/>
    <s v="CH-AAM-OT-FEL03-139-A"/>
    <x v="12"/>
    <s v="AngloAmerican_Tecnología HDD"/>
    <s v="AngloAmerican"/>
    <x v="0"/>
    <n v="2025"/>
    <n v="-1"/>
    <m/>
    <m/>
    <n v="1"/>
    <d v="2025-04-20T00:00:00"/>
    <n v="3"/>
    <n v="38772.33"/>
    <n v="287"/>
    <d v="2025-04-21T00:00:00"/>
    <n v="1"/>
    <n v="38772"/>
    <n v="-1"/>
    <x v="53"/>
    <m/>
    <m/>
  </r>
  <r>
    <n v="70"/>
    <s v="CH-AAM-OT-FEL03-139-A"/>
    <x v="12"/>
    <s v="AngloAmerican_Tecnología HDD"/>
    <s v="AngloAmerican"/>
    <x v="0"/>
    <n v="2025"/>
    <n v="-1"/>
    <m/>
    <m/>
    <n v="1"/>
    <d v="2025-05-20T00:00:00"/>
    <n v="4"/>
    <n v="66963"/>
    <n v="305"/>
    <d v="2025-05-27T00:00:00"/>
    <n v="1"/>
    <n v="66963"/>
    <n v="-1"/>
    <x v="54"/>
    <m/>
    <m/>
  </r>
  <r>
    <n v="71"/>
    <s v="CH-AAM-OT-FEL03-139-A"/>
    <x v="12"/>
    <s v="AngloAmerican_Tecnología HDD"/>
    <s v="AngloAmerican"/>
    <x v="0"/>
    <n v="2025"/>
    <n v="-1"/>
    <m/>
    <m/>
    <n v="1"/>
    <d v="2025-06-20T00:00:00"/>
    <n v="5"/>
    <n v="17604"/>
    <n v="319"/>
    <d v="2025-07-08T00:00:00"/>
    <n v="1"/>
    <n v="17604"/>
    <n v="-1"/>
    <x v="50"/>
    <m/>
    <m/>
  </r>
  <r>
    <n v="72"/>
    <s v="CH-AAM-OT-FEL03-139-A"/>
    <x v="12"/>
    <s v="AngloAmerican_Tecnología HDD"/>
    <s v="AngloAmerican"/>
    <x v="0"/>
    <n v="2025"/>
    <n v="-1"/>
    <m/>
    <m/>
    <n v="1"/>
    <d v="2025-07-20T00:00:00"/>
    <n v="6"/>
    <n v="18605"/>
    <n v="328"/>
    <d v="2025-08-04T00:00:00"/>
    <n v="1"/>
    <n v="18605"/>
    <n v="-1"/>
    <x v="55"/>
    <m/>
    <m/>
  </r>
  <r>
    <n v="73"/>
    <s v="CH-AAM-OT-FEL03-139-A"/>
    <x v="12"/>
    <s v="AngloAmerican_Tecnología HDD"/>
    <s v="AngloAmerican"/>
    <x v="0"/>
    <n v="2025"/>
    <n v="-1"/>
    <m/>
    <m/>
    <n v="1"/>
    <d v="2025-08-20T00:00:00"/>
    <n v="7"/>
    <n v="3431"/>
    <n v="335"/>
    <d v="2025-08-27T00:00:00"/>
    <n v="1"/>
    <n v="3431"/>
    <n v="-1"/>
    <x v="56"/>
    <m/>
    <m/>
  </r>
  <r>
    <n v="74"/>
    <s v="CH-AAM-OT-FEL03-139-A"/>
    <x v="12"/>
    <s v="AngloAmerican_Tecnología HDD"/>
    <s v="AngloAmerican"/>
    <x v="0"/>
    <n v="2025"/>
    <n v="-1"/>
    <m/>
    <m/>
    <n v="-1"/>
    <d v="2025-09-23T00:00:00"/>
    <n v="8"/>
    <m/>
    <s v="No procede"/>
    <m/>
    <n v="-1"/>
    <m/>
    <n v="-1"/>
    <x v="57"/>
    <m/>
    <s v="22.409 USD"/>
  </r>
  <r>
    <n v="75"/>
    <s v="CH-AAM-OT-FEL03-139-A"/>
    <x v="12"/>
    <s v="AngloAmerican_Tecnología HDD"/>
    <s v="AngloAmerican"/>
    <x v="0"/>
    <n v="2025"/>
    <n v="-1"/>
    <m/>
    <m/>
    <n v="-1"/>
    <d v="2025-10-24T00:00:00"/>
    <n v="9"/>
    <m/>
    <s v="No procede"/>
    <m/>
    <n v="-1"/>
    <m/>
    <n v="-1"/>
    <x v="57"/>
    <m/>
    <s v="9.954 USD"/>
  </r>
  <r>
    <n v="76"/>
    <s v="BR-AUM-OU-FEL00-130-A"/>
    <x v="13"/>
    <s v="AuraMinerals_Expansión Mina Paiol OP-UG"/>
    <s v="AuraMinerals"/>
    <x v="3"/>
    <n v="2025"/>
    <n v="-1"/>
    <m/>
    <m/>
    <n v="1"/>
    <d v="2025-01-21T00:00:00"/>
    <n v="1"/>
    <n v="54144"/>
    <n v="60"/>
    <d v="2025-01-27T00:00:00"/>
    <n v="1"/>
    <n v="52931"/>
    <n v="1"/>
    <x v="58"/>
    <n v="52931.26"/>
    <m/>
  </r>
  <r>
    <n v="77"/>
    <s v="BR-AUM-OU-FEL00-130-A"/>
    <x v="13"/>
    <s v="AuraMinerals_Expansión Mina Paiol OP-UG"/>
    <s v="AuraMinerals"/>
    <x v="3"/>
    <n v="2025"/>
    <n v="-1"/>
    <m/>
    <m/>
    <n v="1"/>
    <d v="2025-02-21T00:00:00"/>
    <n v="2"/>
    <n v="58804"/>
    <n v="62"/>
    <d v="2025-03-11T00:00:00"/>
    <n v="1"/>
    <n v="54268"/>
    <n v="1"/>
    <x v="59"/>
    <n v="54268"/>
    <m/>
  </r>
  <r>
    <n v="78"/>
    <s v="BR-AUM-OU-FEL00-130-A"/>
    <x v="13"/>
    <s v="AuraMinerals_Expansión Mina Paiol OP-UG"/>
    <s v="AuraMinerals"/>
    <x v="3"/>
    <n v="2025"/>
    <n v="-1"/>
    <m/>
    <m/>
    <n v="1"/>
    <d v="2025-03-21T00:00:00"/>
    <n v="3"/>
    <n v="20260.62"/>
    <n v="66"/>
    <d v="2025-03-24T00:00:00"/>
    <n v="1"/>
    <n v="28982"/>
    <n v="1"/>
    <x v="60"/>
    <n v="28982"/>
    <m/>
  </r>
  <r>
    <n v="79"/>
    <s v="BR-AUM-OU-FEL00-130-A"/>
    <x v="13"/>
    <s v="AuraMinerals_Expansión Mina Paiol OP-UG"/>
    <s v="AuraMinerals"/>
    <x v="3"/>
    <n v="2025"/>
    <n v="-1"/>
    <m/>
    <m/>
    <n v="1"/>
    <d v="2025-04-21T00:00:00"/>
    <n v="4"/>
    <n v="46562"/>
    <n v="68"/>
    <d v="2025-05-09T00:00:00"/>
    <n v="1"/>
    <n v="41295"/>
    <n v="1"/>
    <x v="61"/>
    <n v="41295"/>
    <m/>
  </r>
  <r>
    <n v="80"/>
    <s v="BR-AUM-OU-FEL00-130-A"/>
    <x v="13"/>
    <s v="AuraMinerals_Expansión Mina Paiol OP-UG"/>
    <s v="AuraMinerals"/>
    <x v="3"/>
    <n v="2025"/>
    <n v="-1"/>
    <m/>
    <m/>
    <n v="1"/>
    <d v="2025-05-21T00:00:00"/>
    <n v="5"/>
    <n v="23599"/>
    <n v="76"/>
    <d v="2025-07-14T00:00:00"/>
    <n v="1"/>
    <n v="21546.13"/>
    <n v="1"/>
    <x v="62"/>
    <n v="21546.13"/>
    <m/>
  </r>
  <r>
    <n v="81"/>
    <s v="BR-AUM-OU-FEL00-130-A"/>
    <x v="13"/>
    <s v="AuraMinerals_Expansión Mina Paiol OP-UG"/>
    <s v="AuraMinerals"/>
    <x v="3"/>
    <n v="2025"/>
    <n v="-1"/>
    <m/>
    <m/>
    <n v="1"/>
    <d v="2025-06-21T00:00:00"/>
    <n v="6"/>
    <n v="30544"/>
    <n v="77"/>
    <d v="2025-07-14T00:00:00"/>
    <n v="1"/>
    <n v="25680.84"/>
    <n v="1"/>
    <x v="62"/>
    <n v="25680.84"/>
    <m/>
  </r>
  <r>
    <n v="82"/>
    <s v="BR-AUM-OU-FEL00-130-A"/>
    <x v="13"/>
    <s v="AuraMinerals_Expansión Mina Paiol OP-UG"/>
    <s v="AuraMinerals"/>
    <x v="3"/>
    <n v="2025"/>
    <n v="-1"/>
    <m/>
    <m/>
    <n v="1"/>
    <d v="2025-07-21T00:00:00"/>
    <n v="7"/>
    <n v="29078"/>
    <n v="83"/>
    <d v="2025-08-05T00:00:00"/>
    <n v="1"/>
    <n v="28239"/>
    <n v="1"/>
    <x v="63"/>
    <n v="28549"/>
    <m/>
  </r>
  <r>
    <n v="83"/>
    <s v="BR-AUM-OU-FEL00-130-A"/>
    <x v="13"/>
    <s v="AuraMinerals_Expansión Mina Paiol OP-UG"/>
    <s v="AuraMinerals"/>
    <x v="3"/>
    <n v="2025"/>
    <n v="-1"/>
    <m/>
    <m/>
    <n v="1"/>
    <d v="2025-08-20T00:00:00"/>
    <n v="8"/>
    <n v="19194"/>
    <n v="91"/>
    <d v="2025-09-05T00:00:00"/>
    <n v="1"/>
    <n v="20203"/>
    <n v="1"/>
    <x v="64"/>
    <n v="19014.259259259259"/>
    <m/>
  </r>
  <r>
    <n v="84"/>
    <s v="BR-AUM-OU-FEL00-130-A"/>
    <x v="13"/>
    <s v="AuraMinerals_Expansión Mina Paiol OP-UG"/>
    <s v="AuraMinerals"/>
    <x v="3"/>
    <n v="2025"/>
    <n v="-1"/>
    <m/>
    <m/>
    <n v="1"/>
    <d v="2025-09-15T00:00:00"/>
    <n v="9"/>
    <n v="16193"/>
    <n v="98"/>
    <d v="2025-10-06T00:00:00"/>
    <n v="1"/>
    <n v="17271"/>
    <n v="1"/>
    <x v="65"/>
    <n v="16041"/>
    <m/>
  </r>
  <r>
    <n v="85"/>
    <s v="BR-AUM-OU-FEL00-130-A"/>
    <x v="13"/>
    <s v="AuraMinerals_Expansión Mina Paiol OP-UG"/>
    <s v="AuraMinerals"/>
    <x v="3"/>
    <n v="2025"/>
    <n v="-1"/>
    <m/>
    <m/>
    <n v="1"/>
    <d v="2025-10-15T00:00:00"/>
    <n v="10"/>
    <n v="11621"/>
    <n v="110"/>
    <d v="2025-11-13T00:00:00"/>
    <n v="1"/>
    <n v="9828"/>
    <n v="1"/>
    <x v="66"/>
    <n v="9828"/>
    <m/>
  </r>
  <r>
    <n v="86"/>
    <s v="CH-BSA-CS-OTR00-052-A"/>
    <x v="14"/>
    <s v="Banco Santander_Yauricocha y Bolivar"/>
    <s v="Sierra metals"/>
    <x v="2"/>
    <n v="2024"/>
    <n v="1"/>
    <d v="2024-06-01T00:00:00"/>
    <n v="13339.999999999998"/>
    <n v="1"/>
    <d v="2024-06-24T00:00:00"/>
    <n v="1"/>
    <n v="88166"/>
    <s v="s/F"/>
    <d v="2024-06-24T00:00:00"/>
    <n v="1"/>
    <n v="88166"/>
    <n v="1"/>
    <x v="67"/>
    <n v="88166"/>
    <s v="BVI"/>
  </r>
  <r>
    <n v="87"/>
    <s v="CH-BHP-OP-OTR00-145-A"/>
    <x v="15"/>
    <s v="BHP_Análisis LoA 2025 - SCUT"/>
    <s v="BHP"/>
    <x v="0"/>
    <n v="2025"/>
    <n v="-1"/>
    <m/>
    <m/>
    <n v="1"/>
    <d v="2025-02-25T00:00:00"/>
    <n v="1"/>
    <n v="29950"/>
    <n v="275"/>
    <d v="2025-03-12T00:00:00"/>
    <n v="1"/>
    <n v="29950"/>
    <n v="1"/>
    <x v="68"/>
    <n v="31079.115000000002"/>
    <m/>
  </r>
  <r>
    <n v="88"/>
    <s v="CH-BHP-OP-OTR00-145-A"/>
    <x v="15"/>
    <s v="BHP_Análisis LoA 2025 - SCUT"/>
    <s v="BHP"/>
    <x v="0"/>
    <n v="2025"/>
    <n v="-1"/>
    <m/>
    <m/>
    <n v="1"/>
    <d v="2025-04-09T00:00:00"/>
    <n v="2"/>
    <n v="11230"/>
    <n v="303"/>
    <d v="2025-05-26T00:00:00"/>
    <n v="1"/>
    <n v="11230"/>
    <n v="1"/>
    <x v="69"/>
    <n v="11230"/>
    <m/>
  </r>
  <r>
    <n v="89"/>
    <s v="CH-BHP-OP-OTR00-145-A"/>
    <x v="15"/>
    <s v="BHP_Análisis LoA 2025 - SCUT"/>
    <s v="BHP"/>
    <x v="0"/>
    <n v="2025"/>
    <n v="-1"/>
    <m/>
    <m/>
    <n v="1"/>
    <d v="2025-05-30T00:00:00"/>
    <n v="3"/>
    <n v="6410"/>
    <n v="312"/>
    <d v="2025-06-09T00:00:00"/>
    <n v="1"/>
    <n v="6410"/>
    <n v="1"/>
    <x v="70"/>
    <n v="6410"/>
    <m/>
  </r>
  <r>
    <n v="90"/>
    <s v="CH-BHP-OP-FEL00-135-A"/>
    <x v="16"/>
    <s v="BHP_Medidas de Cierre Botaderos"/>
    <s v="BHP"/>
    <x v="0"/>
    <n v="2025"/>
    <n v="-1"/>
    <m/>
    <m/>
    <n v="1"/>
    <d v="2025-01-23T00:00:00"/>
    <n v="1"/>
    <n v="81369"/>
    <n v="273"/>
    <d v="2025-03-12T00:00:00"/>
    <n v="1"/>
    <n v="81369"/>
    <n v="1"/>
    <x v="68"/>
    <n v="84436.611300000004"/>
    <m/>
  </r>
  <r>
    <n v="91"/>
    <s v="CH-BHP-OP-FEL00-135-A"/>
    <x v="16"/>
    <s v="BHP_Medidas de Cierre Botaderos"/>
    <s v="BHP"/>
    <x v="0"/>
    <n v="2025"/>
    <n v="-1"/>
    <m/>
    <m/>
    <n v="1"/>
    <d v="2025-02-15T00:00:00"/>
    <n v="2"/>
    <n v="127260"/>
    <n v="274"/>
    <d v="2025-03-12T00:00:00"/>
    <n v="1"/>
    <n v="127249.49"/>
    <n v="1"/>
    <x v="68"/>
    <n v="132046.2873"/>
    <m/>
  </r>
  <r>
    <n v="92"/>
    <s v="CH-BHP-OP-FEL00-135-A"/>
    <x v="16"/>
    <s v="BHP_Medidas de Cierre Botaderos"/>
    <s v="BHP"/>
    <x v="0"/>
    <n v="2025"/>
    <n v="-1"/>
    <m/>
    <m/>
    <n v="1"/>
    <d v="2025-03-24T00:00:00"/>
    <n v="3"/>
    <n v="87736"/>
    <n v="292"/>
    <d v="2025-04-30T00:00:00"/>
    <n v="1"/>
    <n v="87736"/>
    <n v="1"/>
    <x v="71"/>
    <n v="87736"/>
    <m/>
  </r>
  <r>
    <n v="93"/>
    <s v="CH-BHP-OP-FEL00-135-A"/>
    <x v="16"/>
    <s v="BHP_Medidas de Cierre Botaderos"/>
    <s v="BHP"/>
    <x v="0"/>
    <n v="2025"/>
    <n v="-1"/>
    <m/>
    <m/>
    <n v="1"/>
    <d v="2025-04-24T00:00:00"/>
    <n v="4"/>
    <n v="70761"/>
    <n v="307"/>
    <d v="2025-05-28T00:00:00"/>
    <n v="1"/>
    <n v="70761"/>
    <n v="1"/>
    <x v="72"/>
    <n v="70761"/>
    <m/>
  </r>
  <r>
    <n v="94"/>
    <s v="CH-BHP-OP-FEL00-135-A"/>
    <x v="16"/>
    <s v="BHP_Medidas de Cierre Botaderos"/>
    <s v="BHP"/>
    <x v="0"/>
    <n v="2025"/>
    <n v="-1"/>
    <m/>
    <m/>
    <n v="1"/>
    <d v="2025-05-26T00:00:00"/>
    <n v="5"/>
    <n v="196358"/>
    <n v="318"/>
    <d v="2025-07-08T00:00:00"/>
    <n v="1"/>
    <n v="196358"/>
    <n v="1"/>
    <x v="73"/>
    <n v="196358"/>
    <m/>
  </r>
  <r>
    <n v="95"/>
    <s v="CH-BHP-OP-FEL00-135-A"/>
    <x v="16"/>
    <s v="BHP_Medidas de Cierre Botaderos"/>
    <s v="BHP"/>
    <x v="0"/>
    <n v="2025"/>
    <n v="-1"/>
    <m/>
    <m/>
    <n v="1"/>
    <d v="2025-06-26T00:00:00"/>
    <n v="6"/>
    <n v="137233"/>
    <n v="323"/>
    <d v="2025-07-24T00:00:00"/>
    <n v="1"/>
    <n v="137233"/>
    <n v="1"/>
    <x v="74"/>
    <n v="137233"/>
    <m/>
  </r>
  <r>
    <n v="96"/>
    <s v="CH-BHP-OP-FEL00-135-A"/>
    <x v="16"/>
    <s v="BHP_Medidas de Cierre Botaderos"/>
    <s v="BHP"/>
    <x v="0"/>
    <n v="2025"/>
    <n v="-1"/>
    <m/>
    <m/>
    <n v="1"/>
    <d v="2025-07-26T00:00:00"/>
    <n v="7"/>
    <n v="159375.44"/>
    <n v="338"/>
    <d v="2025-09-08T00:00:00"/>
    <n v="1"/>
    <n v="159375.44"/>
    <n v="1"/>
    <x v="75"/>
    <n v="159375.44"/>
    <m/>
  </r>
  <r>
    <n v="97"/>
    <s v="CH-BHP-OP-FEL00-135-A"/>
    <x v="16"/>
    <s v="BHP_Medidas de Cierre Botaderos"/>
    <s v="BHP"/>
    <x v="0"/>
    <n v="2025"/>
    <n v="-1"/>
    <m/>
    <m/>
    <n v="1"/>
    <d v="2025-08-20T00:00:00"/>
    <n v="8"/>
    <n v="4640"/>
    <n v="356"/>
    <d v="2025-10-30T00:00:00"/>
    <n v="1"/>
    <n v="4640"/>
    <n v="1"/>
    <x v="76"/>
    <n v="4640"/>
    <m/>
  </r>
  <r>
    <n v="98"/>
    <s v="CH-BHP-OP-FEL00-135-A"/>
    <x v="16"/>
    <s v="BHP_Medidas de Cierre Botaderos"/>
    <s v="BHP"/>
    <x v="0"/>
    <n v="2025"/>
    <n v="-1"/>
    <m/>
    <m/>
    <n v="1"/>
    <d v="2025-09-25T00:00:00"/>
    <n v="9"/>
    <n v="40120"/>
    <n v="358"/>
    <d v="2025-10-30T00:00:00"/>
    <n v="1"/>
    <n v="38602"/>
    <n v="1"/>
    <x v="77"/>
    <n v="38602"/>
    <m/>
  </r>
  <r>
    <n v="99"/>
    <s v="CH-BHP-OP-FEL00-103-A"/>
    <x v="17"/>
    <s v="BHP_Plan e Iniciativas LoA25-26"/>
    <s v="BHP"/>
    <x v="0"/>
    <n v="2024"/>
    <n v="-1"/>
    <m/>
    <m/>
    <n v="1"/>
    <d v="2024-08-28T00:00:00"/>
    <n v="1"/>
    <n v="24680"/>
    <n v="212"/>
    <d v="2024-09-11T00:00:00"/>
    <n v="1"/>
    <n v="24680"/>
    <n v="1"/>
    <x v="78"/>
    <n v="24680"/>
    <m/>
  </r>
  <r>
    <n v="100"/>
    <s v="CH-BHP-OP-FEL00-103-A"/>
    <x v="17"/>
    <s v="BHP_Plan e Iniciativas LoA25-26"/>
    <s v="BHP"/>
    <x v="0"/>
    <n v="2024"/>
    <n v="-1"/>
    <m/>
    <m/>
    <n v="1"/>
    <d v="2024-09-26T00:00:00"/>
    <n v="2"/>
    <n v="13842"/>
    <n v="224"/>
    <d v="2024-10-14T00:00:00"/>
    <n v="1"/>
    <n v="13842"/>
    <n v="1"/>
    <x v="79"/>
    <n v="13842"/>
    <m/>
  </r>
  <r>
    <n v="101"/>
    <s v="CH-BHP-OP-FEL00-103-A"/>
    <x v="17"/>
    <s v="BHP_Plan e Iniciativas LoA25-26"/>
    <s v="BHP"/>
    <x v="0"/>
    <n v="2024"/>
    <n v="-1"/>
    <m/>
    <m/>
    <n v="1"/>
    <d v="2024-10-24T00:00:00"/>
    <n v="3"/>
    <n v="7683"/>
    <n v="239"/>
    <d v="2024-11-27T00:00:00"/>
    <n v="1"/>
    <n v="7683"/>
    <n v="1"/>
    <x v="80"/>
    <n v="7683"/>
    <m/>
  </r>
  <r>
    <n v="102"/>
    <s v="CH-BHP-OP-OTR00-140-A"/>
    <x v="18"/>
    <s v="BHP_Spence 2YB Analisys"/>
    <s v="BHP"/>
    <x v="0"/>
    <n v="2025"/>
    <n v="-1"/>
    <m/>
    <m/>
    <n v="1"/>
    <d v="2025-02-25T00:00:00"/>
    <n v="1"/>
    <n v="37400"/>
    <n v="278"/>
    <d v="2025-03-20T00:00:00"/>
    <n v="1"/>
    <n v="37400"/>
    <n v="1"/>
    <x v="51"/>
    <n v="38176.983"/>
    <m/>
  </r>
  <r>
    <n v="103"/>
    <s v="CH-BHP-UG-FEL01-074-A"/>
    <x v="19"/>
    <s v="BHP_Tunel Exploratorio"/>
    <s v="BHP"/>
    <x v="0"/>
    <n v="2024"/>
    <n v="-1"/>
    <m/>
    <m/>
    <n v="1"/>
    <d v="2024-05-29T00:00:00"/>
    <n v="1"/>
    <n v="35036"/>
    <n v="293"/>
    <d v="2025-04-30T00:00:00"/>
    <n v="1"/>
    <n v="35036"/>
    <n v="1"/>
    <x v="71"/>
    <n v="35036"/>
    <m/>
  </r>
  <r>
    <n v="104"/>
    <s v="CH-BHP-UG-FEL01-074-A"/>
    <x v="19"/>
    <s v="BHP_Tunel Exploratorio"/>
    <s v="BHP"/>
    <x v="0"/>
    <n v="2025"/>
    <n v="-1"/>
    <m/>
    <m/>
    <n v="1"/>
    <d v="2025-04-29T00:00:00"/>
    <n v="2"/>
    <n v="48790"/>
    <n v="296"/>
    <d v="2025-05-06T00:00:00"/>
    <n v="1"/>
    <n v="48790"/>
    <n v="1"/>
    <x v="81"/>
    <n v="48790"/>
    <m/>
  </r>
  <r>
    <n v="105"/>
    <s v="CH-BHP-UG-FEL01-074-A"/>
    <x v="19"/>
    <s v="BHP_Tunel Exploratorio"/>
    <s v="BHP"/>
    <x v="0"/>
    <n v="2025"/>
    <n v="-1"/>
    <m/>
    <m/>
    <n v="1"/>
    <d v="2025-05-26T00:00:00"/>
    <n v="3"/>
    <n v="32748"/>
    <n v="310"/>
    <d v="2025-06-04T00:00:00"/>
    <n v="1"/>
    <n v="32748"/>
    <n v="1"/>
    <x v="82"/>
    <n v="32748"/>
    <m/>
  </r>
  <r>
    <n v="106"/>
    <s v="CH-BHP-UG-FEL01-074-A"/>
    <x v="19"/>
    <s v="BHP_Tunel Exploratorio"/>
    <s v="BHP"/>
    <x v="0"/>
    <n v="2025"/>
    <n v="-1"/>
    <m/>
    <m/>
    <n v="1"/>
    <d v="2025-06-26T00:00:00"/>
    <n v="4"/>
    <n v="40426"/>
    <n v="316"/>
    <d v="2025-07-04T00:00:00"/>
    <n v="1"/>
    <n v="40426"/>
    <n v="1"/>
    <x v="83"/>
    <n v="40426"/>
    <m/>
  </r>
  <r>
    <n v="107"/>
    <s v="CH-BHP-UG-FEL01-074-A"/>
    <x v="19"/>
    <s v="BHP_Tunel Exploratorio"/>
    <s v="BHP"/>
    <x v="0"/>
    <n v="2025"/>
    <n v="-1"/>
    <m/>
    <m/>
    <n v="1"/>
    <d v="2025-07-26T00:00:00"/>
    <n v="5"/>
    <n v="30025"/>
    <n v="330"/>
    <d v="2025-08-08T00:00:00"/>
    <n v="1"/>
    <n v="30025"/>
    <n v="1"/>
    <x v="84"/>
    <n v="30025"/>
    <m/>
  </r>
  <r>
    <n v="108"/>
    <s v="CH-BHP-UG-FEL01-074-A"/>
    <x v="19"/>
    <s v="BHP_Tunel Exploratorio"/>
    <s v="BHP"/>
    <x v="0"/>
    <n v="2025"/>
    <n v="-1"/>
    <m/>
    <m/>
    <n v="1"/>
    <d v="2025-08-25T00:00:00"/>
    <n v="6"/>
    <n v="11895"/>
    <n v="339"/>
    <d v="2025-09-08T00:00:00"/>
    <n v="1"/>
    <n v="11895"/>
    <n v="1"/>
    <x v="75"/>
    <n v="11895"/>
    <m/>
  </r>
  <r>
    <n v="109"/>
    <s v="CH-BSC-UG-OTR00-073-A"/>
    <x v="20"/>
    <s v="Boston_Inmaculada Hochschild"/>
    <s v="CEOM"/>
    <x v="0"/>
    <n v="2024"/>
    <n v="1"/>
    <d v="2024-03-01T00:00:00"/>
    <n v="50000"/>
    <n v="1"/>
    <d v="2024-03-07T00:00:00"/>
    <n v="1"/>
    <n v="54706"/>
    <n v="174"/>
    <d v="2024-03-21T00:00:00"/>
    <n v="1"/>
    <n v="54706"/>
    <n v="1"/>
    <x v="85"/>
    <n v="54706"/>
    <m/>
  </r>
  <r>
    <n v="110"/>
    <s v="CH-BSC-UG-OTR00-082-A"/>
    <x v="21"/>
    <s v="Boston_Inmaculada Hochschild II"/>
    <s v="CEOM"/>
    <x v="0"/>
    <n v="2024"/>
    <n v="-1"/>
    <m/>
    <m/>
    <n v="1"/>
    <d v="2024-07-25T00:00:00"/>
    <n v="1"/>
    <n v="40000"/>
    <n v="1"/>
    <d v="2024-09-09T00:00:00"/>
    <n v="1"/>
    <n v="40000"/>
    <n v="1"/>
    <x v="86"/>
    <n v="40000"/>
    <s v="Facturado por REDTEC"/>
  </r>
  <r>
    <n v="111"/>
    <s v="CH-LUN-CS-OTR00-004-A"/>
    <x v="22"/>
    <s v="Candelaria Estandar"/>
    <s v="Lundin"/>
    <x v="0"/>
    <n v="2023"/>
    <n v="-1"/>
    <m/>
    <m/>
    <n v="1"/>
    <d v="2023-03-24T00:00:00"/>
    <n v="1"/>
    <n v="88780"/>
    <n v="69"/>
    <d v="2023-05-15T00:00:00"/>
    <n v="1"/>
    <n v="90837"/>
    <n v="1"/>
    <x v="87"/>
    <n v="90837"/>
    <m/>
  </r>
  <r>
    <n v="112"/>
    <s v="CH-LUN-CS-OTR00-004-A"/>
    <x v="22"/>
    <s v="Candelaria Estandar"/>
    <s v="Lundin"/>
    <x v="0"/>
    <n v="2023"/>
    <n v="-1"/>
    <m/>
    <m/>
    <n v="1"/>
    <d v="2023-04-21T00:00:00"/>
    <n v="2"/>
    <n v="28476"/>
    <n v="84"/>
    <d v="2023-06-30T00:00:00"/>
    <n v="1"/>
    <n v="28476"/>
    <n v="1"/>
    <x v="12"/>
    <n v="28476"/>
    <m/>
  </r>
  <r>
    <n v="113"/>
    <s v="CH-LUN-CS-OTR00-004-A"/>
    <x v="22"/>
    <s v="Candelaria Estandar"/>
    <s v="Lundin"/>
    <x v="0"/>
    <n v="2023"/>
    <n v="-1"/>
    <m/>
    <m/>
    <n v="1"/>
    <d v="2023-05-21T00:00:00"/>
    <n v="3"/>
    <n v="8190"/>
    <n v="85"/>
    <d v="2023-06-30T00:00:00"/>
    <n v="1"/>
    <n v="8190"/>
    <n v="1"/>
    <x v="12"/>
    <n v="8190"/>
    <s v="Resuelto"/>
  </r>
  <r>
    <n v="114"/>
    <s v="CH-LUN-CS-OTR00-004-A"/>
    <x v="22"/>
    <s v="Candelaria Estandar"/>
    <s v="Lundin"/>
    <x v="0"/>
    <n v="2023"/>
    <n v="-1"/>
    <m/>
    <m/>
    <n v="1"/>
    <d v="2023-07-25T00:00:00"/>
    <n v="4"/>
    <n v="13446"/>
    <n v="114"/>
    <d v="2023-10-05T00:00:00"/>
    <n v="1"/>
    <n v="13446"/>
    <n v="1"/>
    <x v="88"/>
    <n v="13446"/>
    <m/>
  </r>
  <r>
    <n v="115"/>
    <s v="CH-CCO-OP-FEL00-078-A"/>
    <x v="23"/>
    <s v="Capstone Copper_Estimacion confiabilidad de planes"/>
    <s v="Capstone Copper"/>
    <x v="0"/>
    <n v="2024"/>
    <n v="-1"/>
    <m/>
    <m/>
    <n v="1"/>
    <d v="2024-07-25T00:00:00"/>
    <n v="1"/>
    <n v="62422"/>
    <n v="204"/>
    <d v="2024-08-16T00:00:00"/>
    <n v="1"/>
    <n v="61918"/>
    <n v="1"/>
    <x v="89"/>
    <n v="61918"/>
    <m/>
  </r>
  <r>
    <n v="116"/>
    <s v="CH-CCO-OP-FEL00-078-A"/>
    <x v="23"/>
    <s v="Capstone Copper_Estimacion confiabilidad de planes"/>
    <s v="Capstone Copper"/>
    <x v="0"/>
    <n v="2024"/>
    <n v="-1"/>
    <m/>
    <m/>
    <n v="1"/>
    <d v="2024-08-26T00:00:00"/>
    <n v="2"/>
    <n v="82409"/>
    <n v="217"/>
    <d v="2024-09-24T00:00:00"/>
    <n v="1"/>
    <n v="82408"/>
    <n v="1"/>
    <x v="90"/>
    <n v="82408"/>
    <m/>
  </r>
  <r>
    <n v="117"/>
    <s v="CH-CCO-OP-FEL00-078-A"/>
    <x v="23"/>
    <s v="Capstone Copper_Estimacion confiabilidad de planes"/>
    <s v="Capstone Copper"/>
    <x v="0"/>
    <n v="2024"/>
    <n v="-1"/>
    <m/>
    <m/>
    <n v="1"/>
    <d v="2024-09-26T00:00:00"/>
    <n v="3"/>
    <n v="37000"/>
    <n v="235"/>
    <d v="2024-11-19T00:00:00"/>
    <n v="1"/>
    <n v="37255"/>
    <n v="1"/>
    <x v="91"/>
    <n v="38659.513500000001"/>
    <m/>
  </r>
  <r>
    <n v="118"/>
    <s v="CH-CCO-OP-FEL00-078-A"/>
    <x v="23"/>
    <s v="Capstone Copper_Estimacion confiabilidad de planes"/>
    <s v="Capstone Copper"/>
    <x v="0"/>
    <n v="2024"/>
    <n v="-1"/>
    <m/>
    <m/>
    <n v="1"/>
    <d v="2024-10-24T00:00:00"/>
    <n v="4"/>
    <n v="12795"/>
    <n v="236"/>
    <d v="2024-11-19T00:00:00"/>
    <n v="1"/>
    <n v="12813"/>
    <n v="1"/>
    <x v="91"/>
    <n v="13296.0501"/>
    <m/>
  </r>
  <r>
    <n v="119"/>
    <s v="CH-CCO-OP-FEL00-078-A"/>
    <x v="23"/>
    <s v="Capstone Copper_Estimacion confiabilidad de planes"/>
    <s v="Capstone Copper"/>
    <x v="4"/>
    <n v="2024"/>
    <n v="-1"/>
    <m/>
    <m/>
    <n v="1"/>
    <d v="2024-11-26T00:00:00"/>
    <n v="5"/>
    <n v="45478"/>
    <s v="s/F"/>
    <d v="2025-01-08T00:00:00"/>
    <n v="1"/>
    <n v="45478"/>
    <n v="1"/>
    <x v="92"/>
    <n v="45478"/>
    <s v="BVI"/>
  </r>
  <r>
    <n v="120"/>
    <s v="CH-CCO-OP-FEL00-078-A"/>
    <x v="23"/>
    <s v="Capstone Copper_Estimacion confiabilidad de planes"/>
    <s v="Capstone Copper"/>
    <x v="4"/>
    <n v="2024"/>
    <n v="-1"/>
    <m/>
    <m/>
    <n v="1"/>
    <d v="2024-12-26T00:00:00"/>
    <n v="6"/>
    <n v="21682"/>
    <s v="s/F"/>
    <d v="2025-01-08T00:00:00"/>
    <n v="1"/>
    <n v="21682"/>
    <n v="1"/>
    <x v="93"/>
    <n v="21682"/>
    <s v="BVI"/>
  </r>
  <r>
    <n v="121"/>
    <s v="CH-CCO-CS-FEL00-117-A"/>
    <x v="24"/>
    <s v="Capstone Copper_Estudio Sierra Norte"/>
    <s v="Capstone Copper"/>
    <x v="0"/>
    <n v="2024"/>
    <n v="-1"/>
    <m/>
    <m/>
    <n v="1"/>
    <d v="2024-11-23T00:00:00"/>
    <n v="1"/>
    <n v="31291"/>
    <n v="247"/>
    <d v="2024-12-27T00:00:00"/>
    <n v="1"/>
    <n v="31291"/>
    <n v="1"/>
    <x v="94"/>
    <n v="33657.799500000001"/>
    <m/>
  </r>
  <r>
    <n v="122"/>
    <s v="CH-CCO-CS-FEL00-117-A"/>
    <x v="24"/>
    <s v="Capstone Copper_Estudio Sierra Norte"/>
    <s v="Capstone Copper"/>
    <x v="0"/>
    <n v="2024"/>
    <n v="-1"/>
    <m/>
    <m/>
    <n v="1"/>
    <d v="2024-12-23T00:00:00"/>
    <n v="2"/>
    <n v="128932"/>
    <n v="248"/>
    <d v="2024-12-27T00:00:00"/>
    <n v="1"/>
    <n v="128932"/>
    <n v="1"/>
    <x v="94"/>
    <n v="138684.45420000001"/>
    <m/>
  </r>
  <r>
    <n v="123"/>
    <s v="CH-CCO-CS-FEL00-117-A"/>
    <x v="24"/>
    <s v="Capstone Copper_Estudio Sierra Norte"/>
    <s v="Capstone Copper"/>
    <x v="0"/>
    <n v="2025"/>
    <n v="-1"/>
    <m/>
    <m/>
    <n v="1"/>
    <d v="2025-01-28T00:00:00"/>
    <n v="3"/>
    <n v="31129"/>
    <n v="298"/>
    <d v="2025-05-08T00:00:00"/>
    <n v="1"/>
    <n v="31129"/>
    <n v="1"/>
    <x v="41"/>
    <n v="31129"/>
    <m/>
  </r>
  <r>
    <n v="124"/>
    <s v="CH-CCO-CS-FEL00-117-A"/>
    <x v="24"/>
    <s v="Capstone Copper_Estudio Sierra Norte"/>
    <s v="Capstone Copper"/>
    <x v="0"/>
    <n v="2025"/>
    <n v="-1"/>
    <m/>
    <m/>
    <n v="1"/>
    <d v="2025-02-25T00:00:00"/>
    <n v="4"/>
    <n v="4648"/>
    <n v="299"/>
    <d v="2025-05-08T00:00:00"/>
    <n v="1"/>
    <n v="4648"/>
    <n v="1"/>
    <x v="41"/>
    <n v="4648"/>
    <m/>
  </r>
  <r>
    <n v="125"/>
    <s v="CH-CCO-CS-OTR00-159-A"/>
    <x v="25"/>
    <s v="Capstone Copper_Production at Risk"/>
    <s v="Capstone Copper"/>
    <x v="0"/>
    <n v="2025"/>
    <n v="-1"/>
    <m/>
    <m/>
    <n v="1"/>
    <d v="2025-08-29T00:00:00"/>
    <n v="1"/>
    <n v="39515"/>
    <s v="341 / 342"/>
    <d v="2025-09-25T00:00:00"/>
    <n v="1"/>
    <n v="39515"/>
    <n v="1"/>
    <x v="2"/>
    <n v="39515"/>
    <s v="Segmentados en MV y MB"/>
  </r>
  <r>
    <n v="126"/>
    <s v="CH-CCO-CS-OTR00-159-A"/>
    <x v="25"/>
    <s v="Capstone Copper_Production at Risk"/>
    <s v="Capstone Copper"/>
    <x v="0"/>
    <n v="2025"/>
    <n v="-1"/>
    <m/>
    <m/>
    <n v="1"/>
    <d v="2025-09-25T00:00:00"/>
    <n v="2"/>
    <n v="48782"/>
    <s v="349 / 350"/>
    <d v="2025-10-17T00:00:00"/>
    <n v="1"/>
    <n v="27100"/>
    <n v="1"/>
    <x v="95"/>
    <n v="33550"/>
    <s v="Pagadas 349 y 350"/>
  </r>
  <r>
    <n v="127"/>
    <s v="CH-CCO-CS-OTR00-159-A"/>
    <x v="25"/>
    <s v="Capstone Copper_Production at Risk"/>
    <s v="Capstone Copper"/>
    <x v="0"/>
    <n v="2025"/>
    <n v="-1"/>
    <m/>
    <m/>
    <n v="1"/>
    <d v="2025-10-25T00:00:00"/>
    <n v="3"/>
    <n v="59984"/>
    <s v="365 / 366"/>
    <d v="2025-12-02T00:00:00"/>
    <n v="1"/>
    <n v="28270"/>
    <n v="1"/>
    <x v="96"/>
    <n v="28270"/>
    <s v="Pendiente la F 365"/>
  </r>
  <r>
    <m/>
    <s v="CH-CCO-CS-OTR00-159-A"/>
    <x v="25"/>
    <s v="Capstone Copper_Production at Risk"/>
    <s v="Capstone Copper"/>
    <x v="0"/>
    <n v="2025"/>
    <n v="-1"/>
    <m/>
    <m/>
    <n v="-1"/>
    <m/>
    <m/>
    <m/>
    <n v="365"/>
    <d v="2025-12-02T00:00:00"/>
    <n v="1"/>
    <n v="15496"/>
    <n v="1"/>
    <x v="97"/>
    <n v="15496"/>
    <m/>
  </r>
  <r>
    <n v="128"/>
    <s v="BR-CBM-CS-OTR00-164-A"/>
    <x v="26"/>
    <s v="CBMM_SIMPLAN Initiatives Evaluation"/>
    <s v="CBMM"/>
    <x v="3"/>
    <n v="2025"/>
    <n v="-1"/>
    <m/>
    <m/>
    <n v="1"/>
    <d v="2025-09-15T00:00:00"/>
    <n v="1"/>
    <n v="28949"/>
    <n v="97"/>
    <d v="2025-09-24T00:00:00"/>
    <n v="1"/>
    <n v="28366.788990825688"/>
    <n v="1"/>
    <x v="98"/>
    <n v="27222"/>
    <m/>
  </r>
  <r>
    <n v="129"/>
    <s v="BR-CBM-CS-OTR00-164-A"/>
    <x v="26"/>
    <s v="CBMM_SIMPLAN Initiatives Evaluation"/>
    <s v="CBMM"/>
    <x v="3"/>
    <n v="2025"/>
    <n v="-1"/>
    <m/>
    <m/>
    <n v="1"/>
    <d v="2025-10-15T00:00:00"/>
    <n v="2"/>
    <n v="31572"/>
    <n v="109"/>
    <d v="2025-10-17T00:00:00"/>
    <n v="1"/>
    <n v="29686"/>
    <n v="1"/>
    <x v="99"/>
    <n v="28966"/>
    <s v="Factura reemplaza la 109 por rechazo. La nueva se emite con fecha 03-11-25"/>
  </r>
  <r>
    <n v="130"/>
    <s v="BR-CBM-CS-OTR00-164-A"/>
    <x v="26"/>
    <s v="CBMM_SIMPLAN Initiatives Evaluation"/>
    <s v="CBMM"/>
    <x v="3"/>
    <n v="2025"/>
    <n v="-1"/>
    <m/>
    <m/>
    <n v="1"/>
    <d v="2025-11-15T00:00:00"/>
    <n v="3"/>
    <n v="11994"/>
    <n v="112"/>
    <d v="2025-11-17T00:00:00"/>
    <n v="1"/>
    <n v="11994"/>
    <n v="-1"/>
    <x v="100"/>
    <n v="11994"/>
    <m/>
  </r>
  <r>
    <n v="131"/>
    <s v="BR-CBM-CS-OTR00-164-A"/>
    <x v="26"/>
    <s v="CBMM_SIMPLAN Initiatives Evaluation"/>
    <s v="CBMM"/>
    <x v="3"/>
    <n v="2026"/>
    <n v="-1"/>
    <m/>
    <m/>
    <n v="1"/>
    <d v="2026-01-20T00:00:00"/>
    <n v="4"/>
    <n v="7778"/>
    <n v="1"/>
    <d v="2026-01-22T00:00:00"/>
    <n v="1"/>
    <n v="7778"/>
    <n v="-1"/>
    <x v="101"/>
    <n v="7778"/>
    <m/>
  </r>
  <r>
    <n v="132"/>
    <s v="PE-CMC-CD-OTR00-118-A"/>
    <x v="27"/>
    <s v="CMC_Capacitación DBS y SIMPLAN"/>
    <s v="CMC"/>
    <x v="2"/>
    <n v="2024"/>
    <n v="-1"/>
    <m/>
    <m/>
    <n v="1"/>
    <d v="2024-11-23T00:00:00"/>
    <n v="1"/>
    <n v="12843"/>
    <s v="E001-280"/>
    <d v="2024-12-06T00:00:00"/>
    <n v="1"/>
    <n v="12843"/>
    <n v="1"/>
    <x v="102"/>
    <n v="13240"/>
    <m/>
  </r>
  <r>
    <n v="133"/>
    <s v="PE-CMC-CD-OTR00-118-A"/>
    <x v="27"/>
    <s v="CMC_Capacitación DBS y SIMPLAN"/>
    <s v="CMC"/>
    <x v="2"/>
    <n v="2024"/>
    <n v="-1"/>
    <m/>
    <m/>
    <n v="1"/>
    <d v="2024-12-23T00:00:00"/>
    <n v="2"/>
    <n v="6857"/>
    <s v="E001-286"/>
    <d v="2024-12-27T00:00:00"/>
    <n v="1"/>
    <n v="6857"/>
    <n v="1"/>
    <x v="103"/>
    <n v="7216"/>
    <m/>
  </r>
  <r>
    <n v="134"/>
    <s v="CH-CMP-OU-FEL2A-033-A"/>
    <x v="28"/>
    <s v="FEL 2A"/>
    <s v="CMP"/>
    <x v="0"/>
    <n v="2022"/>
    <n v="-1"/>
    <m/>
    <m/>
    <n v="1"/>
    <d v="2022-11-21T00:00:00"/>
    <n v="1"/>
    <n v="33776"/>
    <n v="494"/>
    <d v="2022-12-06T00:00:00"/>
    <n v="1"/>
    <n v="33776"/>
    <n v="1"/>
    <x v="104"/>
    <n v="32087"/>
    <m/>
  </r>
  <r>
    <n v="135"/>
    <s v="CH-CMP-OU-FEL2A-033-A"/>
    <x v="28"/>
    <s v="FEL 2A"/>
    <s v="CMP"/>
    <x v="0"/>
    <n v="2022"/>
    <n v="-1"/>
    <m/>
    <m/>
    <n v="1"/>
    <d v="2022-12-21T00:00:00"/>
    <n v="2"/>
    <n v="40354.33"/>
    <n v="40"/>
    <d v="2023-01-06T00:00:00"/>
    <n v="1"/>
    <n v="40354"/>
    <n v="1"/>
    <x v="19"/>
    <n v="38336.299999999996"/>
    <m/>
  </r>
  <r>
    <n v="136"/>
    <s v="CH-CMP-OU-FEL2A-033-A"/>
    <x v="28"/>
    <s v="FEL 2A"/>
    <s v="CMP"/>
    <x v="0"/>
    <n v="2023"/>
    <n v="-1"/>
    <m/>
    <m/>
    <n v="1"/>
    <d v="2023-01-21T00:00:00"/>
    <n v="3"/>
    <n v="49647.786124999999"/>
    <n v="45"/>
    <d v="2023-02-07T00:00:00"/>
    <n v="1"/>
    <n v="49647.786124999999"/>
    <n v="1"/>
    <x v="20"/>
    <n v="47165.39681875"/>
    <m/>
  </r>
  <r>
    <n v="137"/>
    <s v="CH-CMP-OU-FEL2A-033-A"/>
    <x v="28"/>
    <s v="FEL 2A"/>
    <s v="CMP"/>
    <x v="0"/>
    <n v="2023"/>
    <n v="-1"/>
    <m/>
    <m/>
    <n v="1"/>
    <d v="2023-02-21T00:00:00"/>
    <n v="4"/>
    <n v="96769.512499999997"/>
    <n v="56"/>
    <d v="2023-03-09T00:00:00"/>
    <n v="1"/>
    <n v="96769.512499999997"/>
    <n v="1"/>
    <x v="21"/>
    <n v="91931.036874999991"/>
    <m/>
  </r>
  <r>
    <n v="138"/>
    <s v="CH-CMP-OU-FEL2A-033-A"/>
    <x v="28"/>
    <s v="FEL 2A"/>
    <s v="CMP"/>
    <x v="0"/>
    <n v="2023"/>
    <n v="-1"/>
    <m/>
    <m/>
    <n v="1"/>
    <d v="2023-03-21T00:00:00"/>
    <n v="5"/>
    <n v="78184.511249999996"/>
    <n v="61"/>
    <d v="2023-04-05T00:00:00"/>
    <n v="1"/>
    <n v="78184.511249999996"/>
    <n v="1"/>
    <x v="10"/>
    <n v="74275.2856875"/>
    <m/>
  </r>
  <r>
    <n v="139"/>
    <s v="CH-CMP-OU-FEL2A-033-A"/>
    <x v="28"/>
    <s v="FEL 2A"/>
    <s v="CMP"/>
    <x v="0"/>
    <n v="2023"/>
    <n v="-1"/>
    <m/>
    <m/>
    <n v="1"/>
    <d v="2023-04-21T00:00:00"/>
    <n v="6"/>
    <n v="58833"/>
    <n v="66"/>
    <d v="2023-05-09T00:00:00"/>
    <n v="1"/>
    <n v="59657.62"/>
    <n v="1"/>
    <x v="23"/>
    <n v="56674.739000000001"/>
    <m/>
  </r>
  <r>
    <n v="140"/>
    <s v="CH-CMP-OU-FEL2A-033-A"/>
    <x v="28"/>
    <s v="FEL 2A"/>
    <s v="CMP"/>
    <x v="0"/>
    <n v="2023"/>
    <n v="-1"/>
    <m/>
    <m/>
    <n v="1"/>
    <d v="2023-05-21T00:00:00"/>
    <n v="7"/>
    <n v="99216.85"/>
    <n v="79"/>
    <d v="2023-06-06T00:00:00"/>
    <n v="1"/>
    <n v="95359.006693910298"/>
    <n v="1"/>
    <x v="105"/>
    <n v="90591.056359214781"/>
    <s v="Se genera nota de credito por factura 78 (presentaba un error)"/>
  </r>
  <r>
    <n v="141"/>
    <s v="CH-CMP-OU-FEL2A-033-A"/>
    <x v="28"/>
    <s v="FEL 2A"/>
    <s v="CMP"/>
    <x v="0"/>
    <n v="2023"/>
    <n v="-1"/>
    <m/>
    <m/>
    <n v="1"/>
    <d v="2023-06-21T00:00:00"/>
    <n v="8"/>
    <n v="24676"/>
    <n v="89"/>
    <d v="2023-07-07T00:00:00"/>
    <n v="1"/>
    <n v="24676"/>
    <n v="1"/>
    <x v="12"/>
    <n v="23442.199999999997"/>
    <m/>
  </r>
  <r>
    <n v="142"/>
    <s v="CH-CMP-OU-FEL2A-033-A"/>
    <x v="28"/>
    <s v="FEL 2A"/>
    <s v="CMP"/>
    <x v="0"/>
    <n v="2023"/>
    <n v="-1"/>
    <m/>
    <m/>
    <n v="1"/>
    <d v="2023-07-25T00:00:00"/>
    <n v="9"/>
    <n v="33700.07"/>
    <n v="101"/>
    <d v="2023-08-09T00:00:00"/>
    <n v="1"/>
    <n v="33700"/>
    <n v="1"/>
    <x v="13"/>
    <n v="32015"/>
    <m/>
  </r>
  <r>
    <n v="143"/>
    <s v="CH-CMP-OU-FEL2A-033-A"/>
    <x v="28"/>
    <s v="FEL 2A"/>
    <s v="CMP"/>
    <x v="0"/>
    <n v="2023"/>
    <n v="-1"/>
    <m/>
    <m/>
    <n v="1"/>
    <d v="2023-08-25T00:00:00"/>
    <n v="10"/>
    <n v="10515"/>
    <n v="102"/>
    <d v="2023-08-31T00:00:00"/>
    <n v="1"/>
    <n v="10515"/>
    <n v="1"/>
    <x v="106"/>
    <n v="9989.25"/>
    <m/>
  </r>
  <r>
    <n v="144"/>
    <s v="CH-CMP-OU-FEL2A-033-A"/>
    <x v="28"/>
    <s v="FEL 2A"/>
    <s v="CMP"/>
    <x v="0"/>
    <n v="2023"/>
    <n v="1"/>
    <d v="2023-09-01T00:00:00"/>
    <n v="45078"/>
    <n v="1"/>
    <d v="2023-09-25T00:00:00"/>
    <n v="11"/>
    <n v="41488"/>
    <n v="113"/>
    <d v="2023-10-03T00:00:00"/>
    <n v="1"/>
    <n v="41488"/>
    <n v="1"/>
    <x v="107"/>
    <n v="39413.599999999999"/>
    <s v="Contractual + Adicionales Update modelos"/>
  </r>
  <r>
    <n v="145"/>
    <s v="CH-CMP-OU-FEL2A-033-A"/>
    <x v="28"/>
    <s v="FEL 2A"/>
    <s v="CMP"/>
    <x v="0"/>
    <n v="2023"/>
    <n v="1"/>
    <d v="2023-10-01T00:00:00"/>
    <n v="53215"/>
    <n v="1"/>
    <d v="2023-10-23T00:00:00"/>
    <n v="12"/>
    <n v="34737"/>
    <n v="125"/>
    <d v="2023-11-07T00:00:00"/>
    <n v="1"/>
    <n v="34737"/>
    <n v="1"/>
    <x v="15"/>
    <n v="33000.15"/>
    <m/>
  </r>
  <r>
    <n v="146"/>
    <s v="CH-CMP-OU-FEL2A-033-A"/>
    <x v="28"/>
    <s v="FEL 2A"/>
    <s v="CMP"/>
    <x v="0"/>
    <n v="2023"/>
    <n v="1"/>
    <d v="2023-11-01T00:00:00"/>
    <n v="78129"/>
    <n v="1"/>
    <d v="2023-11-20T00:00:00"/>
    <n v="13"/>
    <n v="31481"/>
    <n v="127"/>
    <d v="2023-12-05T00:00:00"/>
    <n v="1"/>
    <n v="31481"/>
    <n v="1"/>
    <x v="45"/>
    <n v="29906.949999999997"/>
    <m/>
  </r>
  <r>
    <n v="147"/>
    <s v="CH-CMP-OU-FEL2A-033-A"/>
    <x v="28"/>
    <s v="FEL 2A"/>
    <s v="CMP"/>
    <x v="0"/>
    <n v="2023"/>
    <n v="1"/>
    <d v="2023-12-01T00:00:00"/>
    <n v="46648"/>
    <n v="1"/>
    <d v="2023-12-21T00:00:00"/>
    <n v="14"/>
    <n v="15445"/>
    <n v="137"/>
    <d v="2024-01-05T00:00:00"/>
    <n v="1"/>
    <n v="15445"/>
    <n v="1"/>
    <x v="26"/>
    <n v="14672.75"/>
    <m/>
  </r>
  <r>
    <n v="148"/>
    <s v="CH-CMP-OU-FEL2A-033-A"/>
    <x v="28"/>
    <s v="FEL 2A"/>
    <s v="CMP"/>
    <x v="0"/>
    <n v="2024"/>
    <n v="1"/>
    <d v="2024-01-01T00:00:00"/>
    <n v="31203"/>
    <n v="1"/>
    <d v="2024-01-25T00:00:00"/>
    <n v="15"/>
    <n v="17246"/>
    <n v="160"/>
    <d v="2024-02-07T00:00:00"/>
    <n v="1"/>
    <n v="17246"/>
    <n v="1"/>
    <x v="108"/>
    <n v="16383.699999999999"/>
    <m/>
  </r>
  <r>
    <n v="149"/>
    <s v="CH-CMP-OU-FEL2A-033-A"/>
    <x v="28"/>
    <s v="FEL 2A"/>
    <s v="CMP"/>
    <x v="0"/>
    <n v="2024"/>
    <n v="1"/>
    <d v="2024-02-01T00:00:00"/>
    <n v="13957"/>
    <n v="1"/>
    <d v="2024-02-25T00:00:00"/>
    <n v="16"/>
    <n v="10114"/>
    <n v="173"/>
    <d v="2024-03-18T00:00:00"/>
    <n v="1"/>
    <n v="10114"/>
    <n v="1"/>
    <x v="109"/>
    <n v="9608.2999999999993"/>
    <m/>
  </r>
  <r>
    <n v="150"/>
    <s v="CH-CMP-OU-FEL2A-033-A"/>
    <x v="28"/>
    <s v="FEL 2A"/>
    <s v="CMP"/>
    <x v="0"/>
    <n v="2024"/>
    <n v="1"/>
    <d v="2024-03-01T00:00:00"/>
    <n v="3161"/>
    <n v="1"/>
    <d v="2024-03-25T00:00:00"/>
    <n v="17"/>
    <n v="1847"/>
    <n v="177"/>
    <d v="2024-04-12T00:00:00"/>
    <n v="1"/>
    <n v="1847"/>
    <n v="1"/>
    <x v="110"/>
    <n v="1754.6499999999999"/>
    <m/>
  </r>
  <r>
    <n v="151"/>
    <s v="CH-CMP-OU-FEL2A-033-A"/>
    <x v="28"/>
    <s v="FEL 2A"/>
    <s v="CMP"/>
    <x v="0"/>
    <n v="2024"/>
    <n v="1"/>
    <d v="2024-04-01T00:00:00"/>
    <n v="12005"/>
    <n v="1"/>
    <d v="2024-04-25T00:00:00"/>
    <n v="18"/>
    <n v="1896"/>
    <n v="187"/>
    <d v="2024-05-17T00:00:00"/>
    <n v="1"/>
    <n v="1896"/>
    <n v="1"/>
    <x v="42"/>
    <n v="1801.1999999999998"/>
    <m/>
  </r>
  <r>
    <n v="152"/>
    <s v="CH-CMP-OU-FEL2A-033-A"/>
    <x v="28"/>
    <s v="FEL 2A"/>
    <s v="CMP"/>
    <x v="0"/>
    <n v="2024"/>
    <n v="1"/>
    <d v="2024-05-01T00:00:00"/>
    <n v="5015"/>
    <n v="1"/>
    <d v="2024-05-28T00:00:00"/>
    <n v="19"/>
    <n v="10289"/>
    <n v="189"/>
    <d v="2024-06-06T00:00:00"/>
    <n v="1"/>
    <n v="10289"/>
    <n v="1"/>
    <x v="111"/>
    <n v="9774.5499999999993"/>
    <m/>
  </r>
  <r>
    <n v="153"/>
    <s v="CH-CMP-OU-FEL2A-033-A"/>
    <x v="28"/>
    <s v="FEL 2A"/>
    <s v="CMP"/>
    <x v="0"/>
    <n v="2024"/>
    <n v="-1"/>
    <m/>
    <m/>
    <n v="1"/>
    <d v="2024-06-25T00:00:00"/>
    <n v="20"/>
    <n v="21258"/>
    <n v="195"/>
    <d v="2024-07-05T00:00:00"/>
    <n v="1"/>
    <n v="21258"/>
    <n v="1"/>
    <x v="112"/>
    <n v="20195.099999999999"/>
    <m/>
  </r>
  <r>
    <n v="154"/>
    <s v="CH-CMP-CS-OTR00-006-A"/>
    <x v="29"/>
    <s v="CMP Estandar"/>
    <s v="CMP"/>
    <x v="0"/>
    <n v="2022"/>
    <n v="-1"/>
    <m/>
    <m/>
    <n v="1"/>
    <d v="2022-11-21T00:00:00"/>
    <n v="17"/>
    <n v="33725.57"/>
    <n v="506"/>
    <d v="2022-12-29T00:00:00"/>
    <n v="1"/>
    <n v="33725.57"/>
    <n v="1"/>
    <x v="113"/>
    <n v="32039.291499999999"/>
    <m/>
  </r>
  <r>
    <n v="155"/>
    <s v="CH-CMP-CS-OTR00-006-A"/>
    <x v="29"/>
    <s v="CMP Estandar"/>
    <s v="CMP"/>
    <x v="0"/>
    <n v="2023"/>
    <n v="-1"/>
    <m/>
    <m/>
    <n v="1"/>
    <d v="2023-01-21T00:00:00"/>
    <n v="18"/>
    <n v="26141.51"/>
    <n v="44"/>
    <d v="2023-02-06T00:00:00"/>
    <n v="1"/>
    <n v="26141.51"/>
    <n v="1"/>
    <x v="114"/>
    <n v="24834.434499999996"/>
    <m/>
  </r>
  <r>
    <n v="156"/>
    <s v="CH-CMP-CS-OTR00-006-A"/>
    <x v="29"/>
    <s v="CMP Estandar"/>
    <s v="CMP"/>
    <x v="0"/>
    <n v="2023"/>
    <n v="-1"/>
    <m/>
    <m/>
    <n v="1"/>
    <d v="2023-02-21T00:00:00"/>
    <n v="19"/>
    <n v="36926.296249999999"/>
    <n v="51"/>
    <d v="2023-03-03T00:00:00"/>
    <n v="1"/>
    <n v="36926.296249999999"/>
    <n v="1"/>
    <x v="9"/>
    <n v="35079.981437499999"/>
    <m/>
  </r>
  <r>
    <n v="157"/>
    <s v="CH-CMP-CS-OTR00-006-A"/>
    <x v="29"/>
    <s v="CMP Estandar"/>
    <s v="CMP"/>
    <x v="0"/>
    <n v="2023"/>
    <n v="-1"/>
    <m/>
    <m/>
    <n v="1"/>
    <d v="2023-03-21T00:00:00"/>
    <n v="20"/>
    <n v="27037.27375"/>
    <n v="65"/>
    <d v="2023-04-19T00:00:00"/>
    <n v="1"/>
    <n v="27037.27375"/>
    <n v="1"/>
    <x v="115"/>
    <n v="25685.410062499999"/>
    <m/>
  </r>
  <r>
    <n v="158"/>
    <s v="CH-CMP-CS-OTR00-006-A"/>
    <x v="29"/>
    <s v="CMP Estandar"/>
    <s v="CMP"/>
    <x v="0"/>
    <n v="2023"/>
    <n v="-1"/>
    <m/>
    <m/>
    <n v="1"/>
    <d v="2023-04-21T00:00:00"/>
    <n v="21"/>
    <n v="25905"/>
    <n v="73"/>
    <d v="2023-05-22T00:00:00"/>
    <n v="1"/>
    <n v="25905"/>
    <n v="1"/>
    <x v="116"/>
    <n v="24609.75"/>
    <m/>
  </r>
  <r>
    <n v="159"/>
    <s v="CH-CMP-CS-OTR00-006-A"/>
    <x v="29"/>
    <s v="CMP Estandar"/>
    <s v="CMP"/>
    <x v="0"/>
    <n v="2023"/>
    <n v="-1"/>
    <m/>
    <m/>
    <n v="1"/>
    <d v="2023-06-21T00:00:00"/>
    <n v="22"/>
    <n v="12105"/>
    <n v="93"/>
    <d v="2023-07-26T00:00:00"/>
    <n v="1"/>
    <n v="12105"/>
    <n v="1"/>
    <x v="117"/>
    <n v="11499.75"/>
    <s v="Incluye gastos reembolsables "/>
  </r>
  <r>
    <n v="160"/>
    <s v="CH-CMP-OP-FEL00-155-A"/>
    <x v="30"/>
    <s v="CMP_Actualización Casos de Negocios CNN"/>
    <s v="CMP"/>
    <x v="0"/>
    <n v="2025"/>
    <n v="-1"/>
    <m/>
    <m/>
    <n v="1"/>
    <d v="2025-06-25T00:00:00"/>
    <n v="1"/>
    <n v="5398"/>
    <n v="317"/>
    <d v="2025-07-04T00:00:00"/>
    <n v="1"/>
    <n v="5398"/>
    <n v="1"/>
    <x v="49"/>
    <n v="5398"/>
    <m/>
  </r>
  <r>
    <n v="161"/>
    <s v="CH-CMP-OP-FEL00-155-A"/>
    <x v="30"/>
    <s v="CMP_Actualización Casos de Negocios CNN"/>
    <s v="CMP"/>
    <x v="0"/>
    <n v="2025"/>
    <n v="-1"/>
    <m/>
    <m/>
    <n v="1"/>
    <d v="2025-09-30T00:00:00"/>
    <n v="2"/>
    <n v="15335"/>
    <n v="352"/>
    <d v="2025-10-28T00:00:00"/>
    <n v="1"/>
    <n v="15335"/>
    <n v="1"/>
    <x v="65"/>
    <n v="14568.25"/>
    <m/>
  </r>
  <r>
    <n v="162"/>
    <s v="CH-CMP-CS-FEL00-040-A"/>
    <x v="31"/>
    <s v="CMP_CNN (Update plan LOM )"/>
    <s v="CMP"/>
    <x v="0"/>
    <n v="2024"/>
    <n v="1"/>
    <d v="2024-03-01T00:00:00"/>
    <n v="5642"/>
    <n v="1"/>
    <d v="2024-07-25T00:00:00"/>
    <n v="1"/>
    <n v="18800"/>
    <n v="203"/>
    <d v="2024-08-05T00:00:00"/>
    <n v="1"/>
    <n v="16803"/>
    <n v="1"/>
    <x v="118"/>
    <n v="15122.7"/>
    <m/>
  </r>
  <r>
    <n v="163"/>
    <s v="CH-CMP-UG-OTR00-095-A"/>
    <x v="32"/>
    <s v="CMP_Estrategia Crecimiento Tofo Norte"/>
    <s v="CMP"/>
    <x v="0"/>
    <n v="2024"/>
    <n v="-1"/>
    <m/>
    <m/>
    <n v="1"/>
    <d v="2024-08-27T00:00:00"/>
    <n v="1"/>
    <n v="8906"/>
    <n v="211"/>
    <d v="2024-09-11T00:00:00"/>
    <n v="1"/>
    <n v="8906"/>
    <n v="1"/>
    <x v="119"/>
    <n v="8460.6999999999989"/>
    <m/>
  </r>
  <r>
    <n v="164"/>
    <s v="CH-CMP-UG-OTR00-095-A"/>
    <x v="32"/>
    <s v="CMP_Estrategia Crecimiento Tofo Norte"/>
    <s v="CMP"/>
    <x v="0"/>
    <n v="2024"/>
    <n v="-1"/>
    <m/>
    <m/>
    <n v="1"/>
    <d v="2024-09-25T00:00:00"/>
    <n v="2"/>
    <n v="13808"/>
    <n v="223"/>
    <d v="2024-10-10T00:00:00"/>
    <n v="1"/>
    <n v="13808"/>
    <n v="1"/>
    <x v="36"/>
    <n v="13117.599999999999"/>
    <m/>
  </r>
  <r>
    <n v="165"/>
    <s v="CH-CMP-UG-OTR00-095-A"/>
    <x v="32"/>
    <s v="CMP_Estrategia Crecimiento Tofo Norte"/>
    <s v="CMP"/>
    <x v="0"/>
    <n v="2024"/>
    <n v="-1"/>
    <m/>
    <m/>
    <n v="1"/>
    <d v="2024-10-23T00:00:00"/>
    <n v="3"/>
    <n v="3212"/>
    <n v="234"/>
    <d v="2024-11-08T00:00:00"/>
    <n v="1"/>
    <n v="3212"/>
    <n v="1"/>
    <x v="29"/>
    <n v="3051.3999999999996"/>
    <m/>
  </r>
  <r>
    <n v="166"/>
    <s v="CH-CMP-UG-OTR00-095-A"/>
    <x v="32"/>
    <s v="CMP_Estrategia Crecimiento Tofo Norte"/>
    <s v="CMP"/>
    <x v="0"/>
    <n v="2024"/>
    <n v="-1"/>
    <m/>
    <m/>
    <n v="1"/>
    <d v="2024-11-23T00:00:00"/>
    <n v="4"/>
    <n v="17309"/>
    <n v="243"/>
    <d v="2024-12-05T00:00:00"/>
    <n v="1"/>
    <n v="17309"/>
    <n v="1"/>
    <x v="120"/>
    <n v="16443.55"/>
    <m/>
  </r>
  <r>
    <n v="167"/>
    <s v="CH-CMP-UG-OTR00-095-A"/>
    <x v="32"/>
    <s v="CMP_Estrategia Crecimiento Tofo Norte"/>
    <s v="CMP"/>
    <x v="0"/>
    <n v="2024"/>
    <n v="-1"/>
    <m/>
    <m/>
    <n v="1"/>
    <d v="2024-12-23T00:00:00"/>
    <n v="5"/>
    <n v="36716"/>
    <n v="265"/>
    <d v="2025-02-24T00:00:00"/>
    <n v="1"/>
    <n v="36716"/>
    <n v="1"/>
    <x v="121"/>
    <n v="36195.183539999998"/>
    <m/>
  </r>
  <r>
    <n v="168"/>
    <s v="CH-CMP-UG-OTR00-095-A"/>
    <x v="32"/>
    <s v="CMP_Estrategia Crecimiento Tofo Norte"/>
    <s v="CMP"/>
    <x v="0"/>
    <n v="2025"/>
    <n v="-1"/>
    <m/>
    <m/>
    <n v="1"/>
    <d v="2025-01-24T00:00:00"/>
    <n v="6"/>
    <n v="14903"/>
    <n v="301"/>
    <d v="2025-05-12T00:00:00"/>
    <n v="1"/>
    <n v="22365"/>
    <n v="1"/>
    <x v="122"/>
    <n v="21246.75"/>
    <m/>
  </r>
  <r>
    <n v="169"/>
    <s v="CH-CMP-OP-OTR00-083-A"/>
    <x v="33"/>
    <s v="CMP_LOM CNN 2024"/>
    <s v="CMP"/>
    <x v="0"/>
    <n v="2024"/>
    <n v="-1"/>
    <m/>
    <m/>
    <n v="1"/>
    <d v="2024-07-25T00:00:00"/>
    <n v="1"/>
    <n v="34041"/>
    <n v="209"/>
    <d v="2024-08-27T00:00:00"/>
    <n v="1"/>
    <n v="34401"/>
    <n v="1"/>
    <x v="35"/>
    <n v="34401"/>
    <m/>
  </r>
  <r>
    <n v="170"/>
    <s v="CH-CMP-OP-OTR00-084-A"/>
    <x v="34"/>
    <s v="CMP_LOM MLC 2024"/>
    <s v="CMP"/>
    <x v="0"/>
    <n v="2024"/>
    <n v="-1"/>
    <m/>
    <m/>
    <n v="1"/>
    <d v="2024-07-25T00:00:00"/>
    <n v="1"/>
    <n v="26563"/>
    <n v="209"/>
    <d v="2024-08-27T00:00:00"/>
    <n v="1"/>
    <n v="26563"/>
    <n v="1"/>
    <x v="35"/>
    <n v="26563"/>
    <m/>
  </r>
  <r>
    <n v="171"/>
    <s v="CH-CMP-OP-OTR00-084-A"/>
    <x v="34"/>
    <s v="CMP_LOM MLC 2024"/>
    <s v="CMP"/>
    <x v="0"/>
    <n v="2024"/>
    <n v="-1"/>
    <m/>
    <m/>
    <n v="1"/>
    <d v="2024-10-24T00:00:00"/>
    <n v="2"/>
    <n v="34586"/>
    <n v="261"/>
    <d v="2025-01-27T00:00:00"/>
    <n v="1"/>
    <n v="33111"/>
    <n v="1"/>
    <x v="123"/>
    <n v="36147.023883000002"/>
    <m/>
  </r>
  <r>
    <n v="172"/>
    <s v="CH-CMP-CS-FEL00-038-A"/>
    <x v="35"/>
    <s v="CMP_Los Colorados Adelantamiento Planta"/>
    <s v="CMP"/>
    <x v="0"/>
    <n v="2023"/>
    <n v="-1"/>
    <d v="2023-12-01T00:00:00"/>
    <n v="0"/>
    <n v="1"/>
    <d v="2023-12-21T00:00:00"/>
    <n v="1"/>
    <n v="33661"/>
    <n v="137"/>
    <d v="2024-01-05T00:00:00"/>
    <n v="1"/>
    <n v="33661"/>
    <n v="1"/>
    <x v="26"/>
    <n v="31977.949999999997"/>
    <m/>
  </r>
  <r>
    <n v="173"/>
    <s v="CH-CMP-CS-FEL00-038-A"/>
    <x v="35"/>
    <s v="CMP_Los Colorados Adelantamiento Planta"/>
    <s v="CMP"/>
    <x v="0"/>
    <n v="2024"/>
    <n v="1"/>
    <d v="2024-01-01T00:00:00"/>
    <n v="93026"/>
    <n v="1"/>
    <d v="2024-01-25T00:00:00"/>
    <n v="2"/>
    <n v="16146"/>
    <n v="160"/>
    <d v="2024-02-07T00:00:00"/>
    <n v="1"/>
    <n v="16146"/>
    <n v="1"/>
    <x v="108"/>
    <n v="15338.699999999999"/>
    <m/>
  </r>
  <r>
    <n v="174"/>
    <s v="CH-CMP-CS-FEL00-038-A"/>
    <x v="35"/>
    <s v="CMP_Los Colorados Adelantamiento Planta"/>
    <s v="CMP"/>
    <x v="0"/>
    <n v="2024"/>
    <n v="1"/>
    <d v="2024-02-01T00:00:00"/>
    <n v="42563"/>
    <n v="1"/>
    <d v="2024-02-25T00:00:00"/>
    <n v="3"/>
    <n v="25645"/>
    <n v="173"/>
    <d v="2024-03-18T00:00:00"/>
    <n v="1"/>
    <n v="25645"/>
    <n v="1"/>
    <x v="109"/>
    <n v="24362.75"/>
    <m/>
  </r>
  <r>
    <n v="175"/>
    <s v="CH-CMP-CS-FEL00-038-A"/>
    <x v="35"/>
    <s v="CMP_Los Colorados Adelantamiento Planta"/>
    <s v="CMP"/>
    <x v="0"/>
    <n v="2024"/>
    <n v="1"/>
    <d v="2024-03-01T00:00:00"/>
    <n v="12000"/>
    <n v="1"/>
    <d v="2024-03-25T00:00:00"/>
    <n v="4"/>
    <n v="4969"/>
    <n v="177"/>
    <d v="2024-04-12T00:00:00"/>
    <n v="1"/>
    <n v="4969"/>
    <n v="1"/>
    <x v="110"/>
    <n v="4720.55"/>
    <m/>
  </r>
  <r>
    <n v="176"/>
    <s v="CH-CMP-CS-FEL00-038-A"/>
    <x v="35"/>
    <s v="CMP_Los Colorados Adelantamiento Planta"/>
    <s v="CMP"/>
    <x v="0"/>
    <n v="2024"/>
    <n v="1"/>
    <d v="2024-04-01T00:00:00"/>
    <n v="8629"/>
    <n v="1"/>
    <d v="2024-04-25T00:00:00"/>
    <n v="5"/>
    <n v="9436"/>
    <n v="187"/>
    <d v="2024-05-17T00:00:00"/>
    <n v="1"/>
    <n v="9436"/>
    <n v="1"/>
    <x v="42"/>
    <n v="8964.1999999999989"/>
    <m/>
  </r>
  <r>
    <n v="177"/>
    <s v="CH-CMP-CS-FEL00-038-A"/>
    <x v="35"/>
    <s v="CMP_Los Colorados Adelantamiento Planta"/>
    <s v="CMP"/>
    <x v="0"/>
    <n v="2024"/>
    <n v="-1"/>
    <m/>
    <m/>
    <n v="1"/>
    <d v="2024-05-28T00:00:00"/>
    <n v="6"/>
    <n v="2974"/>
    <n v="189"/>
    <d v="2024-06-06T00:00:00"/>
    <n v="1"/>
    <n v="2974"/>
    <n v="1"/>
    <x v="111"/>
    <n v="2825.2999999999997"/>
    <m/>
  </r>
  <r>
    <n v="178"/>
    <s v="CH-CMP-OP-FEL00-106-A"/>
    <x v="36"/>
    <s v="CMP_Mejoras Operacionales CNN"/>
    <s v="CMP"/>
    <x v="0"/>
    <n v="2024"/>
    <n v="-1"/>
    <m/>
    <m/>
    <n v="1"/>
    <d v="2024-12-26T00:00:00"/>
    <n v="1"/>
    <n v="46214.27"/>
    <n v="251"/>
    <d v="2025-01-08T00:00:00"/>
    <n v="1"/>
    <n v="46214"/>
    <n v="1"/>
    <x v="124"/>
    <n v="45558.454410000006"/>
    <m/>
  </r>
  <r>
    <n v="179"/>
    <s v="CH-CMP-OP-FEL00-106-A"/>
    <x v="36"/>
    <s v="CMP_Mejoras Operacionales CNN"/>
    <s v="CMP"/>
    <x v="0"/>
    <n v="2025"/>
    <n v="-1"/>
    <m/>
    <m/>
    <n v="1"/>
    <d v="2025-01-30T00:00:00"/>
    <n v="2"/>
    <n v="9854"/>
    <n v="263"/>
    <d v="2025-02-24T00:00:00"/>
    <n v="1"/>
    <n v="9854"/>
    <n v="1"/>
    <x v="121"/>
    <n v="9714.2210099999993"/>
    <m/>
  </r>
  <r>
    <n v="180"/>
    <s v="CH-CMP-OP-FEL00-106-A"/>
    <x v="36"/>
    <s v="CMP_Mejoras Operacionales CNN"/>
    <s v="CMP"/>
    <x v="0"/>
    <n v="2025"/>
    <n v="-1"/>
    <m/>
    <m/>
    <n v="1"/>
    <d v="2025-02-25T00:00:00"/>
    <n v="3"/>
    <n v="16216"/>
    <n v="277"/>
    <d v="2025-03-17T00:00:00"/>
    <n v="1"/>
    <n v="16441.669999999998"/>
    <n v="1"/>
    <x v="125"/>
    <n v="16208.444911049999"/>
    <m/>
  </r>
  <r>
    <n v="181"/>
    <s v="CH-CMP-OP-FEL00-106-A"/>
    <x v="36"/>
    <s v="CMP_Mejoras Operacionales CNN"/>
    <s v="CMP"/>
    <x v="0"/>
    <n v="2025"/>
    <n v="-1"/>
    <m/>
    <m/>
    <n v="1"/>
    <d v="2025-03-20T00:00:00"/>
    <n v="4"/>
    <n v="12182"/>
    <n v="289"/>
    <d v="2025-04-25T00:00:00"/>
    <n v="1"/>
    <n v="11623"/>
    <n v="1"/>
    <x v="126"/>
    <n v="11041.85"/>
    <m/>
  </r>
  <r>
    <n v="182"/>
    <s v="CH-CMP-OP-FEL00-106-A"/>
    <x v="36"/>
    <s v="CMP_Mejoras Operacionales CNN"/>
    <s v="CMP"/>
    <x v="0"/>
    <n v="2025"/>
    <n v="-1"/>
    <m/>
    <m/>
    <n v="1"/>
    <d v="2025-03-20T00:00:00"/>
    <n v="5"/>
    <n v="36573"/>
    <n v="314"/>
    <d v="2025-06-26T00:00:00"/>
    <n v="1"/>
    <n v="31139"/>
    <n v="8"/>
    <x v="127"/>
    <n v="31139"/>
    <m/>
  </r>
  <r>
    <n v="183"/>
    <s v="CH-CMP-OT-OTR00-107-A"/>
    <x v="37"/>
    <s v="CMP_Nuevos alcances Algarrobo"/>
    <s v="CMP"/>
    <x v="0"/>
    <n v="2025"/>
    <n v="-1"/>
    <m/>
    <m/>
    <n v="1"/>
    <d v="2025-02-25T00:00:00"/>
    <n v="1"/>
    <n v="112506"/>
    <n v="306"/>
    <d v="2025-05-27T00:00:00"/>
    <n v="1"/>
    <n v="107174"/>
    <n v="1"/>
    <x v="72"/>
    <n v="101815.29999999999"/>
    <m/>
  </r>
  <r>
    <n v="184"/>
    <s v="CH-CMP-OP-OTR00-096-A"/>
    <x v="38"/>
    <s v="CMP_Plan minero base MLC"/>
    <s v="CMP"/>
    <x v="0"/>
    <n v="2024"/>
    <n v="-1"/>
    <m/>
    <m/>
    <n v="1"/>
    <d v="2024-08-27T00:00:00"/>
    <n v="1"/>
    <n v="7706"/>
    <n v="211"/>
    <d v="2024-09-11T00:00:00"/>
    <n v="1"/>
    <n v="7706"/>
    <n v="1"/>
    <x v="119"/>
    <n v="7320.7"/>
    <m/>
  </r>
  <r>
    <n v="185"/>
    <s v="CH-CMP-OP-OTR00-096-A"/>
    <x v="38"/>
    <s v="CMP_Plan minero base MLC"/>
    <s v="CMP"/>
    <x v="0"/>
    <n v="2024"/>
    <n v="-1"/>
    <m/>
    <m/>
    <n v="1"/>
    <d v="2024-09-25T00:00:00"/>
    <n v="2"/>
    <n v="4603"/>
    <n v="223"/>
    <d v="2024-10-10T00:00:00"/>
    <n v="1"/>
    <n v="4603"/>
    <n v="1"/>
    <x v="36"/>
    <n v="4372.8499999999995"/>
    <m/>
  </r>
  <r>
    <n v="186"/>
    <s v="CH-CMP-OP-OTR00-096-A"/>
    <x v="38"/>
    <s v="CMP_Plan minero base MLC"/>
    <s v="CMP"/>
    <x v="0"/>
    <n v="2024"/>
    <n v="-1"/>
    <m/>
    <m/>
    <n v="1"/>
    <d v="2024-10-23T00:00:00"/>
    <n v="3"/>
    <n v="3705"/>
    <n v="234"/>
    <d v="2024-11-08T00:00:00"/>
    <n v="1"/>
    <n v="3705"/>
    <n v="1"/>
    <x v="29"/>
    <n v="3519.75"/>
    <m/>
  </r>
  <r>
    <n v="187"/>
    <s v="CH-CMP-OP-OTR00-096-A"/>
    <x v="38"/>
    <s v="CMP_Plan minero base MLC"/>
    <s v="CMP"/>
    <x v="0"/>
    <n v="2024"/>
    <n v="-1"/>
    <m/>
    <m/>
    <n v="1"/>
    <d v="2024-11-23T00:00:00"/>
    <n v="4"/>
    <n v="4392"/>
    <n v="243"/>
    <d v="2024-12-05T00:00:00"/>
    <n v="1"/>
    <n v="4392"/>
    <n v="1"/>
    <x v="120"/>
    <n v="4172.3999999999996"/>
    <m/>
  </r>
  <r>
    <n v="188"/>
    <s v="CH-CMP-OP-OTR00-096-A"/>
    <x v="38"/>
    <s v="CMP_Plan minero base MLC"/>
    <s v="CMP"/>
    <x v="0"/>
    <n v="2024"/>
    <n v="-1"/>
    <m/>
    <m/>
    <n v="1"/>
    <d v="2024-12-23T00:00:00"/>
    <n v="5"/>
    <n v="34732"/>
    <n v="265"/>
    <d v="2025-02-24T00:00:00"/>
    <n v="1"/>
    <n v="34732"/>
    <n v="1"/>
    <x v="121"/>
    <n v="34239.326580000001"/>
    <m/>
  </r>
  <r>
    <n v="189"/>
    <s v="CH-CMP-OP-OTR00-096-A"/>
    <x v="38"/>
    <s v="CMP_Plan minero base MLC"/>
    <s v="CMP"/>
    <x v="0"/>
    <n v="2025"/>
    <n v="-1"/>
    <m/>
    <m/>
    <n v="1"/>
    <d v="2025-01-24T00:00:00"/>
    <n v="6"/>
    <n v="8755"/>
    <n v="301"/>
    <d v="2025-05-12T00:00:00"/>
    <n v="1"/>
    <n v="12346"/>
    <n v="1"/>
    <x v="122"/>
    <n v="11728.699999999999"/>
    <m/>
  </r>
  <r>
    <n v="190"/>
    <s v="CH-CMP-OP-OTR00-096-A"/>
    <x v="38"/>
    <s v="CMP_Plan minero base MLC"/>
    <s v="CMP"/>
    <x v="0"/>
    <n v="2025"/>
    <n v="-1"/>
    <m/>
    <m/>
    <n v="1"/>
    <d v="2025-03-25T00:00:00"/>
    <n v="7"/>
    <n v="14746"/>
    <n v="313"/>
    <d v="2025-06-16T00:00:00"/>
    <n v="1"/>
    <n v="14746"/>
    <n v="1"/>
    <x v="83"/>
    <n v="14008.699999999999"/>
    <m/>
  </r>
  <r>
    <n v="191"/>
    <s v="CH-CMP-OP-OTR00-096-A"/>
    <x v="38"/>
    <s v="CMP_Plan minero base MLC"/>
    <s v="CMP"/>
    <x v="0"/>
    <n v="2025"/>
    <n v="-1"/>
    <m/>
    <m/>
    <n v="1"/>
    <d v="2025-07-31T00:00:00"/>
    <n v="1"/>
    <n v="34306"/>
    <n v="346"/>
    <d v="2025-10-03T00:00:00"/>
    <n v="1"/>
    <n v="34306"/>
    <n v="1"/>
    <x v="128"/>
    <n v="32590.699999999997"/>
    <m/>
  </r>
  <r>
    <n v="192"/>
    <s v="CH-CMP-UG-FEL03-093-A"/>
    <x v="39"/>
    <s v="CMP_Puesta en marcha SLS Romeral"/>
    <s v="CMP"/>
    <x v="0"/>
    <n v="2024"/>
    <n v="-1"/>
    <m/>
    <m/>
    <n v="1"/>
    <d v="2024-07-25T00:00:00"/>
    <n v="1"/>
    <n v="135485"/>
    <n v="208"/>
    <d v="2024-08-27T00:00:00"/>
    <n v="1"/>
    <n v="141357"/>
    <n v="1"/>
    <x v="35"/>
    <n v="141357"/>
    <m/>
  </r>
  <r>
    <n v="193"/>
    <s v="CH-CMP-UG-FEL03-093-A"/>
    <x v="39"/>
    <s v="CMP_Puesta en marcha SLS Romeral"/>
    <s v="CMP"/>
    <x v="0"/>
    <n v="2025"/>
    <n v="-1"/>
    <m/>
    <m/>
    <n v="1"/>
    <d v="2025-05-30T00:00:00"/>
    <n v="1"/>
    <n v="32097"/>
    <n v="309"/>
    <d v="2025-06-03T00:00:00"/>
    <n v="1"/>
    <n v="32097"/>
    <n v="1"/>
    <x v="129"/>
    <n v="32097"/>
    <m/>
  </r>
  <r>
    <n v="194"/>
    <s v="CH-CMP-UG-FEL03-093-A"/>
    <x v="39"/>
    <s v="CMP_Puesta en marcha SLS Romeral"/>
    <s v="CMP"/>
    <x v="0"/>
    <n v="2025"/>
    <n v="-1"/>
    <m/>
    <m/>
    <n v="1"/>
    <d v="2025-05-30T00:00:00"/>
    <n v="1"/>
    <n v="15398"/>
    <n v="308"/>
    <d v="2025-06-03T00:00:00"/>
    <n v="1"/>
    <n v="15398"/>
    <n v="1"/>
    <x v="129"/>
    <n v="15398"/>
    <m/>
  </r>
  <r>
    <n v="195"/>
    <s v="CH-CMP-UG-FEL03-093-A"/>
    <x v="39"/>
    <s v="CMP_Puesta en marcha SLS Romeral"/>
    <s v="CMP"/>
    <x v="0"/>
    <n v="2024"/>
    <n v="-1"/>
    <m/>
    <m/>
    <n v="1"/>
    <d v="2024-08-27T00:00:00"/>
    <n v="2"/>
    <n v="237714"/>
    <n v="214"/>
    <d v="2024-09-12T00:00:00"/>
    <n v="1"/>
    <n v="229439.04116848976"/>
    <n v="1"/>
    <x v="119"/>
    <n v="229439"/>
    <m/>
  </r>
  <r>
    <n v="196"/>
    <s v="CH-CMP-UG-FEL03-093-A"/>
    <x v="39"/>
    <s v="CMP_Puesta en marcha SLS Romeral"/>
    <s v="CMP"/>
    <x v="0"/>
    <n v="2024"/>
    <n v="-1"/>
    <m/>
    <m/>
    <n v="1"/>
    <d v="2024-09-27T00:00:00"/>
    <n v="3"/>
    <n v="108299"/>
    <n v="228"/>
    <d v="2024-10-23T00:00:00"/>
    <n v="1"/>
    <n v="108299"/>
    <n v="1"/>
    <x v="89"/>
    <n v="108299"/>
    <m/>
  </r>
  <r>
    <n v="197"/>
    <s v="CH-CMP-UG-FEL03-093-A"/>
    <x v="39"/>
    <s v="CMP_Puesta en marcha SLS Romeral"/>
    <s v="CMP"/>
    <x v="0"/>
    <n v="2024"/>
    <n v="-1"/>
    <m/>
    <m/>
    <n v="1"/>
    <d v="2024-10-24T00:00:00"/>
    <n v="4"/>
    <n v="86735"/>
    <n v="237"/>
    <d v="2024-11-27T00:00:00"/>
    <n v="1"/>
    <n v="86735"/>
    <n v="1"/>
    <x v="130"/>
    <n v="90004.909500000009"/>
    <m/>
  </r>
  <r>
    <n v="198"/>
    <s v="CH-CMP-UG-FEL03-093-A"/>
    <x v="39"/>
    <s v="CMP_Puesta en marcha SLS Romeral"/>
    <s v="CMP"/>
    <x v="0"/>
    <n v="2024"/>
    <n v="-1"/>
    <m/>
    <m/>
    <n v="1"/>
    <d v="2024-11-24T00:00:00"/>
    <n v="5"/>
    <n v="81962"/>
    <n v="245"/>
    <d v="2024-12-24T00:00:00"/>
    <n v="1"/>
    <n v="81962"/>
    <n v="1"/>
    <x v="131"/>
    <n v="85051.967400000009"/>
    <m/>
  </r>
  <r>
    <n v="199"/>
    <s v="CH-CMP-UG-FEL03-093-A"/>
    <x v="39"/>
    <s v="CMP_Puesta en marcha SLS Romeral"/>
    <s v="CMP"/>
    <x v="0"/>
    <n v="2024"/>
    <n v="-1"/>
    <m/>
    <m/>
    <n v="1"/>
    <d v="2024-12-26T00:00:00"/>
    <n v="6"/>
    <n v="118872.36"/>
    <n v="252"/>
    <d v="2025-01-10T00:00:00"/>
    <n v="1"/>
    <n v="118872"/>
    <n v="1"/>
    <x v="132"/>
    <n v="127900.67580000001"/>
    <m/>
  </r>
  <r>
    <n v="200"/>
    <s v="CH-CMP-UG-FEL03-093-A"/>
    <x v="39"/>
    <s v="CMP_Puesta en marcha SLS Romeral"/>
    <s v="CMP"/>
    <x v="0"/>
    <n v="2025"/>
    <n v="-1"/>
    <m/>
    <m/>
    <n v="1"/>
    <d v="2025-01-03T00:00:00"/>
    <n v="7"/>
    <n v="31918"/>
    <n v="264"/>
    <d v="2025-02-24T00:00:00"/>
    <n v="1"/>
    <n v="46484"/>
    <n v="1"/>
    <x v="133"/>
    <n v="48236.446800000005"/>
    <m/>
  </r>
  <r>
    <n v="201"/>
    <s v="CH-CMP-UG-FEL03-093-A"/>
    <x v="39"/>
    <s v="CMP_Puesta en marcha SLS Romeral"/>
    <s v="CMP"/>
    <x v="0"/>
    <n v="2025"/>
    <n v="-1"/>
    <m/>
    <m/>
    <n v="1"/>
    <d v="2025-02-25T00:00:00"/>
    <n v="8"/>
    <n v="41744"/>
    <n v="279"/>
    <d v="2025-03-20T00:00:00"/>
    <n v="1"/>
    <n v="42469"/>
    <n v="1"/>
    <x v="134"/>
    <n v="41744"/>
    <m/>
  </r>
  <r>
    <n v="202"/>
    <s v="CH-CMP-UG-FEL03-093-A"/>
    <x v="39"/>
    <s v="CMP_Puesta en marcha SLS Romeral"/>
    <s v="CMP"/>
    <x v="0"/>
    <n v="2025"/>
    <n v="-1"/>
    <m/>
    <m/>
    <n v="1"/>
    <d v="2025-11-05T00:00:00"/>
    <s v="1C"/>
    <n v="21494"/>
    <n v="359"/>
    <d v="2025-11-05T00:00:00"/>
    <n v="1"/>
    <n v="21494"/>
    <n v="1"/>
    <x v="135"/>
    <n v="21494"/>
    <m/>
  </r>
  <r>
    <n v="203"/>
    <s v="CH-CMP-OU-FEL2A-041-A"/>
    <x v="40"/>
    <s v="Romeral Estabilizado + PFS UG"/>
    <s v="CMP"/>
    <x v="0"/>
    <n v="2024"/>
    <n v="1"/>
    <d v="2024-01-01T00:00:00"/>
    <n v="29620"/>
    <n v="1"/>
    <d v="2024-01-25T00:00:00"/>
    <n v="1"/>
    <n v="61461"/>
    <n v="163"/>
    <d v="2024-02-20T00:00:00"/>
    <n v="1"/>
    <n v="61461"/>
    <n v="1"/>
    <x v="136"/>
    <n v="57556"/>
    <m/>
  </r>
  <r>
    <n v="204"/>
    <s v="CH-CMP-OU-FEL2A-041-A"/>
    <x v="40"/>
    <s v="Romeral Estabilizado + PFS UG"/>
    <s v="CMP"/>
    <x v="0"/>
    <n v="2024"/>
    <n v="1"/>
    <d v="2024-02-01T00:00:00"/>
    <n v="80000"/>
    <n v="1"/>
    <d v="2024-02-25T00:00:00"/>
    <n v="2"/>
    <n v="61831"/>
    <n v="169"/>
    <d v="2024-03-04T00:00:00"/>
    <n v="1"/>
    <n v="61831"/>
    <n v="1"/>
    <x v="136"/>
    <n v="57902.441384438243"/>
    <m/>
  </r>
  <r>
    <n v="205"/>
    <s v="CH-CMP-OU-FEL2A-041-A"/>
    <x v="40"/>
    <s v="Romeral Estabilizado + PFS UG"/>
    <s v="CMP"/>
    <x v="0"/>
    <n v="2024"/>
    <n v="1"/>
    <d v="2024-03-01T00:00:00"/>
    <n v="80000"/>
    <n v="1"/>
    <d v="2024-03-25T00:00:00"/>
    <n v="3"/>
    <n v="61641"/>
    <n v="176"/>
    <d v="2024-04-08T00:00:00"/>
    <n v="1"/>
    <n v="61641"/>
    <n v="1"/>
    <x v="137"/>
    <n v="61641"/>
    <m/>
  </r>
  <r>
    <n v="206"/>
    <s v="CH-CMP-OU-FEL2A-041-A"/>
    <x v="40"/>
    <s v="Romeral Estabilizado + PFS UG"/>
    <s v="CMP"/>
    <x v="0"/>
    <n v="2024"/>
    <n v="1"/>
    <d v="2024-04-01T00:00:00"/>
    <n v="6872"/>
    <n v="1"/>
    <d v="2024-04-25T00:00:00"/>
    <n v="4"/>
    <n v="61831"/>
    <n v="182"/>
    <d v="2024-05-08T00:00:00"/>
    <n v="1"/>
    <n v="61831"/>
    <n v="1"/>
    <x v="137"/>
    <n v="61831"/>
    <m/>
  </r>
  <r>
    <n v="207"/>
    <s v="CH-CMP-OU-FEL2A-041-A"/>
    <x v="40"/>
    <s v="Romeral Estabilizado + PFS UG"/>
    <s v="CMP"/>
    <x v="0"/>
    <n v="2024"/>
    <n v="1"/>
    <d v="2024-05-01T00:00:00"/>
    <n v="61831"/>
    <n v="1"/>
    <d v="2024-05-28T00:00:00"/>
    <n v="5"/>
    <n v="34925.9"/>
    <n v="192"/>
    <d v="2024-06-13T00:00:00"/>
    <n v="1"/>
    <n v="34926"/>
    <n v="1"/>
    <x v="138"/>
    <n v="34926"/>
    <m/>
  </r>
  <r>
    <n v="208"/>
    <s v="CH-CMP-OU-FEL2A-041-A"/>
    <x v="40"/>
    <s v="Romeral Estabilizado + PFS UG"/>
    <s v="CMP"/>
    <x v="0"/>
    <n v="2024"/>
    <n v="-1"/>
    <m/>
    <m/>
    <n v="1"/>
    <d v="2024-08-26T00:00:00"/>
    <n v="6"/>
    <n v="60227"/>
    <n v="231"/>
    <d v="2024-10-23T00:00:00"/>
    <n v="1"/>
    <n v="60804"/>
    <n v="1"/>
    <x v="139"/>
    <n v="63096.310800000007"/>
    <m/>
  </r>
  <r>
    <n v="209"/>
    <s v="CH-CMP-OU-FEL2A-041-A"/>
    <x v="40"/>
    <s v="Romeral Estabilizado + PFS UG"/>
    <s v="CMP"/>
    <x v="0"/>
    <n v="2024"/>
    <n v="-1"/>
    <m/>
    <m/>
    <n v="1"/>
    <d v="2024-09-30T00:00:00"/>
    <n v="7"/>
    <n v="28407"/>
    <n v="230"/>
    <d v="2024-10-23T00:00:00"/>
    <n v="1"/>
    <n v="28407"/>
    <n v="1"/>
    <x v="139"/>
    <n v="29477.943900000002"/>
    <m/>
  </r>
  <r>
    <n v="210"/>
    <s v="CH-COD-CS-OTR00-129-A"/>
    <x v="41"/>
    <s v="Codelco_Actualización norma NCC-31"/>
    <s v="Codelco"/>
    <x v="0"/>
    <n v="2024"/>
    <n v="-1"/>
    <m/>
    <m/>
    <n v="1"/>
    <d v="2024-12-23T00:00:00"/>
    <n v="1"/>
    <n v="23268"/>
    <n v="255"/>
    <d v="2025-01-10T00:00:00"/>
    <n v="1"/>
    <n v="31715"/>
    <n v="1"/>
    <x v="132"/>
    <n v="32910.655500000001"/>
    <m/>
  </r>
  <r>
    <n v="211"/>
    <s v="CH-COD-CS-OTR00-129-A"/>
    <x v="41"/>
    <s v="Codelco_Actualización norma NCC-31"/>
    <s v="Codelco"/>
    <x v="0"/>
    <n v="2025"/>
    <n v="-1"/>
    <m/>
    <m/>
    <n v="1"/>
    <d v="2025-01-28T00:00:00"/>
    <n v="2"/>
    <n v="28753"/>
    <n v="333"/>
    <d v="2025-08-21T00:00:00"/>
    <n v="1"/>
    <n v="28753"/>
    <n v="1"/>
    <x v="140"/>
    <n v="28753"/>
    <m/>
  </r>
  <r>
    <n v="212"/>
    <s v="CH-COD-CS-OTR00-129-A"/>
    <x v="41"/>
    <s v="Codelco_Actualización norma NCC-31"/>
    <s v="Codelco"/>
    <x v="0"/>
    <n v="2025"/>
    <n v="-1"/>
    <m/>
    <m/>
    <n v="1"/>
    <d v="2025-02-25T00:00:00"/>
    <n v="3"/>
    <n v="11360"/>
    <n v="337"/>
    <d v="2025-08-27T00:00:00"/>
    <n v="1"/>
    <n v="11360"/>
    <n v="1"/>
    <x v="141"/>
    <n v="11360"/>
    <m/>
  </r>
  <r>
    <n v="213"/>
    <s v="CH-COD-OT-OTR00-030-A"/>
    <x v="42"/>
    <s v="Deswik DET"/>
    <s v="Codelco"/>
    <x v="0"/>
    <n v="2023"/>
    <n v="1"/>
    <d v="2023-12-01T00:00:00"/>
    <n v="21600"/>
    <n v="1"/>
    <d v="2023-12-21T00:00:00"/>
    <n v="1"/>
    <n v="29752"/>
    <n v="168"/>
    <d v="2024-02-26T00:00:00"/>
    <n v="1"/>
    <n v="29752"/>
    <n v="1"/>
    <x v="142"/>
    <n v="27862"/>
    <m/>
  </r>
  <r>
    <n v="214"/>
    <s v="CH-COD-OT-OTR00-030-A"/>
    <x v="42"/>
    <s v="Deswik DET"/>
    <s v="Codelco"/>
    <x v="0"/>
    <n v="2024"/>
    <n v="1"/>
    <d v="2024-02-01T00:00:00"/>
    <n v="14600"/>
    <n v="1"/>
    <d v="2024-02-25T00:00:00"/>
    <n v="2"/>
    <n v="12534"/>
    <n v="175"/>
    <d v="2024-04-04T00:00:00"/>
    <n v="1"/>
    <n v="12534"/>
    <n v="1"/>
    <x v="143"/>
    <n v="12534"/>
    <m/>
  </r>
  <r>
    <n v="215"/>
    <s v="CH-COD-OT-OTR00-030-A"/>
    <x v="42"/>
    <s v="Deswik DET"/>
    <s v="Codelco"/>
    <x v="0"/>
    <n v="2024"/>
    <n v="1"/>
    <d v="2024-04-01T00:00:00"/>
    <n v="26714"/>
    <n v="1"/>
    <d v="2024-07-25T00:00:00"/>
    <n v="3"/>
    <n v="13837"/>
    <n v="218"/>
    <d v="2024-09-26T00:00:00"/>
    <n v="1"/>
    <n v="13837"/>
    <n v="1"/>
    <x v="144"/>
    <n v="13837"/>
    <m/>
  </r>
  <r>
    <n v="216"/>
    <s v="CH-COD-UG-FEL00-037-A"/>
    <x v="43"/>
    <s v="Codelco_Cluster Toki"/>
    <s v="Codelco"/>
    <x v="0"/>
    <n v="2023"/>
    <n v="1"/>
    <d v="2023-11-01T00:00:00"/>
    <n v="5000"/>
    <n v="1"/>
    <d v="2023-11-20T00:00:00"/>
    <n v="1"/>
    <n v="41755"/>
    <n v="146"/>
    <d v="2024-01-10T00:00:00"/>
    <n v="1"/>
    <n v="41755"/>
    <n v="1"/>
    <x v="145"/>
    <n v="38832.15"/>
    <s v="Cliente solicita valoriza al 50% del valor de proyecto"/>
  </r>
  <r>
    <n v="217"/>
    <s v="CH-COD-UG-FEL00-037-A"/>
    <x v="43"/>
    <s v="Codelco_Cluster Toki"/>
    <s v="Codelco"/>
    <x v="0"/>
    <n v="2023"/>
    <n v="1"/>
    <d v="2023-12-01T00:00:00"/>
    <n v="37700"/>
    <n v="1"/>
    <d v="2023-12-21T00:00:00"/>
    <n v="2"/>
    <n v="38092"/>
    <n v="147"/>
    <d v="2024-01-10T00:00:00"/>
    <n v="1"/>
    <n v="38092"/>
    <n v="1"/>
    <x v="145"/>
    <n v="35425.560000000005"/>
    <m/>
  </r>
  <r>
    <n v="218"/>
    <s v="CH-COD-UG-FEL00-037-A"/>
    <x v="43"/>
    <s v="Codelco_Cluster Toki"/>
    <s v="Codelco"/>
    <x v="0"/>
    <n v="2024"/>
    <n v="1"/>
    <d v="2024-01-01T00:00:00"/>
    <n v="2940"/>
    <n v="1"/>
    <d v="2024-01-25T00:00:00"/>
    <n v="3"/>
    <n v="2940"/>
    <n v="162"/>
    <d v="2024-02-15T00:00:00"/>
    <n v="1"/>
    <n v="2940"/>
    <n v="1"/>
    <x v="146"/>
    <n v="2940"/>
    <m/>
  </r>
  <r>
    <n v="219"/>
    <s v="CH-COD-UG-FEL01-039-A"/>
    <x v="44"/>
    <s v="Codelco_Drenaje QT"/>
    <s v="Codelco"/>
    <x v="0"/>
    <n v="2023"/>
    <n v="1"/>
    <d v="2023-11-01T00:00:00"/>
    <n v="7500"/>
    <n v="1"/>
    <d v="2023-11-20T00:00:00"/>
    <n v="1"/>
    <n v="14688"/>
    <n v="158"/>
    <d v="2024-01-22T00:00:00"/>
    <n v="1"/>
    <n v="14688"/>
    <n v="1"/>
    <x v="147"/>
    <n v="13659.84"/>
    <m/>
  </r>
  <r>
    <n v="220"/>
    <s v="CH-COD-UG-FEL01-039-A"/>
    <x v="44"/>
    <s v="Codelco_Drenaje QT"/>
    <s v="Codelco"/>
    <x v="0"/>
    <n v="2024"/>
    <n v="1"/>
    <d v="2024-01-01T00:00:00"/>
    <n v="63612"/>
    <n v="1"/>
    <d v="2024-01-31T00:00:00"/>
    <n v="2"/>
    <n v="77671"/>
    <n v="170"/>
    <d v="2024-03-11T00:00:00"/>
    <n v="1"/>
    <n v="77671"/>
    <n v="1"/>
    <x v="148"/>
    <n v="77671"/>
    <m/>
  </r>
  <r>
    <n v="221"/>
    <s v="CH-COD-UG-FEL01-039-A"/>
    <x v="44"/>
    <s v="Codelco_Drenaje QT"/>
    <s v="Codelco"/>
    <x v="0"/>
    <n v="2024"/>
    <n v="1"/>
    <d v="2024-03-01T00:00:00"/>
    <n v="37545"/>
    <n v="1"/>
    <d v="2024-03-25T00:00:00"/>
    <n v="3"/>
    <n v="41027"/>
    <n v="197"/>
    <d v="2024-07-18T00:00:00"/>
    <n v="1"/>
    <n v="44268.23008753566"/>
    <n v="1"/>
    <x v="118"/>
    <n v="44268"/>
    <m/>
  </r>
  <r>
    <n v="222"/>
    <s v="CH-COD-CS-OTR00-128-A"/>
    <x v="45"/>
    <s v="Codelco_Estándar cierre topográfico"/>
    <s v="Codelco"/>
    <x v="0"/>
    <n v="2024"/>
    <n v="-1"/>
    <m/>
    <m/>
    <n v="1"/>
    <d v="2024-11-23T00:00:00"/>
    <n v="1"/>
    <n v="11004"/>
    <n v="256"/>
    <d v="2025-01-10T00:00:00"/>
    <n v="1"/>
    <n v="11004"/>
    <n v="1"/>
    <x v="132"/>
    <n v="11418.8508"/>
    <m/>
  </r>
  <r>
    <n v="223"/>
    <s v="CH-COD-CS-OTR00-128-A"/>
    <x v="45"/>
    <s v="Codelco_Estándar cierre topográfico"/>
    <s v="Codelco"/>
    <x v="0"/>
    <n v="2024"/>
    <n v="-1"/>
    <m/>
    <m/>
    <n v="1"/>
    <d v="2024-12-23T00:00:00"/>
    <n v="2"/>
    <n v="18151"/>
    <n v="257"/>
    <d v="2025-01-10T00:00:00"/>
    <n v="1"/>
    <n v="18151"/>
    <n v="1"/>
    <x v="132"/>
    <n v="18835.292700000002"/>
    <m/>
  </r>
  <r>
    <n v="224"/>
    <s v="CH-COD-CS-OTR00-128-A"/>
    <x v="45"/>
    <s v="Codelco_Estándar cierre topográfico"/>
    <s v="Codelco"/>
    <x v="0"/>
    <n v="2025"/>
    <n v="-1"/>
    <m/>
    <m/>
    <n v="1"/>
    <d v="2025-01-28T00:00:00"/>
    <n v="3"/>
    <n v="7263"/>
    <n v="336"/>
    <d v="2025-08-27T00:00:00"/>
    <n v="1"/>
    <n v="7263"/>
    <n v="1"/>
    <x v="141"/>
    <n v="7263"/>
    <m/>
  </r>
  <r>
    <n v="225"/>
    <s v="CH-COD-UG-FEL01-031-A"/>
    <x v="46"/>
    <s v="Codelco_Falla Oeste"/>
    <s v="Codelco"/>
    <x v="0"/>
    <n v="2023"/>
    <n v="1"/>
    <d v="2023-09-01T00:00:00"/>
    <n v="61712"/>
    <n v="1"/>
    <d v="2023-09-25T00:00:00"/>
    <n v="1"/>
    <n v="67556"/>
    <n v="164"/>
    <d v="2024-02-26T00:00:00"/>
    <n v="1"/>
    <n v="67556"/>
    <n v="1"/>
    <x v="142"/>
    <n v="63264"/>
    <m/>
  </r>
  <r>
    <n v="226"/>
    <s v="CH-COD-UG-FEL01-031-A"/>
    <x v="46"/>
    <s v="Codelco_Falla Oeste"/>
    <s v="Codelco"/>
    <x v="0"/>
    <n v="2023"/>
    <n v="1"/>
    <d v="2023-10-01T00:00:00"/>
    <n v="20571"/>
    <n v="1"/>
    <d v="2023-10-23T00:00:00"/>
    <n v="2"/>
    <n v="19139"/>
    <n v="165"/>
    <d v="2024-02-26T00:00:00"/>
    <n v="1"/>
    <n v="19139"/>
    <n v="1"/>
    <x v="142"/>
    <n v="17923"/>
    <m/>
  </r>
  <r>
    <n v="227"/>
    <s v="CH-COD-UG-FEL01-031-A"/>
    <x v="46"/>
    <s v="Codelco_Falla Oeste"/>
    <s v="Codelco"/>
    <x v="0"/>
    <n v="2023"/>
    <n v="1"/>
    <d v="2023-11-01T00:00:00"/>
    <n v="6808"/>
    <n v="1"/>
    <d v="2023-11-20T00:00:00"/>
    <n v="3"/>
    <n v="6808"/>
    <n v="150"/>
    <d v="2024-01-10T00:00:00"/>
    <n v="1"/>
    <n v="6808"/>
    <n v="1"/>
    <x v="145"/>
    <n v="6331.4400000000005"/>
    <m/>
  </r>
  <r>
    <n v="228"/>
    <s v="CH-COD-OU-FEL00-112-A"/>
    <x v="47"/>
    <s v="Codelco_Opciones vaciado mineral via OP"/>
    <s v="Codelco"/>
    <x v="0"/>
    <n v="2024"/>
    <n v="-1"/>
    <m/>
    <m/>
    <n v="1"/>
    <d v="2024-09-27T00:00:00"/>
    <n v="1"/>
    <n v="40000"/>
    <n v="241"/>
    <d v="2024-11-28T00:00:00"/>
    <n v="1"/>
    <n v="40000"/>
    <n v="1"/>
    <x v="149"/>
    <n v="40000"/>
    <m/>
  </r>
  <r>
    <n v="229"/>
    <s v="CH-COD-OU-FEL00-112-A"/>
    <x v="47"/>
    <s v="Codelco_Opciones vaciado mineral via OP"/>
    <s v="Codelco"/>
    <x v="0"/>
    <n v="2024"/>
    <n v="-1"/>
    <m/>
    <m/>
    <n v="1"/>
    <d v="2024-10-24T00:00:00"/>
    <n v="2"/>
    <n v="35127"/>
    <n v="242"/>
    <d v="2024-11-28T00:00:00"/>
    <n v="1"/>
    <n v="35127"/>
    <n v="1"/>
    <x v="149"/>
    <n v="35127"/>
    <m/>
  </r>
  <r>
    <n v="230"/>
    <s v="CH-COD-OU-FEL00-112-A"/>
    <x v="47"/>
    <s v="Codelco_Opciones vaciado mineral via OP"/>
    <s v="Codelco"/>
    <x v="0"/>
    <n v="2025"/>
    <n v="-1"/>
    <m/>
    <m/>
    <n v="1"/>
    <d v="2025-01-28T00:00:00"/>
    <n v="3"/>
    <n v="10236"/>
    <n v="311"/>
    <d v="2025-06-04T00:00:00"/>
    <n v="1"/>
    <n v="10236"/>
    <n v="1"/>
    <x v="127"/>
    <n v="10263"/>
    <m/>
  </r>
  <r>
    <n v="231"/>
    <s v="CH-COD-UG-FEL01-032-A"/>
    <x v="48"/>
    <s v="Codelco_Panel Central"/>
    <s v="Codelco"/>
    <x v="0"/>
    <n v="2023"/>
    <n v="1"/>
    <d v="2023-09-01T00:00:00"/>
    <n v="55586"/>
    <n v="1"/>
    <d v="2023-09-25T00:00:00"/>
    <n v="1"/>
    <n v="62838"/>
    <n v="151"/>
    <d v="2024-01-10T00:00:00"/>
    <n v="1"/>
    <n v="62838"/>
    <n v="1"/>
    <x v="145"/>
    <n v="58439.340000000004"/>
    <m/>
  </r>
  <r>
    <n v="232"/>
    <s v="CH-COD-UG-FEL01-032-A"/>
    <x v="48"/>
    <s v="Codelco_Panel Central"/>
    <s v="Codelco"/>
    <x v="0"/>
    <n v="2023"/>
    <n v="1"/>
    <d v="2023-10-01T00:00:00"/>
    <n v="19411"/>
    <n v="1"/>
    <d v="2023-10-23T00:00:00"/>
    <n v="2"/>
    <n v="17202"/>
    <n v="166"/>
    <d v="2024-02-26T00:00:00"/>
    <n v="1"/>
    <n v="17202"/>
    <n v="1"/>
    <x v="142"/>
    <n v="16109"/>
    <m/>
  </r>
  <r>
    <n v="233"/>
    <s v="CH-COD-UG-FEL01-032-A"/>
    <x v="48"/>
    <s v="Codelco_Panel Central"/>
    <s v="Codelco"/>
    <x v="0"/>
    <n v="2023"/>
    <n v="1"/>
    <n v="45231"/>
    <n v="8191"/>
    <n v="1"/>
    <d v="2023-11-20T00:00:00"/>
    <n v="3"/>
    <n v="8131"/>
    <n v="167"/>
    <d v="2024-02-26T00:00:00"/>
    <n v="1"/>
    <n v="8131"/>
    <n v="1"/>
    <x v="142"/>
    <n v="8131"/>
    <m/>
  </r>
  <r>
    <n v="234"/>
    <s v="CH-COD-CS-OTR00-124-A"/>
    <x v="49"/>
    <s v="Codelco_Prácticas de Planificación DMH"/>
    <s v="Codelco"/>
    <x v="0"/>
    <n v="2024"/>
    <n v="-1"/>
    <m/>
    <m/>
    <n v="1"/>
    <d v="2024-11-23T00:00:00"/>
    <n v="1"/>
    <n v="14342"/>
    <n v="254"/>
    <d v="2025-01-10T00:00:00"/>
    <n v="1"/>
    <n v="14342"/>
    <n v="1"/>
    <x v="132"/>
    <n v="14882.6934"/>
    <m/>
  </r>
  <r>
    <n v="235"/>
    <s v="PE-MSR-OT-OTR00-019-A"/>
    <x v="50"/>
    <s v="Compilación R&amp;R Mina Justa"/>
    <s v="Minsur"/>
    <x v="2"/>
    <n v="2023"/>
    <n v="-1"/>
    <m/>
    <m/>
    <n v="1"/>
    <d v="2023-03-24T00:00:00"/>
    <n v="1"/>
    <n v="18302.625"/>
    <s v="E001-181"/>
    <d v="2023-04-10T00:00:00"/>
    <n v="1"/>
    <n v="18302.61"/>
    <n v="1"/>
    <x v="150"/>
    <n v="18302.61"/>
    <m/>
  </r>
  <r>
    <n v="236"/>
    <s v="PE-MSR-OT-OTR00-019-A"/>
    <x v="50"/>
    <s v="Compilación R&amp;R Mina Justa"/>
    <s v="Minsur"/>
    <x v="2"/>
    <n v="2023"/>
    <n v="-1"/>
    <m/>
    <m/>
    <n v="1"/>
    <d v="2023-04-21T00:00:00"/>
    <n v="2"/>
    <n v="7732.125"/>
    <s v="E001-187"/>
    <d v="2023-05-04T00:00:00"/>
    <n v="1"/>
    <n v="7732.4"/>
    <n v="1"/>
    <x v="151"/>
    <n v="7732.4"/>
    <m/>
  </r>
  <r>
    <n v="237"/>
    <s v="PE-MSR-OT-OTR00-019-A"/>
    <x v="50"/>
    <s v="Compilación R&amp;R Mina Pucamarca"/>
    <s v="Minsur"/>
    <x v="2"/>
    <n v="2023"/>
    <n v="-1"/>
    <m/>
    <m/>
    <n v="1"/>
    <d v="2023-05-21T00:00:00"/>
    <n v="1"/>
    <n v="18639.75"/>
    <s v="E001-194"/>
    <d v="2023-06-26T00:00:00"/>
    <n v="1"/>
    <n v="18639.75"/>
    <n v="1"/>
    <x v="18"/>
    <n v="18639.75"/>
    <s v="Se respondió en la misma factura"/>
  </r>
  <r>
    <n v="238"/>
    <s v="PE-MSR-OT-OTR00-019-A"/>
    <x v="50"/>
    <s v="Compilación R&amp;R Mina Raura"/>
    <s v="Minsur"/>
    <x v="2"/>
    <n v="2023"/>
    <n v="-1"/>
    <m/>
    <m/>
    <n v="1"/>
    <d v="2023-03-24T00:00:00"/>
    <n v="1"/>
    <n v="14735.625"/>
    <s v="E001-182"/>
    <d v="2023-04-10T00:00:00"/>
    <n v="1"/>
    <n v="14736"/>
    <n v="1"/>
    <x v="150"/>
    <n v="14736"/>
    <m/>
  </r>
  <r>
    <n v="239"/>
    <s v="PE-MSR-OT-OTR00-019-A"/>
    <x v="50"/>
    <s v="Compilación R&amp;R Mina Raura"/>
    <s v="Minsur"/>
    <x v="2"/>
    <n v="2023"/>
    <n v="-1"/>
    <m/>
    <m/>
    <n v="1"/>
    <d v="2023-04-21T00:00:00"/>
    <n v="2"/>
    <n v="6840.375"/>
    <s v="E001-197"/>
    <d v="2023-07-12T00:00:00"/>
    <n v="1"/>
    <n v="6840.375"/>
    <n v="1"/>
    <x v="12"/>
    <n v="6840.375"/>
    <m/>
  </r>
  <r>
    <n v="240"/>
    <s v="PE-MSR-OT-OTR00-019-A"/>
    <x v="50"/>
    <s v="Compilación R&amp;R Mina San Rafael"/>
    <s v="Minsur"/>
    <x v="2"/>
    <n v="2023"/>
    <n v="-1"/>
    <m/>
    <m/>
    <n v="1"/>
    <d v="2023-05-21T00:00:00"/>
    <n v="1"/>
    <n v="22837.5"/>
    <s v="E001-194"/>
    <d v="2023-06-26T00:00:00"/>
    <n v="1"/>
    <n v="22837.5"/>
    <n v="1"/>
    <x v="18"/>
    <n v="22837.5"/>
    <s v="Se respondió en la misma factura"/>
  </r>
  <r>
    <n v="241"/>
    <s v="PE-COR-UG-FEL00-076-A"/>
    <x v="51"/>
    <s v="Coripuno_Metodos de Minado"/>
    <s v="Coripuno"/>
    <x v="2"/>
    <n v="2024"/>
    <n v="1"/>
    <d v="2024-05-01T00:00:00"/>
    <n v="46933.000000000007"/>
    <n v="1"/>
    <d v="2024-07-25T00:00:00"/>
    <n v="1"/>
    <n v="105000"/>
    <s v="E001-260"/>
    <d v="2024-08-16T00:00:00"/>
    <n v="1"/>
    <n v="105000"/>
    <n v="1"/>
    <x v="152"/>
    <n v="102860"/>
    <m/>
  </r>
  <r>
    <n v="242"/>
    <s v="CH-CSH-OP-FEL00-034-A"/>
    <x v="52"/>
    <s v="LOM Mina Guarello"/>
    <s v="CSH"/>
    <x v="0"/>
    <n v="2023"/>
    <n v="1"/>
    <d v="2023-12-01T00:00:00"/>
    <n v="19065"/>
    <n v="1"/>
    <d v="2023-12-21T00:00:00"/>
    <n v="1"/>
    <n v="19065"/>
    <n v="157"/>
    <d v="2024-01-17T00:00:00"/>
    <n v="1"/>
    <n v="19065"/>
    <n v="1"/>
    <x v="147"/>
    <n v="19065"/>
    <m/>
  </r>
  <r>
    <n v="243"/>
    <s v="CH-CSH-OP-FEL00-034-A"/>
    <x v="52"/>
    <s v="LOM Mina Guarello"/>
    <s v="CSH"/>
    <x v="0"/>
    <n v="2024"/>
    <n v="1"/>
    <d v="2024-01-01T00:00:00"/>
    <n v="19064"/>
    <n v="1"/>
    <d v="2024-01-25T00:00:00"/>
    <n v="2"/>
    <n v="19065"/>
    <n v="171"/>
    <d v="2024-03-13T00:00:00"/>
    <n v="1"/>
    <n v="19065"/>
    <n v="1"/>
    <x v="153"/>
    <n v="19065"/>
    <m/>
  </r>
  <r>
    <n v="244"/>
    <s v="CH-CSH-OP-FEL00-034-A"/>
    <x v="52"/>
    <s v="LOM Mina Guarello"/>
    <s v="CSH"/>
    <x v="0"/>
    <n v="2024"/>
    <n v="1"/>
    <d v="2024-02-01T00:00:00"/>
    <n v="19065"/>
    <n v="1"/>
    <d v="2024-02-25T00:00:00"/>
    <n v="3"/>
    <n v="19065"/>
    <n v="172"/>
    <d v="2024-03-14T00:00:00"/>
    <n v="1"/>
    <n v="19065"/>
    <n v="1"/>
    <x v="154"/>
    <n v="19065"/>
    <m/>
  </r>
  <r>
    <n v="245"/>
    <s v="CH-CSH-OP-FEL00-034-A"/>
    <x v="52"/>
    <s v="LOM Mina Guarello"/>
    <s v="CSH"/>
    <x v="0"/>
    <n v="2024"/>
    <n v="1"/>
    <d v="2024-03-01T00:00:00"/>
    <n v="19065"/>
    <n v="1"/>
    <d v="2024-03-25T00:00:00"/>
    <n v="4"/>
    <n v="19065"/>
    <n v="179"/>
    <d v="2024-04-25T00:00:00"/>
    <n v="1"/>
    <n v="19065"/>
    <n v="1"/>
    <x v="155"/>
    <n v="19065"/>
    <m/>
  </r>
  <r>
    <n v="246"/>
    <s v="CH-CSH-OP-FEL00-034-A"/>
    <x v="52"/>
    <s v="LOM Mina Guarello"/>
    <s v="CSH"/>
    <x v="0"/>
    <n v="2024"/>
    <n v="1"/>
    <d v="2024-04-01T00:00:00"/>
    <n v="19065"/>
    <n v="1"/>
    <d v="2024-04-25T00:00:00"/>
    <n v="5"/>
    <n v="19065"/>
    <n v="181"/>
    <d v="2024-05-07T00:00:00"/>
    <n v="1"/>
    <n v="19065"/>
    <n v="1"/>
    <x v="156"/>
    <n v="19065"/>
    <m/>
  </r>
  <r>
    <n v="247"/>
    <s v="CH-CSH-OP-FEL00-034-A"/>
    <x v="52"/>
    <s v="LOM Mina Guarello"/>
    <s v="CSH"/>
    <x v="0"/>
    <n v="2024"/>
    <n v="1"/>
    <n v="45413"/>
    <n v="19065"/>
    <n v="1"/>
    <d v="2024-07-25T00:00:00"/>
    <n v="6"/>
    <n v="19065"/>
    <n v="216"/>
    <d v="2024-09-16T00:00:00"/>
    <n v="1"/>
    <n v="19065"/>
    <n v="1"/>
    <x v="157"/>
    <n v="19065"/>
    <m/>
  </r>
  <r>
    <n v="248"/>
    <s v="CH-BHP-CD-OTR00-003-A"/>
    <x v="53"/>
    <s v="Plan 2YB - Spence"/>
    <s v="BHP"/>
    <x v="0"/>
    <n v="2023"/>
    <n v="-1"/>
    <m/>
    <m/>
    <n v="1"/>
    <d v="2023-02-21T00:00:00"/>
    <n v="1"/>
    <n v="50688.322500000002"/>
    <n v="52"/>
    <d v="2023-03-06T00:00:00"/>
    <n v="1"/>
    <n v="50688.322500000002"/>
    <n v="1"/>
    <x v="158"/>
    <n v="50688.322500000002"/>
    <m/>
  </r>
  <r>
    <n v="249"/>
    <s v="PE-MSR-UG-OTR00-003-C"/>
    <x v="54"/>
    <s v="Desarrollo casos LOM UM Raura"/>
    <s v="Raura"/>
    <x v="2"/>
    <n v="2023"/>
    <n v="-1"/>
    <m/>
    <m/>
    <n v="1"/>
    <d v="2022-11-21T00:00:00"/>
    <n v="1"/>
    <n v="14112"/>
    <s v="E001-174"/>
    <d v="2023-01-27T00:00:00"/>
    <n v="1"/>
    <n v="14112"/>
    <n v="1"/>
    <x v="159"/>
    <n v="14112"/>
    <m/>
  </r>
  <r>
    <n v="250"/>
    <s v="PE-SME-UG-OTR00-003-F"/>
    <x v="55"/>
    <s v="Desarrollo del Plan de Minado"/>
    <s v="Sierra metals"/>
    <x v="2"/>
    <n v="2023"/>
    <n v="-1"/>
    <m/>
    <m/>
    <n v="1"/>
    <d v="2023-04-21T00:00:00"/>
    <n v="1"/>
    <n v="36335.699999999997"/>
    <s v="E001-188"/>
    <d v="2023-05-09T00:00:00"/>
    <n v="1"/>
    <n v="36335.699999999997"/>
    <n v="1"/>
    <x v="160"/>
    <n v="36335.699999999997"/>
    <m/>
  </r>
  <r>
    <n v="251"/>
    <s v="PE-SME-UG-OTR00-003-F"/>
    <x v="55"/>
    <s v="Desarrollo del Plan de Minado"/>
    <s v="Sierra metals"/>
    <x v="2"/>
    <n v="2023"/>
    <n v="-1"/>
    <m/>
    <m/>
    <n v="1"/>
    <d v="2023-06-21T00:00:00"/>
    <n v="2"/>
    <n v="3345.3000000000029"/>
    <s v="E001-215"/>
    <d v="2023-12-06T00:00:00"/>
    <n v="1"/>
    <n v="3345.3000000000029"/>
    <n v="1"/>
    <x v="161"/>
    <n v="3345.3000000000029"/>
    <s v="El dia 30/06 se envio el EDP / el 20-11 se conversó con el cliente para que regularic el pago (es pago directo, no hay HES)"/>
  </r>
  <r>
    <n v="252"/>
    <s v="PE-MSR-OT-OTR00-003-E"/>
    <x v="56"/>
    <s v="Desarrollo plan LOM en Reservas"/>
    <s v="Raura"/>
    <x v="2"/>
    <n v="2023"/>
    <n v="-1"/>
    <m/>
    <m/>
    <n v="1"/>
    <d v="2022-12-21T00:00:00"/>
    <n v="1"/>
    <n v="32480"/>
    <s v="E001-184"/>
    <d v="2023-04-10T00:00:00"/>
    <n v="1"/>
    <n v="32480"/>
    <n v="1"/>
    <x v="150"/>
    <n v="32480"/>
    <m/>
  </r>
  <r>
    <n v="253"/>
    <s v="PE-MSR-OT-OTR00-003-E"/>
    <x v="56"/>
    <s v="Desarrollo plan LOM en Reservas"/>
    <s v="Minsur"/>
    <x v="2"/>
    <n v="2023"/>
    <n v="-1"/>
    <m/>
    <m/>
    <n v="1"/>
    <d v="2023-02-21T00:00:00"/>
    <n v="2"/>
    <n v="32320"/>
    <s v="E001-183"/>
    <d v="2023-04-10T00:00:00"/>
    <n v="1"/>
    <n v="32320"/>
    <n v="1"/>
    <x v="150"/>
    <n v="32320"/>
    <m/>
  </r>
  <r>
    <n v="254"/>
    <s v="CH-LUN-CS-OTR00-007-A"/>
    <x v="57"/>
    <s v="Candelaria Diagnostico"/>
    <s v="Lundin"/>
    <x v="0"/>
    <n v="2023"/>
    <n v="-1"/>
    <m/>
    <m/>
    <n v="1"/>
    <d v="2023-05-21T00:00:00"/>
    <n v="1"/>
    <n v="93882.67"/>
    <n v="80"/>
    <d v="2023-06-08T00:00:00"/>
    <n v="1"/>
    <n v="96154"/>
    <n v="1"/>
    <x v="162"/>
    <n v="96154"/>
    <s v="Enviado para revision interna EdP 1"/>
  </r>
  <r>
    <n v="255"/>
    <s v="CH-LUN-CS-OTR00-007-A"/>
    <x v="57"/>
    <s v="Candelaria Diagnostico"/>
    <s v="Lundin"/>
    <x v="0"/>
    <n v="2023"/>
    <n v="-1"/>
    <m/>
    <m/>
    <n v="1"/>
    <d v="2023-06-21T00:00:00"/>
    <n v="2"/>
    <n v="14927"/>
    <n v="107"/>
    <d v="2023-09-14T00:00:00"/>
    <n v="1"/>
    <n v="14927"/>
    <n v="1"/>
    <x v="163"/>
    <n v="14927"/>
    <m/>
  </r>
  <r>
    <n v="256"/>
    <s v="CH-LUN-CS-OTR00-007-A"/>
    <x v="57"/>
    <s v="Candelaria Diagnostico"/>
    <s v="Lundin"/>
    <x v="0"/>
    <n v="2023"/>
    <n v="-1"/>
    <m/>
    <m/>
    <n v="1"/>
    <d v="2023-07-27T00:00:00"/>
    <n v="3"/>
    <n v="20074.29"/>
    <n v="108"/>
    <d v="2023-09-14T00:00:00"/>
    <n v="1"/>
    <n v="20074"/>
    <n v="1"/>
    <x v="163"/>
    <n v="20074"/>
    <m/>
  </r>
  <r>
    <n v="257"/>
    <s v="CH-LUN-CS-OTR00-007-A"/>
    <x v="57"/>
    <s v="Candelaria Diagnostico"/>
    <s v="Lundin"/>
    <x v="0"/>
    <n v="2023"/>
    <n v="-1"/>
    <m/>
    <m/>
    <n v="1"/>
    <d v="2023-08-25T00:00:00"/>
    <n v="4"/>
    <n v="20556"/>
    <n v="111"/>
    <d v="2023-10-03T00:00:00"/>
    <n v="1"/>
    <n v="20556"/>
    <n v="1"/>
    <x v="88"/>
    <n v="20556"/>
    <m/>
  </r>
  <r>
    <n v="258"/>
    <s v="CH-LUN-CS-OTR00-007-A"/>
    <x v="57"/>
    <s v="Candelaria Diagnostico"/>
    <s v="Lundin"/>
    <x v="0"/>
    <n v="2023"/>
    <n v="1"/>
    <d v="2023-09-01T00:00:00"/>
    <n v="21776"/>
    <n v="1"/>
    <d v="2023-09-25T00:00:00"/>
    <n v="5"/>
    <n v="29101"/>
    <n v="112"/>
    <d v="2023-10-03T00:00:00"/>
    <n v="1"/>
    <n v="29101"/>
    <n v="1"/>
    <x v="88"/>
    <n v="29101"/>
    <m/>
  </r>
  <r>
    <n v="259"/>
    <s v="OT-EMX-CS-OTR00-087-A"/>
    <x v="58"/>
    <s v="EMX_Due Diligence de Chapi"/>
    <s v="EMX"/>
    <x v="1"/>
    <n v="2024"/>
    <n v="-1"/>
    <m/>
    <m/>
    <n v="1"/>
    <d v="2024-07-08T00:00:00"/>
    <n v="1"/>
    <n v="26649"/>
    <n v="1"/>
    <d v="2024-07-08T00:00:00"/>
    <n v="1"/>
    <n v="26649"/>
    <n v="1"/>
    <x v="164"/>
    <n v="26649"/>
    <m/>
  </r>
  <r>
    <n v="260"/>
    <s v="OT-EMX-CS-OTR00-087-A"/>
    <x v="58"/>
    <s v="EMX_Due Diligence de Chapi"/>
    <s v="EMX"/>
    <x v="1"/>
    <n v="2024"/>
    <n v="-1"/>
    <m/>
    <m/>
    <n v="1"/>
    <d v="2024-08-20T00:00:00"/>
    <n v="2"/>
    <n v="133045"/>
    <s v="3_4"/>
    <d v="2024-08-20T00:00:00"/>
    <n v="1"/>
    <n v="133045"/>
    <n v="1"/>
    <x v="165"/>
    <n v="133045"/>
    <m/>
  </r>
  <r>
    <n v="261"/>
    <s v="OT-EMX-CS-OTR00-091-A"/>
    <x v="59"/>
    <s v="EMX_Metallurgical expert for review"/>
    <s v="EMX"/>
    <x v="1"/>
    <n v="2024"/>
    <n v="-1"/>
    <m/>
    <m/>
    <n v="1"/>
    <d v="2024-06-10T00:00:00"/>
    <n v="1"/>
    <n v="15000"/>
    <n v="1"/>
    <d v="2024-06-30T00:00:00"/>
    <n v="1"/>
    <n v="14850"/>
    <n v="1"/>
    <x v="166"/>
    <n v="14850"/>
    <m/>
  </r>
  <r>
    <n v="262"/>
    <s v="BR-EQG-UG-FEL03-172-A"/>
    <x v="60"/>
    <s v="EQUINOX_Actualización Ing. Básica UG"/>
    <s v="EQUINOX"/>
    <x v="3"/>
    <n v="2025"/>
    <n v="-1"/>
    <m/>
    <m/>
    <n v="1"/>
    <d v="2025-09-15T00:00:00"/>
    <n v="1"/>
    <n v="12415"/>
    <n v="104"/>
    <d v="2025-09-24T00:00:00"/>
    <n v="1"/>
    <n v="12155.229357798165"/>
    <n v="1"/>
    <x v="1"/>
    <n v="11652.002862385321"/>
    <m/>
  </r>
  <r>
    <n v="263"/>
    <s v="BR-EQG-UG-FEL03-172-A"/>
    <x v="60"/>
    <s v="EQUINOX_Actualización Ing. Básica UG"/>
    <s v="EQUINOX"/>
    <x v="3"/>
    <n v="2025"/>
    <n v="-1"/>
    <m/>
    <m/>
    <n v="1"/>
    <d v="2025-10-15T00:00:00"/>
    <n v="2"/>
    <n v="50598"/>
    <n v="107"/>
    <d v="2025-10-24T00:00:00"/>
    <n v="1"/>
    <n v="50598"/>
    <n v="1"/>
    <x v="1"/>
    <n v="48503.2428"/>
    <m/>
  </r>
  <r>
    <n v="264"/>
    <s v="BR-EQG-UG-FEL03-172-A"/>
    <x v="60"/>
    <s v="EQUINOX_Actualización Ing. Básica UG"/>
    <s v="EQUINOX"/>
    <x v="3"/>
    <n v="2025"/>
    <n v="-1"/>
    <m/>
    <m/>
    <n v="1"/>
    <d v="2025-11-15T00:00:00"/>
    <n v="3"/>
    <n v="146624"/>
    <n v="115"/>
    <d v="2025-11-25T00:00:00"/>
    <n v="1"/>
    <n v="145467"/>
    <n v="1"/>
    <x v="167"/>
    <n v="130948"/>
    <m/>
  </r>
  <r>
    <n v="265"/>
    <s v="BR-EQG-UG-FEL03-172-A"/>
    <x v="60"/>
    <s v="EQUINOX_Actualización Ing. Básica UG"/>
    <s v="EQUINOX"/>
    <x v="3"/>
    <n v="2025"/>
    <n v="-1"/>
    <m/>
    <m/>
    <n v="1"/>
    <d v="2025-12-15T00:00:00"/>
    <n v="4"/>
    <n v="97211"/>
    <n v="118"/>
    <d v="2025-12-23T00:00:00"/>
    <n v="1"/>
    <n v="97211"/>
    <n v="-1"/>
    <x v="168"/>
    <n v="91918"/>
    <m/>
  </r>
  <r>
    <n v="266"/>
    <s v="BR-EQG-UG-FEL03-172-A"/>
    <x v="60"/>
    <s v="EQUINOX_Actualización Ing. Básica UG"/>
    <s v="EQUINOX"/>
    <x v="3"/>
    <n v="2026"/>
    <n v="-1"/>
    <m/>
    <m/>
    <n v="1"/>
    <d v="2026-01-20T00:00:00"/>
    <n v="5"/>
    <n v="47145"/>
    <s v="Pendiente"/>
    <m/>
    <n v="-1"/>
    <m/>
    <n v="-1"/>
    <x v="31"/>
    <n v="47145"/>
    <m/>
  </r>
  <r>
    <n v="267"/>
    <s v="BR-ERC-UG-FEL00-152-A"/>
    <x v="61"/>
    <s v="EroCopper_Scoping Proyecto Furnas"/>
    <s v="EroCopper"/>
    <x v="3"/>
    <n v="2025"/>
    <n v="-1"/>
    <m/>
    <m/>
    <n v="1"/>
    <d v="2025-06-20T00:00:00"/>
    <n v="1"/>
    <n v="58058"/>
    <n v="73"/>
    <d v="2025-06-25T00:00:00"/>
    <n v="1"/>
    <n v="50063"/>
    <n v="1"/>
    <x v="74"/>
    <n v="50063"/>
    <s v="Contablemente se pagó el 01/08"/>
  </r>
  <r>
    <n v="268"/>
    <s v="BR-ERC-UG-FEL00-152-A"/>
    <x v="61"/>
    <s v="EroCopper_Scoping Proyecto Furnas"/>
    <s v="EroCopper"/>
    <x v="3"/>
    <n v="2025"/>
    <n v="-1"/>
    <m/>
    <m/>
    <n v="1"/>
    <d v="2025-07-14T00:00:00"/>
    <n v="2"/>
    <n v="22640.41"/>
    <n v="78"/>
    <d v="2025-07-15T00:00:00"/>
    <n v="1"/>
    <n v="22640.41"/>
    <n v="1"/>
    <x v="169"/>
    <n v="19610.669999999998"/>
    <m/>
  </r>
  <r>
    <n v="269"/>
    <s v="BR-ERC-UG-FEL00-152-A"/>
    <x v="61"/>
    <s v="EroCopper_Scoping Proyecto Furnas"/>
    <s v="EroCopper"/>
    <x v="3"/>
    <n v="2025"/>
    <n v="-1"/>
    <m/>
    <m/>
    <n v="1"/>
    <d v="2025-08-19T00:00:00"/>
    <n v="3"/>
    <n v="73156"/>
    <n v="85"/>
    <d v="2025-08-20T00:00:00"/>
    <n v="1"/>
    <n v="73795"/>
    <n v="1"/>
    <x v="170"/>
    <n v="61585"/>
    <m/>
  </r>
  <r>
    <n v="270"/>
    <s v="BR-ERC-UG-FEL00-152-A"/>
    <x v="61"/>
    <s v="EroCopper_Scoping Proyecto Furnas"/>
    <s v="EroCopper"/>
    <x v="3"/>
    <n v="2025"/>
    <n v="-1"/>
    <m/>
    <m/>
    <n v="1"/>
    <d v="2025-09-12T00:00:00"/>
    <n v="4"/>
    <n v="70232"/>
    <n v="93"/>
    <d v="2025-09-19T00:00:00"/>
    <n v="1"/>
    <n v="68819.633027522927"/>
    <n v="1"/>
    <x v="64"/>
    <n v="58240"/>
    <m/>
  </r>
  <r>
    <n v="271"/>
    <s v="BR-ERC-UG-FEL00-152-A"/>
    <x v="61"/>
    <s v="EroCopper_Scoping Proyecto Furnas"/>
    <s v="EroCopper"/>
    <x v="3"/>
    <n v="2025"/>
    <n v="-1"/>
    <m/>
    <m/>
    <n v="1"/>
    <d v="2025-10-15T00:00:00"/>
    <n v="5"/>
    <n v="38174"/>
    <n v="100"/>
    <d v="2025-10-17T00:00:00"/>
    <n v="1"/>
    <n v="34046"/>
    <n v="1"/>
    <x v="1"/>
    <n v="32689"/>
    <m/>
  </r>
  <r>
    <n v="272"/>
    <s v="BR-ERC-UG-FEL00-152-A"/>
    <x v="61"/>
    <s v="EroCopper_Scoping Proyecto Furnas"/>
    <s v="EroCopper"/>
    <x v="3"/>
    <n v="2025"/>
    <n v="-1"/>
    <m/>
    <m/>
    <n v="1"/>
    <d v="2025-11-15T00:00:00"/>
    <n v="6"/>
    <n v="61627"/>
    <n v="113"/>
    <d v="2025-11-18T00:00:00"/>
    <n v="1"/>
    <n v="61627"/>
    <n v="1"/>
    <x v="171"/>
    <n v="51794"/>
    <s v="Retiene 10%"/>
  </r>
  <r>
    <n v="273"/>
    <s v="BR-ERC-UG-FEL00-152-A"/>
    <x v="61"/>
    <s v="EroCopper_Scoping Proyecto Furnas"/>
    <s v="EroCopper"/>
    <x v="3"/>
    <n v="2025"/>
    <n v="-1"/>
    <m/>
    <m/>
    <n v="1"/>
    <d v="2025-12-15T00:00:00"/>
    <n v="7"/>
    <n v="50479"/>
    <n v="117"/>
    <d v="2025-12-19T00:00:00"/>
    <n v="1"/>
    <n v="50479"/>
    <n v="-1"/>
    <x v="172"/>
    <n v="42274"/>
    <m/>
  </r>
  <r>
    <n v="274"/>
    <s v="BR-ERC-UG-FEL00-152-A"/>
    <x v="61"/>
    <s v="EroCopper_Scoping Proyecto Furnas"/>
    <s v="EroCopper"/>
    <x v="3"/>
    <n v="2026"/>
    <n v="-1"/>
    <m/>
    <m/>
    <n v="1"/>
    <d v="2026-01-19T00:00:00"/>
    <n v="8"/>
    <n v="49840"/>
    <n v="3"/>
    <d v="2026-01-22T00:00:00"/>
    <n v="1"/>
    <n v="45265"/>
    <n v="-1"/>
    <x v="101"/>
    <n v="45265"/>
    <m/>
  </r>
  <r>
    <n v="275"/>
    <s v="CH-D&amp;P-CS-OTR00-137-A"/>
    <x v="62"/>
    <s v="Estrategia Cobre Panama"/>
    <s v="Debevoise&amp;Plimpton"/>
    <x v="4"/>
    <n v="2025"/>
    <n v="-1"/>
    <m/>
    <m/>
    <n v="1"/>
    <d v="2025-02-25T00:00:00"/>
    <n v="1"/>
    <n v="82861"/>
    <s v="s/F"/>
    <d v="2025-05-26T00:00:00"/>
    <n v="1"/>
    <n v="82861"/>
    <n v="1"/>
    <x v="173"/>
    <n v="82861"/>
    <s v="BVI"/>
  </r>
  <r>
    <n v="276"/>
    <s v="CH-D&amp;P-CS-OTR00-137-A"/>
    <x v="62"/>
    <s v="Estrategia Cobre Panama"/>
    <s v="Debevoise&amp;Plimpton"/>
    <x v="4"/>
    <n v="2025"/>
    <n v="-1"/>
    <m/>
    <m/>
    <n v="1"/>
    <d v="2025-03-25T00:00:00"/>
    <n v="2"/>
    <n v="89646"/>
    <s v="s/F"/>
    <d v="2025-05-26T00:00:00"/>
    <n v="1"/>
    <n v="89646"/>
    <n v="1"/>
    <x v="173"/>
    <n v="89646"/>
    <s v="BVI"/>
  </r>
  <r>
    <n v="277"/>
    <s v="CH-D&amp;P-CS-OTR00-137-A"/>
    <x v="62"/>
    <s v="Estrategia Cobre Panama"/>
    <s v="Debevoise&amp;Plimpton"/>
    <x v="4"/>
    <n v="2025"/>
    <n v="-1"/>
    <m/>
    <m/>
    <n v="1"/>
    <d v="2025-07-21T00:00:00"/>
    <n v="3"/>
    <n v="99524"/>
    <s v="s/F"/>
    <d v="2025-07-24T00:00:00"/>
    <n v="1"/>
    <n v="99524"/>
    <n v="1"/>
    <x v="55"/>
    <n v="99524"/>
    <s v="BVI"/>
  </r>
  <r>
    <n v="278"/>
    <s v="PE-BRO-OT-OTR00-003-D"/>
    <x v="63"/>
    <s v="Estudio con Faja Transportadora"/>
    <s v="El Brocal"/>
    <x v="2"/>
    <n v="2023"/>
    <n v="-1"/>
    <m/>
    <m/>
    <n v="1"/>
    <d v="2022-12-21T00:00:00"/>
    <n v="1"/>
    <n v="15716.25"/>
    <s v="E001-173"/>
    <d v="2023-01-27T00:00:00"/>
    <n v="1"/>
    <n v="15176"/>
    <n v="1"/>
    <x v="159"/>
    <n v="15176"/>
    <m/>
  </r>
  <r>
    <n v="279"/>
    <s v="PE-BRO-OT-OTR00-003-D"/>
    <x v="63"/>
    <s v="Estudio con Faja Transportadora"/>
    <s v="El Brocal"/>
    <x v="2"/>
    <n v="2023"/>
    <n v="-1"/>
    <m/>
    <m/>
    <n v="1"/>
    <d v="2023-02-21T00:00:00"/>
    <n v="2"/>
    <n v="35043.75"/>
    <s v="E001-179"/>
    <d v="2023-03-03T00:00:00"/>
    <n v="1"/>
    <n v="35043.75"/>
    <n v="1"/>
    <x v="174"/>
    <n v="35043.75"/>
    <m/>
  </r>
  <r>
    <n v="280"/>
    <m/>
    <x v="64"/>
    <s v="Euclidea Consulting "/>
    <s v="Euclidea Consulting "/>
    <x v="1"/>
    <n v="2025"/>
    <n v="-1"/>
    <m/>
    <m/>
    <n v="-1"/>
    <m/>
    <m/>
    <m/>
    <s v="s/F"/>
    <d v="2025-07-30T00:00:00"/>
    <n v="1"/>
    <n v="20000"/>
    <n v="1"/>
    <x v="175"/>
    <n v="20000"/>
    <m/>
  </r>
  <r>
    <n v="281"/>
    <s v="RU-ECH-UG-FEL00-081-A"/>
    <x v="65"/>
    <s v="Eurochem_Himmelfarb Deposit"/>
    <s v="Eurochem"/>
    <x v="5"/>
    <n v="2024"/>
    <n v="-1"/>
    <m/>
    <m/>
    <n v="1"/>
    <d v="2024-07-25T00:00:00"/>
    <n v="1"/>
    <n v="76050"/>
    <s v="s/F"/>
    <d v="2024-10-17T00:00:00"/>
    <n v="1"/>
    <n v="76050"/>
    <n v="1"/>
    <x v="176"/>
    <n v="76050"/>
    <m/>
  </r>
  <r>
    <n v="282"/>
    <s v="RU-ECH-UG-FEL00-081-A"/>
    <x v="65"/>
    <s v="Eurochem_Himmelfarb Deposit"/>
    <s v="Eurochem"/>
    <x v="5"/>
    <n v="2024"/>
    <n v="-1"/>
    <m/>
    <m/>
    <n v="1"/>
    <d v="2024-12-25T00:00:00"/>
    <n v="2"/>
    <n v="76050"/>
    <s v="s/F"/>
    <d v="2024-12-25T00:00:00"/>
    <n v="1"/>
    <n v="76050"/>
    <n v="1"/>
    <x v="149"/>
    <n v="76050"/>
    <m/>
  </r>
  <r>
    <n v="283"/>
    <s v="PE-GLE-OP-FEL2A-054-A"/>
    <x v="66"/>
    <s v="Glencore_Coroccohuayco_OptimizacionLOM"/>
    <s v="Glencore"/>
    <x v="2"/>
    <n v="2024"/>
    <n v="1"/>
    <d v="2024-04-01T00:00:00"/>
    <n v="88024"/>
    <n v="1"/>
    <d v="2024-04-18T00:00:00"/>
    <n v="1"/>
    <n v="85103"/>
    <s v="E001-240"/>
    <d v="2024-05-15T00:00:00"/>
    <n v="1"/>
    <n v="85103"/>
    <n v="1"/>
    <x v="35"/>
    <n v="82549.91"/>
    <m/>
  </r>
  <r>
    <n v="284"/>
    <s v="PE-GLE-OP-FEL2A-054-A"/>
    <x v="66"/>
    <s v="Glencore_Coroccohuayco_OptimizacionLOM"/>
    <s v="Glencore"/>
    <x v="2"/>
    <n v="2024"/>
    <n v="-1"/>
    <m/>
    <m/>
    <n v="1"/>
    <d v="2024-05-18T00:00:00"/>
    <n v="2"/>
    <n v="70709"/>
    <s v="E001-241"/>
    <d v="2024-05-29T00:00:00"/>
    <n v="1"/>
    <n v="70709"/>
    <n v="1"/>
    <x v="35"/>
    <n v="70709.97"/>
    <m/>
  </r>
  <r>
    <n v="285"/>
    <s v="PE-GLE-OP-FEL2A-054-A"/>
    <x v="66"/>
    <s v="Glencore_Coroccohuayco_OptimizacionLOM"/>
    <s v="Glencore"/>
    <x v="2"/>
    <n v="2024"/>
    <n v="-1"/>
    <m/>
    <m/>
    <n v="1"/>
    <d v="2024-07-25T00:00:00"/>
    <n v="3"/>
    <n v="42188"/>
    <s v="E001-262"/>
    <d v="2024-08-20T00:00:00"/>
    <n v="1"/>
    <n v="40869"/>
    <n v="1"/>
    <x v="36"/>
    <n v="40036"/>
    <m/>
  </r>
  <r>
    <n v="286"/>
    <s v="CH-GLE-CS-OTR00-094-A"/>
    <x v="67"/>
    <s v="Glencore_MineHaul y MinePlan Lomas Bayas"/>
    <s v="CMP"/>
    <x v="0"/>
    <n v="2024"/>
    <n v="-1"/>
    <m/>
    <m/>
    <n v="1"/>
    <d v="2024-08-23T00:00:00"/>
    <n v="1"/>
    <n v="12000"/>
    <n v="215"/>
    <d v="2024-09-12T00:00:00"/>
    <n v="1"/>
    <n v="12000"/>
    <n v="1"/>
    <x v="119"/>
    <n v="12000"/>
    <m/>
  </r>
  <r>
    <n v="287"/>
    <s v="PE-HUD-GM-FEL00-153-A"/>
    <x v="68"/>
    <s v="Hudbay_Actualización Riesgo Sísmico"/>
    <s v="Hudbay"/>
    <x v="2"/>
    <n v="2025"/>
    <n v="-1"/>
    <m/>
    <m/>
    <n v="1"/>
    <d v="2025-05-27T00:00:00"/>
    <n v="1"/>
    <n v="36720"/>
    <s v="E001-313"/>
    <d v="2025-06-12T00:00:00"/>
    <n v="1"/>
    <n v="36720"/>
    <n v="1"/>
    <x v="175"/>
    <n v="36720"/>
    <m/>
  </r>
  <r>
    <n v="288"/>
    <s v="PE-SME-UG-OTR00-021-A"/>
    <x v="69"/>
    <s v="Modificacion MEIA Yauricocha"/>
    <s v="Sierra metals"/>
    <x v="2"/>
    <n v="2023"/>
    <n v="-1"/>
    <m/>
    <m/>
    <n v="1"/>
    <d v="2023-02-21T00:00:00"/>
    <n v="1"/>
    <n v="18991"/>
    <s v="E001-178"/>
    <d v="2023-02-28T00:00:00"/>
    <n v="1"/>
    <n v="18991"/>
    <n v="1"/>
    <x v="114"/>
    <n v="18991"/>
    <m/>
  </r>
  <r>
    <n v="289"/>
    <s v="OT-IEL-UG-FEL2A-088-A"/>
    <x v="70"/>
    <s v="IvanhoeElectric_Mine Planning Support"/>
    <s v="Ivanhoe"/>
    <x v="1"/>
    <n v="2024"/>
    <n v="-1"/>
    <m/>
    <m/>
    <n v="1"/>
    <d v="2024-07-25T00:00:00"/>
    <n v="9"/>
    <n v="16776"/>
    <n v="9"/>
    <d v="2024-08-06T00:00:00"/>
    <n v="1"/>
    <n v="16776"/>
    <n v="1"/>
    <x v="177"/>
    <n v="16776"/>
    <m/>
  </r>
  <r>
    <n v="290"/>
    <s v="OT-IEL-UG-FEL2A-088-A"/>
    <x v="70"/>
    <s v="IvanhoeElectric_Mine Planning Support"/>
    <s v="Ivanhoe"/>
    <x v="1"/>
    <n v="2024"/>
    <n v="-1"/>
    <m/>
    <m/>
    <n v="1"/>
    <d v="2024-07-25T00:00:00"/>
    <n v="10"/>
    <n v="21370"/>
    <n v="10"/>
    <d v="2024-08-06T00:00:00"/>
    <n v="1"/>
    <n v="21370"/>
    <n v="1"/>
    <x v="178"/>
    <n v="21370"/>
    <m/>
  </r>
  <r>
    <n v="291"/>
    <s v="OT-IEL-UG-FEL2A-088-A"/>
    <x v="70"/>
    <s v="IvanhoeElectric_Mine Planning Support"/>
    <s v="Ivanhoe"/>
    <x v="1"/>
    <n v="2024"/>
    <n v="-1"/>
    <m/>
    <m/>
    <n v="1"/>
    <d v="2024-08-30T00:00:00"/>
    <n v="11"/>
    <n v="24596"/>
    <n v="11"/>
    <d v="2024-09-03T00:00:00"/>
    <n v="1"/>
    <n v="24596"/>
    <n v="1"/>
    <x v="179"/>
    <n v="24596"/>
    <m/>
  </r>
  <r>
    <n v="292"/>
    <s v="OT-IEL-UG-FEL2A-088-A"/>
    <x v="70"/>
    <s v="IvanhoeElectric_Mine Planning Support"/>
    <s v="Ivanhoe"/>
    <x v="1"/>
    <n v="2024"/>
    <n v="-1"/>
    <m/>
    <m/>
    <n v="1"/>
    <d v="2024-09-30T00:00:00"/>
    <n v="12"/>
    <n v="45925"/>
    <n v="12"/>
    <d v="2024-10-03T00:00:00"/>
    <n v="1"/>
    <n v="45925"/>
    <n v="1"/>
    <x v="180"/>
    <n v="45925"/>
    <m/>
  </r>
  <r>
    <n v="293"/>
    <s v="OT-IEL-UG-FEL2A-088-A"/>
    <x v="70"/>
    <s v="IvanhoeElectric_Mine Planning Support"/>
    <s v="Ivanhoe"/>
    <x v="1"/>
    <n v="2024"/>
    <n v="-1"/>
    <m/>
    <m/>
    <n v="1"/>
    <d v="2024-10-31T00:00:00"/>
    <n v="13"/>
    <n v="46640"/>
    <n v="13"/>
    <d v="2024-11-01T00:00:00"/>
    <n v="1"/>
    <n v="46640"/>
    <n v="1"/>
    <x v="181"/>
    <n v="46640"/>
    <m/>
  </r>
  <r>
    <n v="294"/>
    <s v="OT-IEL-UG-FEL2A-060-A"/>
    <x v="71"/>
    <s v="IvanhoeElectric_Santa-Cruz_PrePFS"/>
    <s v="Ivanhoe"/>
    <x v="1"/>
    <n v="2023"/>
    <n v="1"/>
    <d v="2023-11-01T00:00:00"/>
    <n v="26000"/>
    <n v="1"/>
    <d v="2023-11-20T00:00:00"/>
    <n v="1"/>
    <n v="35720"/>
    <n v="1"/>
    <d v="2023-12-05T00:00:00"/>
    <n v="1"/>
    <n v="52804"/>
    <n v="1"/>
    <x v="182"/>
    <n v="52804"/>
    <m/>
  </r>
  <r>
    <n v="295"/>
    <s v="OT-IEL-UG-FEL2A-060-A"/>
    <x v="71"/>
    <s v="IvanhoeElectric_Santa-Cruz_PrePFS"/>
    <s v="Ivanhoe"/>
    <x v="1"/>
    <n v="2023"/>
    <n v="1"/>
    <d v="2023-12-01T00:00:00"/>
    <n v="35720"/>
    <n v="1"/>
    <d v="2023-12-29T00:00:00"/>
    <n v="2"/>
    <n v="66664"/>
    <n v="2"/>
    <d v="2024-01-05T00:00:00"/>
    <n v="1"/>
    <n v="66664"/>
    <n v="1"/>
    <x v="142"/>
    <n v="66664"/>
    <m/>
  </r>
  <r>
    <n v="296"/>
    <s v="OT-IEL-UG-FEL2A-060-A"/>
    <x v="71"/>
    <s v="IvanhoeElectric_Santa-Cruz_PrePFS"/>
    <s v="Ivanhoe"/>
    <x v="1"/>
    <n v="2024"/>
    <n v="1"/>
    <d v="2024-01-01T00:00:00"/>
    <n v="96554"/>
    <n v="1"/>
    <d v="2024-01-29T00:00:00"/>
    <n v="3"/>
    <n v="96319"/>
    <n v="3"/>
    <d v="2024-02-05T00:00:00"/>
    <n v="1"/>
    <n v="96319"/>
    <n v="1"/>
    <x v="142"/>
    <n v="96319"/>
    <m/>
  </r>
  <r>
    <n v="297"/>
    <s v="OT-IEL-UG-FEL2A-060-A"/>
    <x v="71"/>
    <s v="IvanhoeElectric_Santa-Cruz_PrePFS"/>
    <s v="Ivanhoe"/>
    <x v="1"/>
    <n v="2024"/>
    <n v="1"/>
    <d v="2024-02-01T00:00:00"/>
    <n v="118000"/>
    <n v="1"/>
    <d v="2024-02-29T00:00:00"/>
    <n v="4"/>
    <n v="94543"/>
    <n v="4"/>
    <d v="2024-03-05T00:00:00"/>
    <n v="1"/>
    <n v="102905"/>
    <n v="1"/>
    <x v="183"/>
    <n v="102905"/>
    <m/>
  </r>
  <r>
    <n v="298"/>
    <s v="OT-IEL-UG-FEL2A-060-A"/>
    <x v="71"/>
    <s v="IvanhoeElectric_Santa-Cruz_PrePFS"/>
    <s v="Ivanhoe"/>
    <x v="1"/>
    <n v="2024"/>
    <n v="1"/>
    <d v="2024-03-01T00:00:00"/>
    <n v="118010"/>
    <n v="1"/>
    <d v="2024-03-25T00:00:00"/>
    <n v="5"/>
    <n v="118166"/>
    <n v="5"/>
    <d v="2024-04-02T00:00:00"/>
    <n v="1"/>
    <n v="118166"/>
    <n v="1"/>
    <x v="184"/>
    <n v="118166"/>
    <m/>
  </r>
  <r>
    <n v="299"/>
    <s v="OT-IEL-UG-FEL2A-060-A"/>
    <x v="71"/>
    <s v="IvanhoeElectric_Santa-Cruz_PrePFS"/>
    <s v="Ivanhoe"/>
    <x v="1"/>
    <n v="2024"/>
    <n v="1"/>
    <d v="2024-04-01T00:00:00"/>
    <n v="101918"/>
    <n v="1"/>
    <d v="2024-04-25T00:00:00"/>
    <n v="6"/>
    <n v="82732"/>
    <n v="6"/>
    <d v="2024-05-02T00:00:00"/>
    <n v="1"/>
    <n v="70467"/>
    <n v="1"/>
    <x v="42"/>
    <n v="70467"/>
    <m/>
  </r>
  <r>
    <n v="300"/>
    <s v="OT-IEL-UG-FEL2A-060-A"/>
    <x v="71"/>
    <s v="IvanhoeElectric_Santa-Cruz_PrePFS"/>
    <s v="Ivanhoe"/>
    <x v="1"/>
    <n v="2024"/>
    <n v="1"/>
    <d v="2024-05-01T00:00:00"/>
    <n v="44291"/>
    <n v="1"/>
    <d v="2024-05-23T00:00:00"/>
    <n v="7"/>
    <n v="44291"/>
    <n v="7"/>
    <d v="2024-06-04T00:00:00"/>
    <n v="1"/>
    <n v="44291"/>
    <n v="1"/>
    <x v="185"/>
    <n v="44291"/>
    <m/>
  </r>
  <r>
    <n v="301"/>
    <s v="OT-IEL-UG-FEL2A-060-A"/>
    <x v="71"/>
    <s v="IvanhoeElectric_Santa-Cruz_PrePFS"/>
    <s v="Ivanhoe"/>
    <x v="1"/>
    <n v="2024"/>
    <n v="1"/>
    <d v="2024-06-01T00:00:00"/>
    <n v="10240"/>
    <n v="1"/>
    <d v="2024-06-25T00:00:00"/>
    <n v="8"/>
    <n v="10240"/>
    <n v="8"/>
    <d v="2024-07-01T00:00:00"/>
    <n v="1"/>
    <n v="10240"/>
    <n v="1"/>
    <x v="186"/>
    <n v="10240"/>
    <m/>
  </r>
  <r>
    <n v="302"/>
    <s v="BR-J&amp;F-CS-OTR00-100-A"/>
    <x v="72"/>
    <s v="J&amp;F_Autazes Due Diligence"/>
    <s v="J&amp;F"/>
    <x v="3"/>
    <n v="2024"/>
    <n v="-1"/>
    <m/>
    <m/>
    <n v="1"/>
    <d v="2024-07-25T00:00:00"/>
    <n v="1"/>
    <n v="72664"/>
    <n v="44"/>
    <d v="2024-08-27T00:00:00"/>
    <n v="1"/>
    <n v="64906"/>
    <n v="1"/>
    <x v="119"/>
    <n v="63179"/>
    <m/>
  </r>
  <r>
    <n v="303"/>
    <s v="BR-J&amp;F-CS-OTR00-100-A"/>
    <x v="72"/>
    <s v="J&amp;F_Autazes Due Diligence"/>
    <s v="J&amp;F"/>
    <x v="3"/>
    <n v="2024"/>
    <n v="-1"/>
    <m/>
    <m/>
    <n v="1"/>
    <d v="2024-10-15T00:00:00"/>
    <n v="2"/>
    <n v="38209"/>
    <n v="47"/>
    <d v="2024-10-15T00:00:00"/>
    <n v="1"/>
    <n v="38209"/>
    <n v="1"/>
    <x v="187"/>
    <n v="34563"/>
    <m/>
  </r>
  <r>
    <n v="304"/>
    <s v="BR-J&amp;F-UG-FEL03-048-A"/>
    <x v="73"/>
    <s v="J&amp;F_Urucrum_RecuperacionPilares"/>
    <s v="J&amp;F"/>
    <x v="3"/>
    <n v="2024"/>
    <n v="-1"/>
    <d v="2024-05-01T00:00:00"/>
    <m/>
    <n v="1"/>
    <d v="2024-06-13T00:00:00"/>
    <n v="1"/>
    <n v="33440"/>
    <n v="39"/>
    <d v="2024-07-04T00:00:00"/>
    <n v="1"/>
    <n v="23784"/>
    <n v="1"/>
    <x v="188"/>
    <n v="22903.034100000001"/>
    <m/>
  </r>
  <r>
    <n v="305"/>
    <s v="BR-J&amp;F-UG-FEL03-048-A"/>
    <x v="73"/>
    <s v="J&amp;F_Urucrum_RecuperacionPilares"/>
    <s v="J&amp;F"/>
    <x v="3"/>
    <n v="2024"/>
    <n v="1"/>
    <d v="2024-06-01T00:00:00"/>
    <n v="131619.5"/>
    <n v="1"/>
    <d v="2024-06-16T00:00:00"/>
    <n v="2"/>
    <n v="97282"/>
    <n v="40"/>
    <d v="2024-07-04T00:00:00"/>
    <n v="1"/>
    <n v="94621"/>
    <n v="1"/>
    <x v="188"/>
    <n v="91116.781900000002"/>
    <m/>
  </r>
  <r>
    <n v="306"/>
    <s v="BR-J&amp;F-UG-FEL03-048-A"/>
    <x v="73"/>
    <s v="J&amp;F_Urucrum_RecuperacionPilares"/>
    <s v="J&amp;F"/>
    <x v="3"/>
    <n v="2024"/>
    <n v="-1"/>
    <m/>
    <m/>
    <n v="1"/>
    <d v="2024-08-19T00:00:00"/>
    <n v="3"/>
    <n v="27947"/>
    <n v="43"/>
    <d v="2024-08-23T00:00:00"/>
    <n v="1"/>
    <n v="27216"/>
    <n v="1"/>
    <x v="189"/>
    <n v="25263"/>
    <m/>
  </r>
  <r>
    <n v="307"/>
    <s v="BR-J&amp;F-UG-FEL03-048-A"/>
    <x v="73"/>
    <s v="J&amp;F_Urucrum_RecuperacionPilares"/>
    <s v="J&amp;F"/>
    <x v="3"/>
    <n v="2024"/>
    <n v="-1"/>
    <m/>
    <m/>
    <n v="1"/>
    <d v="2024-09-17T00:00:00"/>
    <n v="4"/>
    <n v="26332"/>
    <n v="46"/>
    <d v="2024-09-23T00:00:00"/>
    <n v="1"/>
    <n v="26332"/>
    <n v="1"/>
    <x v="180"/>
    <n v="26332"/>
    <m/>
  </r>
  <r>
    <n v="308"/>
    <s v="BR-J&amp;F-UG-FEL03-048-A"/>
    <x v="73"/>
    <s v="J&amp;F_Urucrum_RecuperacionPilares"/>
    <s v="J&amp;F"/>
    <x v="3"/>
    <n v="2024"/>
    <n v="-1"/>
    <m/>
    <m/>
    <n v="1"/>
    <d v="2024-10-24T00:00:00"/>
    <n v="5"/>
    <n v="11169"/>
    <n v="50"/>
    <d v="2024-11-04T00:00:00"/>
    <n v="1"/>
    <n v="11350"/>
    <n v="1"/>
    <x v="190"/>
    <n v="10026.379999999999"/>
    <m/>
  </r>
  <r>
    <n v="309"/>
    <s v="BR-J&amp;F-UG-FEL03-048-A"/>
    <x v="73"/>
    <s v="J&amp;F_Urucrum_RecuperacionPilares"/>
    <s v="J&amp;F"/>
    <x v="3"/>
    <n v="2024"/>
    <n v="-1"/>
    <m/>
    <m/>
    <n v="1"/>
    <d v="2024-11-19T00:00:00"/>
    <n v="6"/>
    <n v="12089"/>
    <n v="51"/>
    <d v="2024-11-22T00:00:00"/>
    <n v="1"/>
    <n v="10703"/>
    <n v="1"/>
    <x v="191"/>
    <n v="9454"/>
    <m/>
  </r>
  <r>
    <n v="310"/>
    <s v="BR-J&amp;F-UG-FEL03-048-A"/>
    <x v="73"/>
    <s v="J&amp;F_Urucrum_RecuperacionPilares"/>
    <s v="J&amp;F"/>
    <x v="3"/>
    <n v="2025"/>
    <n v="-1"/>
    <m/>
    <m/>
    <n v="1"/>
    <d v="2025-03-20T00:00:00"/>
    <n v="7"/>
    <n v="8092"/>
    <n v="65"/>
    <d v="2025-04-02T00:00:00"/>
    <n v="1"/>
    <n v="8092"/>
    <n v="1"/>
    <x v="192"/>
    <n v="8092"/>
    <m/>
  </r>
  <r>
    <n v="311"/>
    <s v="PE-MMG-UG-FEL2A-143-A"/>
    <x v="74"/>
    <s v="LasBambas_Ferrobamba PFS"/>
    <s v="Las Bambas"/>
    <x v="2"/>
    <n v="2025"/>
    <n v="-1"/>
    <m/>
    <m/>
    <n v="1"/>
    <d v="2025-03-27T00:00:00"/>
    <n v="1"/>
    <n v="58150"/>
    <s v="E001-307"/>
    <d v="2025-05-27T00:00:00"/>
    <n v="1"/>
    <n v="58150"/>
    <n v="1"/>
    <x v="54"/>
    <n v="58150"/>
    <m/>
  </r>
  <r>
    <n v="312"/>
    <s v="PE-MMG-UG-FEL2A-143-A"/>
    <x v="74"/>
    <s v="LasBambas_Ferrobamba PFS"/>
    <s v="Las Bambas"/>
    <x v="2"/>
    <n v="2025"/>
    <n v="-1"/>
    <m/>
    <m/>
    <n v="1"/>
    <d v="2025-06-25T00:00:00"/>
    <n v="2"/>
    <n v="453390.59"/>
    <s v="E001-324"/>
    <d v="2025-08-07T00:00:00"/>
    <n v="1"/>
    <n v="453390.59"/>
    <n v="1"/>
    <x v="193"/>
    <n v="444151.6874113208"/>
    <m/>
  </r>
  <r>
    <n v="313"/>
    <s v="PE-MMG-UG-FEL2A-143-A"/>
    <x v="74"/>
    <s v="LasBambas_Ferrobamba PFS"/>
    <s v="Las Bambas"/>
    <x v="2"/>
    <n v="2025"/>
    <n v="-1"/>
    <m/>
    <m/>
    <n v="1"/>
    <d v="2025-08-18T00:00:00"/>
    <n v="3"/>
    <n v="153520"/>
    <s v="E001-332"/>
    <d v="2025-09-26T00:00:00"/>
    <n v="1"/>
    <n v="153520"/>
    <n v="1"/>
    <x v="64"/>
    <n v="152334.5"/>
    <m/>
  </r>
  <r>
    <n v="314"/>
    <s v="PE-MMG-UG-FEL2A-143-A"/>
    <x v="74"/>
    <s v="LasBambas_Ferrobamba PFS"/>
    <s v="Las Bambas"/>
    <x v="2"/>
    <n v="2025"/>
    <n v="-1"/>
    <m/>
    <m/>
    <n v="1"/>
    <d v="2025-10-24T00:00:00"/>
    <n v="4"/>
    <n v="205079"/>
    <s v="E001-341"/>
    <d v="2025-11-11T00:00:00"/>
    <n v="1"/>
    <n v="205079"/>
    <n v="1"/>
    <x v="194"/>
    <n v="200900.43396226413"/>
    <m/>
  </r>
  <r>
    <n v="315"/>
    <s v="PE-MMG-UG-FEL2A-143-A"/>
    <x v="74"/>
    <s v="LasBambas_Ferrobamba PFS"/>
    <s v="Las Bambas"/>
    <x v="2"/>
    <n v="2025"/>
    <n v="-1"/>
    <m/>
    <m/>
    <n v="1"/>
    <d v="2025-11-25T00:00:00"/>
    <n v="5"/>
    <n v="119590"/>
    <s v="E001-349"/>
    <d v="2025-12-19T00:00:00"/>
    <n v="1"/>
    <n v="119590"/>
    <n v="1"/>
    <x v="195"/>
    <n v="119590"/>
    <m/>
  </r>
  <r>
    <n v="316"/>
    <s v="PE-MMG-UG-FEL2A-143-A"/>
    <x v="74"/>
    <s v="LasBambas_Ferrobamba PFS"/>
    <s v="Las Bambas"/>
    <x v="2"/>
    <n v="2025"/>
    <n v="-1"/>
    <m/>
    <m/>
    <n v="1"/>
    <d v="2025-12-19T00:00:00"/>
    <n v="6"/>
    <n v="8480"/>
    <s v="No procede"/>
    <m/>
    <n v="-1"/>
    <m/>
    <n v="-1"/>
    <x v="57"/>
    <m/>
    <m/>
  </r>
  <r>
    <n v="317"/>
    <s v="PE-MMG-OU-FEL00-022-A"/>
    <x v="75"/>
    <s v="LasBambas_Ferrobamba UG"/>
    <s v="Las Bambas"/>
    <x v="2"/>
    <n v="2023"/>
    <n v="1"/>
    <d v="2023-11-01T00:00:00"/>
    <n v="5300"/>
    <n v="1"/>
    <d v="2023-11-27T00:00:00"/>
    <n v="1"/>
    <n v="28417"/>
    <s v="E001-216"/>
    <d v="2023-12-06T00:00:00"/>
    <n v="1"/>
    <n v="28416.995200000001"/>
    <n v="1"/>
    <x v="196"/>
    <n v="28417"/>
    <m/>
  </r>
  <r>
    <n v="318"/>
    <s v="PE-MMG-OU-FEL00-022-A"/>
    <x v="75"/>
    <s v="LasBambas_Ferrobamba UG"/>
    <s v="Las Bambas"/>
    <x v="2"/>
    <n v="2023"/>
    <n v="1"/>
    <d v="2023-12-01T00:00:00"/>
    <n v="30053"/>
    <n v="1"/>
    <d v="2023-12-21T00:00:00"/>
    <n v="2"/>
    <n v="11977"/>
    <s v="E001-223"/>
    <d v="2023-12-26T00:00:00"/>
    <n v="1"/>
    <n v="11977"/>
    <n v="1"/>
    <x v="197"/>
    <n v="11977"/>
    <m/>
  </r>
  <r>
    <n v="319"/>
    <s v="PE-MMG-OU-FEL00-022-A"/>
    <x v="75"/>
    <s v="LasBambas_Ferrobamba UG"/>
    <s v="Las Bambas"/>
    <x v="2"/>
    <n v="2024"/>
    <n v="1"/>
    <d v="2024-01-01T00:00:00"/>
    <n v="45000"/>
    <n v="1"/>
    <d v="2024-01-25T00:00:00"/>
    <n v="3"/>
    <n v="31780"/>
    <s v="E001-227"/>
    <d v="2024-01-31T00:00:00"/>
    <n v="1"/>
    <n v="31780"/>
    <n v="1"/>
    <x v="198"/>
    <n v="31780"/>
    <m/>
  </r>
  <r>
    <n v="320"/>
    <s v="PE-MMG-OU-FEL00-022-A"/>
    <x v="75"/>
    <s v="LasBambas_Ferrobamba UG"/>
    <s v="Las Bambas"/>
    <x v="2"/>
    <n v="2024"/>
    <n v="1"/>
    <d v="2024-02-01T00:00:00"/>
    <n v="40000"/>
    <n v="1"/>
    <d v="2024-02-25T00:00:00"/>
    <n v="4"/>
    <n v="23974"/>
    <s v="E001-230"/>
    <d v="2024-03-06T00:00:00"/>
    <n v="1"/>
    <n v="23974"/>
    <n v="1"/>
    <x v="199"/>
    <n v="23974"/>
    <m/>
  </r>
  <r>
    <n v="321"/>
    <s v="PE-MMG-OU-FEL00-022-A"/>
    <x v="75"/>
    <s v="LasBambas_Ferrobamba UG"/>
    <s v="Las Bambas"/>
    <x v="2"/>
    <n v="2024"/>
    <n v="1"/>
    <d v="2024-04-01T00:00:00"/>
    <n v="13986"/>
    <n v="1"/>
    <d v="2024-04-24T00:00:00"/>
    <n v="5"/>
    <n v="15573"/>
    <s v="E001-238"/>
    <d v="2024-05-02T00:00:00"/>
    <n v="1"/>
    <n v="15573"/>
    <n v="1"/>
    <x v="27"/>
    <n v="15573"/>
    <m/>
  </r>
  <r>
    <n v="322"/>
    <s v="PE-MMG-OU-FEL00-022-A"/>
    <x v="75"/>
    <s v="LasBambas_Ferrobamba UG"/>
    <s v="Las Bambas"/>
    <x v="2"/>
    <n v="2024"/>
    <n v="1"/>
    <d v="2024-05-01T00:00:00"/>
    <n v="56860"/>
    <n v="1"/>
    <d v="2024-05-29T00:00:00"/>
    <n v="6"/>
    <n v="34910"/>
    <s v="E001-244"/>
    <d v="2024-06-24T00:00:00"/>
    <n v="1"/>
    <n v="34910"/>
    <n v="1"/>
    <x v="200"/>
    <n v="33863"/>
    <m/>
  </r>
  <r>
    <n v="323"/>
    <s v="PE-MMG-OU-FEL00-022-A"/>
    <x v="75"/>
    <s v="LasBambas_Ferrobamba UG"/>
    <s v="Las Bambas"/>
    <x v="2"/>
    <n v="2024"/>
    <n v="-1"/>
    <m/>
    <m/>
    <n v="1"/>
    <d v="2024-05-29T00:00:00"/>
    <n v="6"/>
    <n v="10160"/>
    <s v="E001-245"/>
    <d v="2024-06-24T00:00:00"/>
    <n v="1"/>
    <n v="10160"/>
    <n v="1"/>
    <x v="200"/>
    <n v="9855"/>
    <m/>
  </r>
  <r>
    <n v="324"/>
    <s v="PE-MMG-OU-FEL00-022-A"/>
    <x v="75"/>
    <s v="LasBambas_Ferrobamba UG"/>
    <s v="Las Bambas"/>
    <x v="2"/>
    <n v="2024"/>
    <n v="-1"/>
    <m/>
    <m/>
    <n v="1"/>
    <d v="2024-05-29T00:00:00"/>
    <n v="6"/>
    <n v="11790"/>
    <s v="E001-246"/>
    <d v="2024-06-24T00:00:00"/>
    <n v="1"/>
    <n v="11790"/>
    <n v="1"/>
    <x v="200"/>
    <n v="11436"/>
    <m/>
  </r>
  <r>
    <n v="325"/>
    <s v="PE-MMG-OU-FEL00-022-A"/>
    <x v="75"/>
    <s v="LasBambas_Ferrobamba UG"/>
    <s v="Las Bambas"/>
    <x v="2"/>
    <n v="2024"/>
    <n v="1"/>
    <d v="2024-06-01T00:00:00"/>
    <n v="17015.324800000002"/>
    <n v="1"/>
    <d v="2024-07-25T00:00:00"/>
    <n v="7"/>
    <n v="19158"/>
    <s v="E001-254"/>
    <d v="2024-08-14T00:00:00"/>
    <n v="1"/>
    <n v="19159"/>
    <n v="1"/>
    <x v="201"/>
    <n v="18775.82"/>
    <m/>
  </r>
  <r>
    <n v="326"/>
    <s v="PE-MMG-OU-FEL00-022-A"/>
    <x v="75"/>
    <s v="LasBambas_Ferrobamba UG"/>
    <s v="Las Bambas"/>
    <x v="2"/>
    <n v="2024"/>
    <n v="-1"/>
    <d v="2024-06-01T00:00:00"/>
    <n v="0"/>
    <n v="1"/>
    <d v="2024-06-26T00:00:00"/>
    <n v="8"/>
    <n v="8313"/>
    <s v="E001-250"/>
    <d v="2024-07-10T00:00:00"/>
    <n v="1"/>
    <n v="8313"/>
    <n v="1"/>
    <x v="28"/>
    <n v="7897.3499999999995"/>
    <s v="Adicional 01 (80%)"/>
  </r>
  <r>
    <n v="327"/>
    <s v="PE-MMG-OU-FEL00-022-A"/>
    <x v="75"/>
    <s v="LasBambas_Ferrobamba UG"/>
    <s v="Las Bambas"/>
    <x v="2"/>
    <n v="2024"/>
    <n v="-1"/>
    <d v="2024-06-01T00:00:00"/>
    <n v="0"/>
    <n v="1"/>
    <d v="2024-06-26T00:00:00"/>
    <n v="9"/>
    <n v="7105"/>
    <s v="E001-251"/>
    <d v="2024-07-10T00:00:00"/>
    <n v="1"/>
    <n v="7105"/>
    <n v="1"/>
    <x v="28"/>
    <n v="6749.75"/>
    <s v="Adicional 02 (50%)"/>
  </r>
  <r>
    <n v="328"/>
    <s v="PE-MMG-OU-FEL00-022-A"/>
    <x v="75"/>
    <s v="LasBambas_Ferrobamba UG"/>
    <s v="Las Bambas"/>
    <x v="2"/>
    <n v="2024"/>
    <n v="-1"/>
    <m/>
    <m/>
    <n v="1"/>
    <d v="2024-07-25T00:00:00"/>
    <n v="10"/>
    <n v="19689"/>
    <s v="E001-255"/>
    <d v="2024-08-14T00:00:00"/>
    <n v="1"/>
    <n v="16689"/>
    <n v="1"/>
    <x v="201"/>
    <n v="16355.22"/>
    <m/>
  </r>
  <r>
    <n v="329"/>
    <s v="PE-MMG-OU-FEL00-022-A"/>
    <x v="75"/>
    <s v="LasBambas_Ferrobamba UG"/>
    <s v="Las Bambas"/>
    <x v="2"/>
    <n v="2024"/>
    <n v="-1"/>
    <m/>
    <m/>
    <n v="1"/>
    <d v="2024-07-25T00:00:00"/>
    <n v="11"/>
    <n v="7105"/>
    <s v="E001-256"/>
    <d v="2024-08-14T00:00:00"/>
    <n v="1"/>
    <n v="7105"/>
    <n v="1"/>
    <x v="201"/>
    <n v="6962.9"/>
    <m/>
  </r>
  <r>
    <n v="330"/>
    <s v="PE-MMG-UG-FEL00-136-A"/>
    <x v="76"/>
    <s v="LasBambas_Ferrobambas UG Escenarios"/>
    <s v="Las Bambas"/>
    <x v="2"/>
    <n v="2025"/>
    <n v="-1"/>
    <m/>
    <m/>
    <n v="1"/>
    <d v="2025-01-25T00:00:00"/>
    <n v="1"/>
    <n v="9930"/>
    <s v="E001-297 "/>
    <d v="2025-04-15T00:00:00"/>
    <n v="1"/>
    <n v="9930"/>
    <n v="1"/>
    <x v="70"/>
    <n v="9930"/>
    <m/>
  </r>
  <r>
    <n v="331"/>
    <s v="PE-MMG-UG-FEL00-136-A"/>
    <x v="76"/>
    <s v="LasBambas_Ferrobambas UG Escenarios"/>
    <s v="Las Bambas"/>
    <x v="2"/>
    <n v="2025"/>
    <n v="-1"/>
    <m/>
    <m/>
    <n v="1"/>
    <d v="2025-02-25T00:00:00"/>
    <n v="2"/>
    <n v="27785"/>
    <s v="E001-298"/>
    <d v="2025-04-15T00:00:00"/>
    <n v="1"/>
    <n v="27785"/>
    <n v="1"/>
    <x v="70"/>
    <n v="27785"/>
    <m/>
  </r>
  <r>
    <n v="332"/>
    <s v="PE-MMG-UG-FEL00-136-A"/>
    <x v="76"/>
    <s v="LasBambas_Ferrobambas UG Escenarios"/>
    <s v="Las Bambas"/>
    <x v="2"/>
    <n v="2025"/>
    <n v="-1"/>
    <m/>
    <m/>
    <n v="1"/>
    <d v="2025-03-31T00:00:00"/>
    <n v="3"/>
    <n v="10082"/>
    <s v="E001-306"/>
    <d v="2025-05-22T00:00:00"/>
    <n v="1"/>
    <n v="10082"/>
    <n v="1"/>
    <x v="202"/>
    <n v="10082"/>
    <m/>
  </r>
  <r>
    <n v="333"/>
    <s v="PE-MMG-UG-FEL00-136-A"/>
    <x v="76"/>
    <s v="LasBambas_Ferrobambas UG Escenarios"/>
    <s v="Las Bambas"/>
    <x v="2"/>
    <n v="2025"/>
    <n v="-1"/>
    <m/>
    <m/>
    <n v="1"/>
    <d v="2025-04-29T00:00:00"/>
    <n v="4"/>
    <n v="15088"/>
    <s v="E001-314"/>
    <d v="2025-06-27T00:00:00"/>
    <n v="1"/>
    <n v="15088"/>
    <n v="1"/>
    <x v="193"/>
    <n v="14780.546415094339"/>
    <m/>
  </r>
  <r>
    <n v="334"/>
    <s v="PE-MMG-UG-FEL00-136-A"/>
    <x v="76"/>
    <s v="LasBambas_Ferrobambas UG Escenarios"/>
    <s v="Las Bambas"/>
    <x v="2"/>
    <n v="2025"/>
    <n v="-1"/>
    <m/>
    <m/>
    <n v="1"/>
    <d v="2025-05-28T00:00:00"/>
    <n v="5"/>
    <n v="4047"/>
    <s v="E001-315"/>
    <d v="2025-06-27T00:00:00"/>
    <n v="1"/>
    <n v="4047"/>
    <n v="1"/>
    <x v="193"/>
    <n v="3964.5328301886793"/>
    <m/>
  </r>
  <r>
    <n v="335"/>
    <s v="PE-MMG-UG-FEL00-136-A"/>
    <x v="76"/>
    <s v="LasBambas_Ferrobambas UG Escenarios"/>
    <s v="Las Bambas"/>
    <x v="2"/>
    <n v="2025"/>
    <n v="-1"/>
    <m/>
    <m/>
    <n v="1"/>
    <d v="2025-05-28T00:00:00"/>
    <n v="1"/>
    <n v="16127"/>
    <s v="E001-320"/>
    <d v="2025-07-14T00:00:00"/>
    <n v="1"/>
    <n v="16127"/>
    <n v="1"/>
    <x v="193"/>
    <n v="15798.37433962264"/>
    <s v="Adicional"/>
  </r>
  <r>
    <n v="336"/>
    <s v="PE-MMG-UG-FEL00-136-A"/>
    <x v="76"/>
    <s v="LasBambas_Ferrobambas UG Escenarios"/>
    <s v="Las Bambas"/>
    <x v="2"/>
    <n v="2025"/>
    <n v="-1"/>
    <m/>
    <m/>
    <n v="1"/>
    <d v="2025-06-28T00:00:00"/>
    <n v="6"/>
    <n v="2228"/>
    <s v="E001-328"/>
    <d v="2025-08-20T00:00:00"/>
    <n v="1"/>
    <n v="2228"/>
    <n v="1"/>
    <x v="203"/>
    <n v="2228"/>
    <m/>
  </r>
  <r>
    <n v="337"/>
    <s v="PE-MMG-UG-FEL00-136-A"/>
    <x v="76"/>
    <s v="LasBambas_Ferrobambas UG Escenarios"/>
    <s v="Las Bambas"/>
    <x v="2"/>
    <n v="2025"/>
    <n v="-1"/>
    <m/>
    <m/>
    <n v="1"/>
    <d v="2025-06-28T00:00:00"/>
    <n v="2"/>
    <n v="2233"/>
    <s v="E001-327"/>
    <d v="2025-08-20T00:00:00"/>
    <n v="1"/>
    <n v="2233"/>
    <n v="1"/>
    <x v="203"/>
    <n v="2233"/>
    <m/>
  </r>
  <r>
    <n v="338"/>
    <s v="BR-LHG-UG-OTR00-161-A"/>
    <x v="77"/>
    <s v="LHG_LOM Urucum"/>
    <s v="LHG"/>
    <x v="3"/>
    <n v="2025"/>
    <n v="-1"/>
    <m/>
    <m/>
    <n v="1"/>
    <d v="2025-08-20T00:00:00"/>
    <n v="8"/>
    <n v="35225"/>
    <n v="88"/>
    <d v="2025-08-22T00:00:00"/>
    <n v="1"/>
    <n v="35660"/>
    <n v="1"/>
    <x v="128"/>
    <n v="33533"/>
    <m/>
  </r>
  <r>
    <n v="339"/>
    <s v="BR-LHG-UG-OTR00-161-A"/>
    <x v="77"/>
    <s v="LHG_LOM Urucum"/>
    <s v="LHG"/>
    <x v="3"/>
    <n v="2025"/>
    <n v="-1"/>
    <m/>
    <m/>
    <n v="1"/>
    <d v="2025-09-15T00:00:00"/>
    <n v="9"/>
    <n v="39154"/>
    <n v="94"/>
    <d v="2025-09-22T00:00:00"/>
    <n v="1"/>
    <n v="38366.605504587154"/>
    <n v="1"/>
    <x v="204"/>
    <n v="36818"/>
    <m/>
  </r>
  <r>
    <n v="340"/>
    <s v="BR-LHG-UG-OTR00-161-A"/>
    <x v="77"/>
    <s v="LHG_LOM Urucum"/>
    <s v="LHG"/>
    <x v="3"/>
    <n v="2025"/>
    <n v="-1"/>
    <m/>
    <m/>
    <n v="1"/>
    <d v="2025-10-15T00:00:00"/>
    <n v="10"/>
    <n v="38758"/>
    <n v="111"/>
    <d v="2025-11-14T00:00:00"/>
    <n v="1"/>
    <n v="35406.818181818177"/>
    <n v="1"/>
    <x v="99"/>
    <n v="31785"/>
    <s v="Sujeto a relatorio final"/>
  </r>
  <r>
    <n v="341"/>
    <s v="CH-CMP-OP-FEL03-010-A"/>
    <x v="78"/>
    <s v="LOM CNN"/>
    <s v="CMP"/>
    <x v="0"/>
    <n v="2023"/>
    <n v="1"/>
    <d v="2023-09-01T00:00:00"/>
    <n v="37831"/>
    <n v="1"/>
    <d v="2023-09-25T00:00:00"/>
    <n v="23"/>
    <n v="40233"/>
    <n v="119"/>
    <d v="2023-10-11T00:00:00"/>
    <n v="1"/>
    <n v="40233"/>
    <n v="1"/>
    <x v="205"/>
    <n v="38221.35"/>
    <s v="Se cobraré en contrato de Plan Largo Plazo Los Colorados (LoM)"/>
  </r>
  <r>
    <n v="342"/>
    <s v="CH-CMP-OP-FEL03-011-A"/>
    <x v="79"/>
    <s v="LOM MLC"/>
    <s v="CMP"/>
    <x v="0"/>
    <n v="2023"/>
    <n v="1"/>
    <d v="2023-09-01T00:00:00"/>
    <n v="25796"/>
    <n v="1"/>
    <d v="2023-09-25T00:00:00"/>
    <n v="23"/>
    <n v="27467"/>
    <n v="119"/>
    <d v="2023-10-11T00:00:00"/>
    <n v="1"/>
    <n v="27467"/>
    <n v="1"/>
    <x v="205"/>
    <n v="26093.649999999998"/>
    <s v="Se cobraré en contrato de Plan Largo Plazo Los Colorados (LoM)"/>
  </r>
  <r>
    <n v="343"/>
    <s v="CH-GLE-OP-FEL01-012-A"/>
    <x v="80"/>
    <s v="Lomas Bayas"/>
    <s v="Glencore"/>
    <x v="0"/>
    <n v="2023"/>
    <n v="-1"/>
    <m/>
    <m/>
    <n v="1"/>
    <d v="2023-03-23T00:00:00"/>
    <n v="1"/>
    <n v="62800"/>
    <n v="62"/>
    <d v="2023-04-14T00:00:00"/>
    <n v="1"/>
    <n v="62800"/>
    <n v="1"/>
    <x v="206"/>
    <n v="62800"/>
    <m/>
  </r>
  <r>
    <n v="344"/>
    <s v="CH-GLE-OP-FEL01-012-A"/>
    <x v="80"/>
    <s v="Lomas Bayas"/>
    <s v="Glencore"/>
    <x v="0"/>
    <n v="2023"/>
    <n v="-1"/>
    <m/>
    <m/>
    <n v="1"/>
    <d v="2023-07-21T00:00:00"/>
    <n v="2"/>
    <n v="104002.7"/>
    <n v="94"/>
    <d v="2023-07-27T00:00:00"/>
    <n v="1"/>
    <n v="104003"/>
    <n v="1"/>
    <x v="207"/>
    <n v="104003"/>
    <m/>
  </r>
  <r>
    <n v="345"/>
    <s v="CH-GLE-OP-FEL01-012-A"/>
    <x v="80"/>
    <s v="Lomas Bayas"/>
    <s v="Glencore"/>
    <x v="0"/>
    <n v="2023"/>
    <n v="-1"/>
    <m/>
    <m/>
    <n v="1"/>
    <d v="2023-08-25T00:00:00"/>
    <n v="3"/>
    <n v="88160.83"/>
    <n v="110"/>
    <d v="2023-09-29T00:00:00"/>
    <n v="1"/>
    <n v="88161"/>
    <n v="1"/>
    <x v="88"/>
    <n v="88161"/>
    <m/>
  </r>
  <r>
    <n v="346"/>
    <s v="CH-GLE-OP-FEL01-012-A"/>
    <x v="80"/>
    <s v="Lomas Bayas"/>
    <s v="Glencore"/>
    <x v="0"/>
    <n v="2023"/>
    <n v="1"/>
    <d v="2023-10-01T00:00:00"/>
    <n v="42260"/>
    <n v="1"/>
    <d v="2023-10-23T00:00:00"/>
    <n v="4"/>
    <n v="3577"/>
    <n v="131"/>
    <d v="2023-12-29T00:00:00"/>
    <n v="1"/>
    <n v="3577"/>
    <n v="1"/>
    <x v="208"/>
    <n v="3577"/>
    <m/>
  </r>
  <r>
    <n v="347"/>
    <s v="CH-LUN-CS-OTR00-154-A"/>
    <x v="81"/>
    <s v="Lundin_Análisis Estratégico Caserones"/>
    <s v="Lundin"/>
    <x v="0"/>
    <n v="2025"/>
    <n v="-1"/>
    <m/>
    <m/>
    <n v="1"/>
    <d v="2025-06-30T00:00:00"/>
    <n v="1"/>
    <n v="54620"/>
    <n v="329"/>
    <d v="2025-08-04T00:00:00"/>
    <n v="1"/>
    <n v="54620"/>
    <n v="1"/>
    <x v="209"/>
    <n v="54620"/>
    <m/>
  </r>
  <r>
    <n v="348"/>
    <s v="CH-LUN-CS-OTR00-154-A"/>
    <x v="81"/>
    <s v="Lundin_Análisis Estratégico Caserones"/>
    <s v="Lundin"/>
    <x v="0"/>
    <n v="2025"/>
    <n v="-1"/>
    <m/>
    <m/>
    <n v="1"/>
    <d v="2025-07-31T00:00:00"/>
    <n v="2"/>
    <n v="70025"/>
    <n v="331"/>
    <d v="2025-08-21T00:00:00"/>
    <n v="1"/>
    <n v="70025"/>
    <n v="1"/>
    <x v="210"/>
    <n v="70025"/>
    <m/>
  </r>
  <r>
    <n v="349"/>
    <s v="CH-LUN-CS-OTR00-154-A"/>
    <x v="81"/>
    <s v="Lundin_Análisis Estratégico Caserones"/>
    <s v="Lundin"/>
    <x v="0"/>
    <n v="2025"/>
    <n v="-1"/>
    <m/>
    <m/>
    <n v="1"/>
    <d v="2025-08-29T00:00:00"/>
    <n v="3"/>
    <n v="70020"/>
    <n v="340"/>
    <d v="2025-09-25T00:00:00"/>
    <n v="1"/>
    <n v="70020"/>
    <n v="1"/>
    <x v="211"/>
    <n v="70020"/>
    <m/>
  </r>
  <r>
    <n v="350"/>
    <s v="CH-LUN-CS-OTR00-154-A"/>
    <x v="81"/>
    <s v="Lundin_Análisis Estratégico Caserones"/>
    <s v="Lundin"/>
    <x v="0"/>
    <n v="2025"/>
    <n v="-1"/>
    <m/>
    <m/>
    <n v="1"/>
    <d v="2025-09-30T00:00:00"/>
    <n v="4"/>
    <n v="53961"/>
    <n v="351"/>
    <d v="2025-10-24T00:00:00"/>
    <n v="1"/>
    <n v="53961"/>
    <n v="1"/>
    <x v="212"/>
    <n v="53961"/>
    <m/>
  </r>
  <r>
    <n v="351"/>
    <s v="CH-LUN-CS-OTR00-154-A"/>
    <x v="81"/>
    <s v="Lundin_Análisis Estratégico Caserones"/>
    <s v="Lundin"/>
    <x v="0"/>
    <n v="2025"/>
    <n v="-1"/>
    <m/>
    <m/>
    <n v="1"/>
    <d v="2025-10-24T00:00:00"/>
    <n v="5"/>
    <n v="31113"/>
    <n v="360"/>
    <d v="2025-11-25T00:00:00"/>
    <n v="1"/>
    <n v="31113"/>
    <n v="1"/>
    <x v="213"/>
    <n v="31113"/>
    <m/>
  </r>
  <r>
    <n v="352"/>
    <s v="CH-LUN-CS-OTR00-154-A"/>
    <x v="81"/>
    <s v="Lundin_Análisis Estratégico Caserones"/>
    <s v="Lundin"/>
    <x v="0"/>
    <n v="2025"/>
    <n v="-1"/>
    <m/>
    <m/>
    <n v="1"/>
    <d v="2025-11-25T00:00:00"/>
    <n v="6"/>
    <n v="19531"/>
    <n v="376"/>
    <d v="2025-12-31T00:00:00"/>
    <n v="1"/>
    <n v="19531"/>
    <n v="-1"/>
    <x v="214"/>
    <n v="19531"/>
    <m/>
  </r>
  <r>
    <n v="353"/>
    <s v="CH-LUN-CS-OTR00-069-A"/>
    <x v="82"/>
    <s v="Lundin_Candelaria_EstudiosCugep"/>
    <s v="Lundin"/>
    <x v="0"/>
    <n v="2024"/>
    <n v="1"/>
    <d v="2024-03-01T00:00:00"/>
    <n v="19917"/>
    <n v="1"/>
    <d v="2024-03-25T00:00:00"/>
    <n v="1"/>
    <n v="26615"/>
    <n v="186"/>
    <d v="2024-05-16T00:00:00"/>
    <n v="1"/>
    <n v="26615"/>
    <n v="1"/>
    <x v="215"/>
    <n v="26615"/>
    <m/>
  </r>
  <r>
    <n v="354"/>
    <s v="CH-LUN-CS-OTR00-069-A"/>
    <x v="82"/>
    <s v="Lundin_Candelaria_EstudiosCugep"/>
    <s v="Lundin"/>
    <x v="0"/>
    <n v="2024"/>
    <n v="1"/>
    <d v="2024-04-01T00:00:00"/>
    <n v="93740"/>
    <n v="1"/>
    <d v="2024-07-25T00:00:00"/>
    <n v="2"/>
    <n v="71980"/>
    <n v="205"/>
    <d v="2024-08-23T00:00:00"/>
    <n v="1"/>
    <n v="73718"/>
    <n v="1"/>
    <x v="3"/>
    <n v="73718"/>
    <m/>
  </r>
  <r>
    <n v="355"/>
    <s v="CH-LUN-CS-OTR00-069-A"/>
    <x v="82"/>
    <s v="Lundin_Candelaria_EstudiosCugep"/>
    <s v="Lundin"/>
    <x v="0"/>
    <n v="2024"/>
    <n v="-1"/>
    <m/>
    <m/>
    <n v="1"/>
    <d v="2024-08-27T00:00:00"/>
    <n v="3"/>
    <n v="60342"/>
    <n v="226"/>
    <d v="2024-10-21T00:00:00"/>
    <n v="1"/>
    <n v="61499"/>
    <n v="1"/>
    <x v="216"/>
    <n v="61499"/>
    <m/>
  </r>
  <r>
    <n v="356"/>
    <s v="CH-LUN-CS-OTR00-069-A"/>
    <x v="82"/>
    <s v="Lundin_Candelaria_EstudiosCugep"/>
    <s v="Lundin"/>
    <x v="0"/>
    <n v="2024"/>
    <n v="-1"/>
    <m/>
    <m/>
    <n v="1"/>
    <d v="2024-11-29T00:00:00"/>
    <n v="4"/>
    <n v="34013"/>
    <n v="253"/>
    <d v="2025-01-10T00:00:00"/>
    <n v="1"/>
    <n v="34013"/>
    <n v="1"/>
    <x v="38"/>
    <n v="35295.290100000006"/>
    <m/>
  </r>
  <r>
    <n v="357"/>
    <s v="CH-LUN-CS-OTR00-113-A"/>
    <x v="83"/>
    <s v="Lundin_Gaps Planificación y Operación UG"/>
    <s v="Lundin"/>
    <x v="1"/>
    <n v="2024"/>
    <n v="-1"/>
    <m/>
    <m/>
    <n v="1"/>
    <d v="2024-12-31T00:00:00"/>
    <n v="1"/>
    <n v="66652"/>
    <s v="s/F"/>
    <d v="2024-12-31T00:00:00"/>
    <n v="1"/>
    <n v="66652"/>
    <n v="1"/>
    <x v="93"/>
    <n v="66652"/>
    <m/>
  </r>
  <r>
    <n v="358"/>
    <s v="CH-LUN-OP-FEL00-110-A"/>
    <x v="84"/>
    <s v="Lundin_Oportunidades mejoras Caserones"/>
    <s v="Lundin"/>
    <x v="0"/>
    <n v="2024"/>
    <n v="-1"/>
    <m/>
    <m/>
    <n v="1"/>
    <d v="2024-09-27T00:00:00"/>
    <n v="1"/>
    <n v="20675"/>
    <n v="232"/>
    <d v="2024-10-25T00:00:00"/>
    <n v="1"/>
    <n v="20675"/>
    <n v="1"/>
    <x v="89"/>
    <n v="20675"/>
    <m/>
  </r>
  <r>
    <n v="359"/>
    <s v="CH-LUN-OP-FEL00-110-A"/>
    <x v="84"/>
    <s v="Lundin_Oportunidades mejoras Caserones"/>
    <s v="Lundin"/>
    <x v="0"/>
    <n v="2024"/>
    <n v="-1"/>
    <m/>
    <m/>
    <n v="1"/>
    <d v="2024-10-24T00:00:00"/>
    <n v="2"/>
    <n v="17060"/>
    <n v="240"/>
    <d v="2024-11-28T00:00:00"/>
    <n v="1"/>
    <n v="17060"/>
    <n v="1"/>
    <x v="217"/>
    <n v="16456"/>
    <m/>
  </r>
  <r>
    <n v="360"/>
    <s v="CH-LUN-OP-FEL00-110-A"/>
    <x v="84"/>
    <s v="Lundin_Oportunidades mejoras Caserones"/>
    <s v="Lundin"/>
    <x v="0"/>
    <n v="2024"/>
    <n v="-1"/>
    <m/>
    <m/>
    <n v="1"/>
    <d v="2024-12-26T00:00:00"/>
    <n v="3"/>
    <n v="82420.94"/>
    <n v="276"/>
    <d v="2025-03-12T00:00:00"/>
    <n v="1"/>
    <n v="82421"/>
    <n v="1"/>
    <x v="218"/>
    <n v="87432"/>
    <m/>
  </r>
  <r>
    <n v="361"/>
    <s v="CH-FLU-CD-OTR00-013-A"/>
    <x v="85"/>
    <s v="MARA"/>
    <s v="Fluor"/>
    <x v="0"/>
    <n v="2023"/>
    <n v="-1"/>
    <m/>
    <m/>
    <n v="1"/>
    <d v="2023-02-21T00:00:00"/>
    <n v="1"/>
    <n v="23220"/>
    <n v="88"/>
    <d v="2023-03-03T00:00:00"/>
    <n v="1"/>
    <n v="23216.87"/>
    <n v="1"/>
    <x v="219"/>
    <n v="23642"/>
    <m/>
  </r>
  <r>
    <n v="362"/>
    <s v="PE-MSR-OP-OTR00-024-A"/>
    <x v="86"/>
    <s v="Mina Justa"/>
    <s v="Marcobre"/>
    <x v="2"/>
    <n v="2023"/>
    <n v="-1"/>
    <m/>
    <m/>
    <n v="1"/>
    <d v="2023-04-21T00:00:00"/>
    <n v="1"/>
    <n v="87438.375"/>
    <s v="E001-189"/>
    <d v="2023-05-31T00:00:00"/>
    <n v="1"/>
    <n v="87438.38"/>
    <n v="1"/>
    <x v="220"/>
    <n v="87438.38"/>
    <m/>
  </r>
  <r>
    <n v="363"/>
    <s v="PE-MSR-OP-OTR00-024-A"/>
    <x v="86"/>
    <s v="Mina Justa"/>
    <s v="Marcobre"/>
    <x v="2"/>
    <n v="2023"/>
    <n v="-1"/>
    <m/>
    <m/>
    <n v="1"/>
    <d v="2023-05-21T00:00:00"/>
    <n v="2"/>
    <n v="10028.25"/>
    <s v="E001-193"/>
    <d v="2023-06-21T00:00:00"/>
    <n v="1"/>
    <n v="10028.25"/>
    <n v="1"/>
    <x v="221"/>
    <n v="10028.25"/>
    <m/>
  </r>
  <r>
    <n v="364"/>
    <s v="PE-MSR-OP-OTR00-024-A"/>
    <x v="86"/>
    <s v="Mina Justa"/>
    <s v="Marcobre"/>
    <x v="2"/>
    <n v="2023"/>
    <n v="-1"/>
    <m/>
    <m/>
    <n v="1"/>
    <d v="2023-07-01T00:00:00"/>
    <n v="3"/>
    <n v="29431.125"/>
    <s v="E001-199"/>
    <d v="2023-07-26T00:00:00"/>
    <n v="1"/>
    <n v="29431.125"/>
    <n v="1"/>
    <x v="18"/>
    <n v="29431.125"/>
    <m/>
  </r>
  <r>
    <n v="365"/>
    <s v="PE-MSR-OP-OTR00-024-A"/>
    <x v="86"/>
    <s v="Mina Justa"/>
    <s v="Marcobre"/>
    <x v="2"/>
    <n v="2023"/>
    <n v="-1"/>
    <m/>
    <m/>
    <n v="1"/>
    <d v="2023-07-27T00:00:00"/>
    <n v="4"/>
    <n v="10934.25"/>
    <s v="E001-204"/>
    <d v="2023-10-04T00:00:00"/>
    <n v="1"/>
    <n v="10934.25"/>
    <n v="1"/>
    <x v="222"/>
    <n v="10934.25"/>
    <m/>
  </r>
  <r>
    <n v="366"/>
    <s v="PE-MAR-OU-FEL01-114-A"/>
    <x v="87"/>
    <s v="Marcobre_Ingeniería de Perfil Achupallas"/>
    <s v="Marcobre"/>
    <x v="2"/>
    <n v="2024"/>
    <n v="-1"/>
    <m/>
    <m/>
    <n v="1"/>
    <d v="2024-10-20T00:00:00"/>
    <n v="1"/>
    <n v="33000"/>
    <s v="E001-275"/>
    <d v="2024-10-29T00:00:00"/>
    <n v="1"/>
    <n v="32612"/>
    <n v="1"/>
    <x v="223"/>
    <n v="31947.45"/>
    <m/>
  </r>
  <r>
    <n v="367"/>
    <s v="PE-MAR-OU-FEL01-114-A"/>
    <x v="87"/>
    <s v="Marcobre_Ingeniería de Perfil Achupallas"/>
    <s v="Marcobre"/>
    <x v="2"/>
    <n v="2024"/>
    <n v="-1"/>
    <m/>
    <m/>
    <n v="1"/>
    <d v="2024-11-20T00:00:00"/>
    <n v="2"/>
    <n v="21062"/>
    <s v="E001-279"/>
    <d v="2024-12-03T00:00:00"/>
    <n v="1"/>
    <n v="21062"/>
    <n v="1"/>
    <x v="130"/>
    <n v="21632"/>
    <m/>
  </r>
  <r>
    <n v="368"/>
    <s v="PE-MAR-OU-FEL01-114-A"/>
    <x v="87"/>
    <s v="Marcobre_Ingeniería de Perfil Achupallas"/>
    <s v="Marcobre"/>
    <x v="2"/>
    <n v="2024"/>
    <n v="-1"/>
    <m/>
    <m/>
    <n v="1"/>
    <d v="2024-12-20T00:00:00"/>
    <n v="3"/>
    <n v="19771"/>
    <s v="E001-282"/>
    <d v="2024-12-18T00:00:00"/>
    <n v="1"/>
    <n v="19771"/>
    <n v="1"/>
    <x v="224"/>
    <n v="20771"/>
    <m/>
  </r>
  <r>
    <n v="369"/>
    <s v="PE-MAR-OU-FEL01-114-A"/>
    <x v="87"/>
    <s v="Marcobre_Ingeniería de Perfil Achupallas"/>
    <s v="Marcobre"/>
    <x v="2"/>
    <n v="2025"/>
    <n v="-1"/>
    <m/>
    <m/>
    <n v="1"/>
    <d v="2025-01-24T00:00:00"/>
    <n v="4"/>
    <n v="57745"/>
    <s v="E001-291"/>
    <d v="2025-01-31T00:00:00"/>
    <n v="1"/>
    <n v="57745"/>
    <n v="1"/>
    <x v="92"/>
    <n v="59963"/>
    <m/>
  </r>
  <r>
    <n v="370"/>
    <s v="PE-MAR-OU-FEL01-114-A"/>
    <x v="87"/>
    <s v="Marcobre_Ingeniería de Perfil Achupallas"/>
    <s v="Marcobre"/>
    <x v="2"/>
    <n v="2025"/>
    <n v="-1"/>
    <m/>
    <m/>
    <n v="1"/>
    <d v="2025-02-25T00:00:00"/>
    <n v="5"/>
    <n v="24935"/>
    <s v="E001-299"/>
    <d v="2025-04-15T00:00:00"/>
    <n v="1"/>
    <n v="24935"/>
    <n v="1"/>
    <x v="126"/>
    <n v="24935"/>
    <m/>
  </r>
  <r>
    <n v="371"/>
    <s v="PE-MAR-OU-FEL01-114-A"/>
    <x v="87"/>
    <s v="Marcobre_Ingeniería de Perfil Achupallas"/>
    <s v="Marcobre"/>
    <x v="2"/>
    <n v="2025"/>
    <n v="-1"/>
    <m/>
    <m/>
    <n v="1"/>
    <d v="2025-05-05T00:00:00"/>
    <n v="6"/>
    <n v="5265"/>
    <s v="E001-311"/>
    <d v="2025-06-05T00:00:00"/>
    <n v="1"/>
    <n v="5265"/>
    <n v="1"/>
    <x v="225"/>
    <n v="5265"/>
    <m/>
  </r>
  <r>
    <n v="372"/>
    <s v="OT-MCA-CS-OTR00-080-A"/>
    <x v="88"/>
    <s v="McCarthy_Litigio Rio Tinto"/>
    <s v="McCarthy"/>
    <x v="1"/>
    <n v="2024"/>
    <n v="-1"/>
    <m/>
    <m/>
    <n v="1"/>
    <d v="2024-06-28T00:00:00"/>
    <n v="1"/>
    <n v="288500"/>
    <n v="1"/>
    <d v="2024-08-13T00:00:00"/>
    <n v="1"/>
    <n v="288500"/>
    <n v="1"/>
    <x v="226"/>
    <n v="288500"/>
    <s v="BVI"/>
  </r>
  <r>
    <n v="373"/>
    <s v="OT-MCA-CS-OTR00-080-A"/>
    <x v="88"/>
    <s v="McCarthy_Litigio Rio Tinto"/>
    <s v="McCarthy"/>
    <x v="1"/>
    <n v="2024"/>
    <n v="-1"/>
    <m/>
    <m/>
    <n v="1"/>
    <d v="2024-07-25T00:00:00"/>
    <n v="2"/>
    <n v="283900"/>
    <n v="2"/>
    <d v="2024-08-13T00:00:00"/>
    <n v="1"/>
    <n v="283900"/>
    <n v="1"/>
    <x v="226"/>
    <n v="283900"/>
    <s v="BVI"/>
  </r>
  <r>
    <n v="374"/>
    <s v="CH-MCI-OP-OTR00-089-A"/>
    <x v="89"/>
    <s v="MCI_Mine Plan Review Los Bronces"/>
    <s v="Mitsubichi"/>
    <x v="0"/>
    <n v="2024"/>
    <n v="-1"/>
    <m/>
    <m/>
    <n v="1"/>
    <d v="2024-06-27T00:00:00"/>
    <n v="1"/>
    <n v="71760"/>
    <n v="194"/>
    <d v="2024-06-27T00:00:00"/>
    <n v="1"/>
    <n v="71760"/>
    <n v="1"/>
    <x v="138"/>
    <n v="71760"/>
    <m/>
  </r>
  <r>
    <n v="375"/>
    <s v="CH-MCI-OP-OTR00-089-A"/>
    <x v="89"/>
    <s v="MCI_Mine Plan Review Los Bronces"/>
    <s v="Mitsubichi"/>
    <x v="0"/>
    <n v="2024"/>
    <n v="-1"/>
    <m/>
    <m/>
    <n v="1"/>
    <d v="2024-09-27T00:00:00"/>
    <n v="2"/>
    <n v="71760"/>
    <n v="219"/>
    <d v="2024-09-27T00:00:00"/>
    <n v="1"/>
    <n v="71760"/>
    <n v="1"/>
    <x v="227"/>
    <n v="71760"/>
    <m/>
  </r>
  <r>
    <n v="376"/>
    <s v="CH-MCI-OP-OTR00-089-A"/>
    <x v="89"/>
    <s v="MCI_Mine Plan Review Los Bronces"/>
    <s v="Mitsubichi"/>
    <x v="0"/>
    <n v="2024"/>
    <n v="-1"/>
    <m/>
    <m/>
    <n v="1"/>
    <d v="2024-10-24T00:00:00"/>
    <n v="3"/>
    <n v="71760"/>
    <n v="227"/>
    <d v="2024-10-23T00:00:00"/>
    <n v="1"/>
    <n v="71760"/>
    <n v="1"/>
    <x v="216"/>
    <n v="71760"/>
    <m/>
  </r>
  <r>
    <n v="377"/>
    <s v="CH-MCI-OP-OTR00-089-A"/>
    <x v="89"/>
    <s v="MCI_Mine Plan Review Los Bronces"/>
    <s v="Mitsubichi"/>
    <x v="0"/>
    <n v="2025"/>
    <n v="-1"/>
    <m/>
    <m/>
    <n v="1"/>
    <d v="2025-01-30T00:00:00"/>
    <n v="4"/>
    <n v="23720"/>
    <n v="269"/>
    <d v="2025-03-03T00:00:00"/>
    <n v="1"/>
    <n v="23720"/>
    <n v="1"/>
    <x v="228"/>
    <n v="23720"/>
    <m/>
  </r>
  <r>
    <n v="378"/>
    <s v="PE-COR-UG-FEL2A-035-A"/>
    <x v="90"/>
    <s v="MEIA Coripuno"/>
    <s v="Coripuno"/>
    <x v="2"/>
    <n v="2024"/>
    <n v="-1"/>
    <m/>
    <m/>
    <n v="1"/>
    <d v="2024-07-25T00:00:00"/>
    <n v="1"/>
    <n v="23980"/>
    <s v="E001-267"/>
    <d v="2024-09-20T00:00:00"/>
    <n v="1"/>
    <n v="23980"/>
    <n v="1"/>
    <x v="229"/>
    <n v="23491.29"/>
    <m/>
  </r>
  <r>
    <n v="379"/>
    <s v="PE-COR-UG-FEL2A-035-A"/>
    <x v="90"/>
    <s v="MEIA Coripuno"/>
    <s v="Coripuno"/>
    <x v="2"/>
    <n v="2024"/>
    <n v="-1"/>
    <m/>
    <m/>
    <n v="1"/>
    <d v="2024-09-30T00:00:00"/>
    <n v="2"/>
    <n v="21582"/>
    <s v="E001-274"/>
    <d v="2024-10-22T00:00:00"/>
    <n v="1"/>
    <n v="21582"/>
    <n v="1"/>
    <x v="230"/>
    <n v="22411"/>
    <m/>
  </r>
  <r>
    <n v="380"/>
    <s v="CH-BHP-CD-OTR00-020-A"/>
    <x v="91"/>
    <s v="Servicio Enoteca"/>
    <s v="MEL"/>
    <x v="0"/>
    <n v="2022"/>
    <n v="-1"/>
    <m/>
    <m/>
    <n v="1"/>
    <d v="2022-11-21T00:00:00"/>
    <n v="3"/>
    <n v="39901.11"/>
    <n v="507"/>
    <d v="2022-12-30T00:00:00"/>
    <n v="1"/>
    <n v="39901.11"/>
    <n v="1"/>
    <x v="231"/>
    <n v="39901.11"/>
    <m/>
  </r>
  <r>
    <n v="381"/>
    <s v="CH-BHP-CD-OTR00-020-A"/>
    <x v="91"/>
    <s v="Servicio Enoteca"/>
    <s v="MEL"/>
    <x v="0"/>
    <n v="2023"/>
    <n v="-1"/>
    <m/>
    <m/>
    <n v="1"/>
    <d v="2022-12-21T00:00:00"/>
    <n v="5"/>
    <n v="46667.988749999997"/>
    <n v="48"/>
    <d v="2023-03-02T00:00:00"/>
    <n v="1"/>
    <n v="46667.988749999997"/>
    <n v="1"/>
    <x v="232"/>
    <n v="46667.988749999997"/>
    <m/>
  </r>
  <r>
    <n v="382"/>
    <s v="CH-BHP-CD-OTR00-020-A"/>
    <x v="91"/>
    <s v="Servicio Enoteca"/>
    <s v="MEL"/>
    <x v="0"/>
    <n v="2023"/>
    <n v="-1"/>
    <m/>
    <m/>
    <n v="1"/>
    <d v="2023-01-21T00:00:00"/>
    <n v="6"/>
    <n v="27689.485000000001"/>
    <n v="49"/>
    <d v="2023-03-02T00:00:00"/>
    <n v="1"/>
    <n v="27689.485000000001"/>
    <n v="1"/>
    <x v="232"/>
    <n v="27689.485000000001"/>
    <m/>
  </r>
  <r>
    <n v="383"/>
    <s v="CH-BHP-CD-OTR00-020-A"/>
    <x v="91"/>
    <s v="Servicio Enoteca"/>
    <s v="MEL"/>
    <x v="0"/>
    <n v="2023"/>
    <n v="-1"/>
    <m/>
    <m/>
    <n v="1"/>
    <d v="2023-02-21T00:00:00"/>
    <n v="7"/>
    <n v="35526.91375"/>
    <n v="50"/>
    <d v="2023-03-02T00:00:00"/>
    <n v="1"/>
    <n v="35526.91375"/>
    <n v="1"/>
    <x v="232"/>
    <n v="35526.91375"/>
    <m/>
  </r>
  <r>
    <n v="384"/>
    <s v="CH-BHP-CD-OTR00-020-A"/>
    <x v="91"/>
    <s v="Servicio Enoteca"/>
    <s v="MEL"/>
    <x v="0"/>
    <n v="2023"/>
    <n v="-1"/>
    <m/>
    <m/>
    <n v="1"/>
    <d v="2023-06-01T00:00:00"/>
    <n v="8"/>
    <n v="40733.79"/>
    <n v="81"/>
    <d v="2023-06-09T00:00:00"/>
    <n v="1"/>
    <n v="40773.79"/>
    <n v="1"/>
    <x v="233"/>
    <n v="40773.79"/>
    <m/>
  </r>
  <r>
    <n v="385"/>
    <s v="PE-MSR-CS-OTR00-090-A"/>
    <x v="92"/>
    <s v="Minsur_Apoyo MEIA Raura"/>
    <s v="Minsur"/>
    <x v="2"/>
    <n v="2024"/>
    <n v="-1"/>
    <m/>
    <m/>
    <n v="1"/>
    <d v="2024-05-28T00:00:00"/>
    <n v="1"/>
    <n v="8262"/>
    <s v="E001-242"/>
    <d v="2024-06-17T00:00:00"/>
    <n v="1"/>
    <n v="8262"/>
    <n v="1"/>
    <x v="234"/>
    <n v="8262"/>
    <m/>
  </r>
  <r>
    <n v="386"/>
    <s v="PE-MSR-UG-OTR00-077-A"/>
    <x v="93"/>
    <s v="Minsur_Apoyo Planificacion San Rafael"/>
    <s v="Minsur"/>
    <x v="2"/>
    <n v="2024"/>
    <n v="-1"/>
    <m/>
    <m/>
    <n v="1"/>
    <d v="2024-07-25T00:00:00"/>
    <n v="1"/>
    <n v="32242"/>
    <s v="E001-263"/>
    <d v="2024-08-21T00:00:00"/>
    <n v="1"/>
    <n v="32242"/>
    <n v="1"/>
    <x v="235"/>
    <n v="32242"/>
    <m/>
  </r>
  <r>
    <n v="387"/>
    <s v="PE-MSR-UG-OTR00-077-A"/>
    <x v="93"/>
    <s v="Minsur_Apoyo Planificacion San Rafael"/>
    <s v="Minsur"/>
    <x v="2"/>
    <n v="2024"/>
    <n v="-1"/>
    <m/>
    <m/>
    <n v="1"/>
    <d v="2024-08-30T00:00:00"/>
    <n v="2"/>
    <n v="82138"/>
    <s v="E001-265"/>
    <d v="2024-09-03T00:00:00"/>
    <n v="1"/>
    <n v="82138"/>
    <n v="1"/>
    <x v="236"/>
    <n v="80437.743399999992"/>
    <m/>
  </r>
  <r>
    <n v="388"/>
    <s v="PE-MSR-UG-OTR00-077-A"/>
    <x v="93"/>
    <s v="Minsur_Apoyo Planificacion San Rafael"/>
    <s v="Minsur"/>
    <x v="2"/>
    <n v="2024"/>
    <n v="-1"/>
    <m/>
    <m/>
    <n v="1"/>
    <d v="2024-09-30T00:00:00"/>
    <n v="3"/>
    <n v="5513"/>
    <s v="E001-271"/>
    <d v="2024-10-22T00:00:00"/>
    <n v="1"/>
    <n v="5513"/>
    <n v="1"/>
    <x v="237"/>
    <n v="5513"/>
    <m/>
  </r>
  <r>
    <n v="389"/>
    <s v="PE-MSR-UG-OTR00-097-A"/>
    <x v="94"/>
    <s v="Minsur_Evaluacion recursos marginales"/>
    <s v="Minsur"/>
    <x v="2"/>
    <n v="2024"/>
    <n v="-1"/>
    <m/>
    <m/>
    <n v="1"/>
    <d v="2024-10-31T00:00:00"/>
    <n v="1"/>
    <n v="26104"/>
    <s v="E001-277"/>
    <d v="2024-11-11T00:00:00"/>
    <n v="1"/>
    <n v="26104"/>
    <n v="1"/>
    <x v="237"/>
    <n v="26104"/>
    <m/>
  </r>
  <r>
    <n v="390"/>
    <s v="PE-MSR-UG-OTR00-097-A"/>
    <x v="94"/>
    <s v="Minsur_Evaluacion recursos marginales"/>
    <s v="Minsur"/>
    <x v="2"/>
    <n v="2024"/>
    <n v="-1"/>
    <m/>
    <m/>
    <n v="1"/>
    <d v="2024-11-29T00:00:00"/>
    <n v="2"/>
    <n v="25519"/>
    <s v="E001-281"/>
    <d v="2024-12-12T00:00:00"/>
    <n v="1"/>
    <n v="25519"/>
    <n v="1"/>
    <x v="37"/>
    <n v="25000"/>
    <m/>
  </r>
  <r>
    <n v="391"/>
    <s v="PE-MSR-UG-OTR00-097-A"/>
    <x v="94"/>
    <s v="Minsur_Evaluacion recursos marginales"/>
    <s v="Minsur"/>
    <x v="2"/>
    <n v="2024"/>
    <n v="-1"/>
    <m/>
    <m/>
    <n v="1"/>
    <d v="2024-12-26T00:00:00"/>
    <n v="3"/>
    <n v="13312"/>
    <s v="E001-288"/>
    <d v="2025-01-03T00:00:00"/>
    <n v="1"/>
    <n v="13312"/>
    <n v="1"/>
    <x v="224"/>
    <n v="13823"/>
    <m/>
  </r>
  <r>
    <n v="392"/>
    <s v="PE-MSR-CS-OTR00-163-A"/>
    <x v="95"/>
    <s v="Minsur_Factibilidad Infraestructura Coreshack"/>
    <s v="Minsur"/>
    <x v="2"/>
    <n v="2025"/>
    <n v="-1"/>
    <m/>
    <m/>
    <n v="-1"/>
    <m/>
    <s v="s/EDP"/>
    <m/>
    <s v="E001-329"/>
    <d v="2025-09-01T00:00:00"/>
    <n v="1"/>
    <n v="12000"/>
    <n v="1"/>
    <x v="238"/>
    <n v="12000"/>
    <s v="Confirmar"/>
  </r>
  <r>
    <n v="393"/>
    <s v="PE-MSR-UG-FEL03-036-A"/>
    <x v="96"/>
    <s v="Minsur_Forecast_Budget24"/>
    <s v="Minsur"/>
    <x v="2"/>
    <n v="2023"/>
    <n v="-1"/>
    <m/>
    <m/>
    <n v="1"/>
    <d v="2023-12-22T00:00:00"/>
    <n v="1"/>
    <n v="65088"/>
    <s v="E001-225"/>
    <d v="2024-01-16T00:00:00"/>
    <n v="1"/>
    <n v="65088"/>
    <n v="1"/>
    <x v="239"/>
    <n v="65088"/>
    <s v="Aún no se cuenta con Orden de Compra / El cliente solicitó unificar loe EDP"/>
  </r>
  <r>
    <n v="394"/>
    <s v="PE-MSR-GM-OTR00-109-A"/>
    <x v="97"/>
    <s v="Minsur_Integracion Planeamiento Geomecanica"/>
    <s v="Minsur"/>
    <x v="2"/>
    <n v="2024"/>
    <n v="-1"/>
    <m/>
    <m/>
    <n v="1"/>
    <d v="2024-06-25T00:00:00"/>
    <n v="1"/>
    <n v="13797"/>
    <s v="E001-249"/>
    <d v="2024-07-08T00:00:00"/>
    <n v="1"/>
    <n v="13797"/>
    <n v="1"/>
    <x v="240"/>
    <n v="13797"/>
    <m/>
  </r>
  <r>
    <n v="395"/>
    <s v="PE-MSR-UG-OTR00-151-A"/>
    <x v="98"/>
    <s v="Minsur_LOM Integrado San Rafael 2025"/>
    <s v="Minsur"/>
    <x v="2"/>
    <n v="2025"/>
    <n v="-1"/>
    <m/>
    <m/>
    <n v="1"/>
    <d v="2025-05-30T00:00:00"/>
    <n v="1"/>
    <n v="29207"/>
    <s v="E001-352"/>
    <d v="2026-01-20T00:00:00"/>
    <n v="1"/>
    <n v="33892"/>
    <n v="-1"/>
    <x v="241"/>
    <n v="33892"/>
    <s v="Sin OC al 14/08"/>
  </r>
  <r>
    <n v="396"/>
    <s v="PE-MSR-UG-FEL00-086-A"/>
    <x v="99"/>
    <s v="Minsur_LOM San Rafael 2025"/>
    <s v="Minsur"/>
    <x v="2"/>
    <n v="2024"/>
    <n v="-1"/>
    <m/>
    <m/>
    <n v="1"/>
    <d v="2024-07-25T00:00:00"/>
    <n v="1"/>
    <n v="84801.87"/>
    <s v="E001-261"/>
    <d v="2024-08-19T00:00:00"/>
    <n v="1"/>
    <n v="84862"/>
    <n v="1"/>
    <x v="242"/>
    <n v="84862"/>
    <m/>
  </r>
  <r>
    <n v="397"/>
    <s v="PE-MSR-UG-FEL00-086-A"/>
    <x v="99"/>
    <s v="Minsur_LOM San Rafael 2025"/>
    <s v="Minsur"/>
    <x v="2"/>
    <n v="2024"/>
    <n v="-1"/>
    <m/>
    <m/>
    <n v="1"/>
    <d v="2024-08-30T00:00:00"/>
    <n v="2"/>
    <n v="10481"/>
    <s v="E001-266"/>
    <d v="2024-09-03T00:00:00"/>
    <n v="1"/>
    <n v="10481"/>
    <n v="1"/>
    <x v="236"/>
    <n v="10264.043299999999"/>
    <m/>
  </r>
  <r>
    <n v="398"/>
    <s v="PE-MSR-GM-OTR00-092-A"/>
    <x v="100"/>
    <s v="Minsur_Mejoramiento datos geotecnicos SR"/>
    <s v="Minsur"/>
    <x v="2"/>
    <n v="2024"/>
    <n v="-1"/>
    <m/>
    <m/>
    <n v="1"/>
    <d v="2024-07-25T00:00:00"/>
    <n v="1"/>
    <n v="24551"/>
    <s v="E001-259"/>
    <d v="2024-08-16T00:00:00"/>
    <n v="1"/>
    <n v="24551"/>
    <n v="1"/>
    <x v="243"/>
    <n v="23814.47"/>
    <m/>
  </r>
  <r>
    <n v="399"/>
    <s v="PE-MSR-CS-OTR00-062-A"/>
    <x v="101"/>
    <s v="Minsur_Ore Sorting Raura"/>
    <s v="Minsur"/>
    <x v="2"/>
    <n v="2023"/>
    <n v="-1"/>
    <d v="2023-11-01T00:00:00"/>
    <n v="0"/>
    <n v="1"/>
    <d v="2023-11-27T00:00:00"/>
    <n v="1"/>
    <n v="15000"/>
    <s v="E001-220"/>
    <d v="2023-12-20T00:00:00"/>
    <n v="1"/>
    <n v="15000"/>
    <n v="1"/>
    <x v="244"/>
    <n v="15000"/>
    <m/>
  </r>
  <r>
    <n v="400"/>
    <s v="PE-MSR-UG-FEL00-079-A"/>
    <x v="102"/>
    <s v="Minsur_Rampa de acceso San German"/>
    <s v="Minsur"/>
    <x v="2"/>
    <n v="2024"/>
    <n v="-1"/>
    <m/>
    <m/>
    <n v="1"/>
    <d v="2024-07-14T00:00:00"/>
    <n v="1"/>
    <n v="53339"/>
    <s v="E001-273"/>
    <d v="2024-10-21T00:00:00"/>
    <n v="1"/>
    <n v="53339"/>
    <n v="1"/>
    <x v="245"/>
    <n v="52252"/>
    <m/>
  </r>
  <r>
    <n v="401"/>
    <s v="PE-MSR-UG-OTR00-134-A"/>
    <x v="103"/>
    <s v="Minsur_Raura Análisis LOM25"/>
    <s v="Minsur"/>
    <x v="2"/>
    <n v="2025"/>
    <n v="-1"/>
    <m/>
    <m/>
    <n v="1"/>
    <d v="2025-03-26T00:00:00"/>
    <n v="1"/>
    <n v="51870"/>
    <s v="E001-302"/>
    <d v="2025-05-09T00:00:00"/>
    <n v="1"/>
    <n v="51870"/>
    <n v="1"/>
    <x v="246"/>
    <n v="48608"/>
    <s v="Factoring"/>
  </r>
  <r>
    <n v="402"/>
    <s v="PE-MSR-UG-FEL00-142-A"/>
    <x v="104"/>
    <s v="Minsur_San Rafael Estudio V MEIA"/>
    <s v="Minsur"/>
    <x v="2"/>
    <n v="2025"/>
    <n v="-1"/>
    <m/>
    <m/>
    <n v="1"/>
    <d v="2025-04-29T00:00:00"/>
    <n v="1"/>
    <n v="76361"/>
    <s v="E001-312"/>
    <d v="2025-06-05T00:00:00"/>
    <n v="1"/>
    <n v="76361"/>
    <n v="1"/>
    <x v="247"/>
    <n v="76361"/>
    <m/>
  </r>
  <r>
    <n v="403"/>
    <s v="PE-MSR-UG-FEL00-142-A"/>
    <x v="104"/>
    <s v="Minsur_San Rafael Estudio V MEIA"/>
    <s v="Minsur"/>
    <x v="2"/>
    <n v="2025"/>
    <n v="-1"/>
    <m/>
    <m/>
    <n v="1"/>
    <d v="2025-06-15T00:00:00"/>
    <n v="2"/>
    <n v="114681"/>
    <s v="E001-321"/>
    <d v="2025-08-04T00:00:00"/>
    <n v="1"/>
    <n v="114681"/>
    <n v="1"/>
    <x v="248"/>
    <n v="112344"/>
    <m/>
  </r>
  <r>
    <n v="404"/>
    <s v="PE-MSR-UG-FEL00-142-A"/>
    <x v="104"/>
    <s v="Minsur_San Rafael Estudio V MEIA"/>
    <s v="Minsur"/>
    <x v="2"/>
    <n v="2025"/>
    <n v="-1"/>
    <m/>
    <m/>
    <n v="1"/>
    <d v="2025-08-20T00:00:00"/>
    <n v="3"/>
    <n v="23019"/>
    <s v="E001-330"/>
    <d v="2025-09-01T00:00:00"/>
    <n v="1"/>
    <n v="23019"/>
    <n v="1"/>
    <x v="238"/>
    <n v="23019"/>
    <s v="Confirmar"/>
  </r>
  <r>
    <n v="405"/>
    <s v="PE-MSR-UG-FEL00-142-A"/>
    <x v="104"/>
    <s v="Minsur_San Rafael Estudio V MEIA"/>
    <s v="Minsur"/>
    <x v="2"/>
    <n v="2025"/>
    <n v="-1"/>
    <m/>
    <m/>
    <n v="1"/>
    <d v="2025-09-25T00:00:00"/>
    <n v="4"/>
    <n v="8564"/>
    <s v="No procede"/>
    <m/>
    <n v="-1"/>
    <m/>
    <n v="-1"/>
    <x v="57"/>
    <m/>
    <m/>
  </r>
  <r>
    <n v="406"/>
    <s v="PE-MSR-UG-FEL00-142-A"/>
    <x v="104"/>
    <s v="Minsur_San Rafael Estudio V MEIA"/>
    <s v="Minsur"/>
    <x v="2"/>
    <n v="2025"/>
    <n v="-1"/>
    <m/>
    <m/>
    <n v="1"/>
    <d v="2025-10-24T00:00:00"/>
    <n v="5"/>
    <n v="17010"/>
    <s v="No procede"/>
    <m/>
    <n v="-1"/>
    <m/>
    <n v="-1"/>
    <x v="57"/>
    <m/>
    <m/>
  </r>
  <r>
    <n v="407"/>
    <s v="PE-MSR-UG-OTR00-162-A"/>
    <x v="105"/>
    <s v="Minsur_Soporte LOM 2025 Raura"/>
    <s v="Minsur"/>
    <x v="2"/>
    <n v="2025"/>
    <n v="-1"/>
    <m/>
    <m/>
    <n v="1"/>
    <d v="2025-07-31T00:00:00"/>
    <n v="1"/>
    <n v="35690"/>
    <s v="E001-333"/>
    <d v="2025-10-06T00:00:00"/>
    <n v="1"/>
    <n v="37221"/>
    <n v="1"/>
    <x v="249"/>
    <n v="33707.714285714283"/>
    <s v="Regularizado"/>
  </r>
  <r>
    <n v="408"/>
    <s v="PE-MSR-UG-FEL00-071-A"/>
    <x v="106"/>
    <s v="Minsur_Update LOM San Rafael"/>
    <s v="Minsur"/>
    <x v="2"/>
    <n v="2024"/>
    <n v="1"/>
    <d v="2024-02-01T00:00:00"/>
    <n v="25600"/>
    <n v="1"/>
    <d v="2024-02-28T00:00:00"/>
    <n v="1"/>
    <n v="25600"/>
    <s v="E001-232"/>
    <d v="2024-03-20T00:00:00"/>
    <n v="1"/>
    <n v="25600"/>
    <n v="1"/>
    <x v="250"/>
    <n v="25600"/>
    <m/>
  </r>
  <r>
    <n v="409"/>
    <s v="PE-MMA-OP-FEL00-047-A"/>
    <x v="107"/>
    <s v="MiskiMayo_LOM"/>
    <s v="MiskiMayo"/>
    <x v="2"/>
    <n v="2023"/>
    <n v="1"/>
    <d v="2023-11-01T00:00:00"/>
    <n v="9666.6666666666679"/>
    <n v="1"/>
    <d v="2023-12-15T00:00:00"/>
    <n v="1"/>
    <n v="23659.07"/>
    <s v="E001-218"/>
    <d v="2023-12-18T00:00:00"/>
    <n v="1"/>
    <n v="23659"/>
    <n v="1"/>
    <x v="251"/>
    <n v="23659"/>
    <m/>
  </r>
  <r>
    <n v="410"/>
    <s v="PE-MMA-OP-FEL00-047-A"/>
    <x v="107"/>
    <s v="MiskiMayo_LOM"/>
    <s v="MiskiMayo"/>
    <x v="2"/>
    <n v="2023"/>
    <n v="1"/>
    <d v="2023-12-01T00:00:00"/>
    <n v="23027.200000000001"/>
    <n v="1"/>
    <d v="2023-12-31T00:00:00"/>
    <n v="2"/>
    <n v="26813.83"/>
    <s v="E001-226"/>
    <d v="2024-01-23T00:00:00"/>
    <n v="1"/>
    <n v="26813.83"/>
    <n v="1"/>
    <x v="252"/>
    <n v="26902"/>
    <m/>
  </r>
  <r>
    <n v="411"/>
    <s v="PE-MMA-OP-FEL00-047-A"/>
    <x v="107"/>
    <s v="MiskiMayo_LOM"/>
    <s v="MiskiMayo"/>
    <x v="2"/>
    <n v="2024"/>
    <n v="1"/>
    <d v="2024-01-01T00:00:00"/>
    <n v="32332"/>
    <n v="1"/>
    <d v="2024-01-25T00:00:00"/>
    <n v="3"/>
    <n v="11221.900000000001"/>
    <s v="E001-228"/>
    <d v="2024-02-05T00:00:00"/>
    <n v="1"/>
    <n v="11221.900000000001"/>
    <n v="1"/>
    <x v="253"/>
    <n v="11222"/>
    <m/>
  </r>
  <r>
    <n v="412"/>
    <s v="PE-MMA-OP-FEL00-047-A"/>
    <x v="107"/>
    <s v="MiskiMayo_LOM"/>
    <s v="MiskiMayo"/>
    <x v="2"/>
    <n v="2024"/>
    <n v="1"/>
    <d v="2024-02-01T00:00:00"/>
    <n v="33133"/>
    <n v="1"/>
    <d v="2024-02-29T00:00:00"/>
    <n v="4"/>
    <n v="7526"/>
    <s v=" E001-231 "/>
    <d v="2024-03-11T00:00:00"/>
    <n v="1"/>
    <n v="7526"/>
    <n v="1"/>
    <x v="254"/>
    <n v="7526"/>
    <m/>
  </r>
  <r>
    <n v="413"/>
    <s v="PE-MMA-OP-FEL00-047-A"/>
    <x v="107"/>
    <s v="MiskiMayo_LOM"/>
    <s v="MiskiMayo"/>
    <x v="2"/>
    <n v="2024"/>
    <n v="1"/>
    <d v="2024-03-01T00:00:00"/>
    <n v="30481"/>
    <n v="1"/>
    <d v="2024-03-20T00:00:00"/>
    <n v="5"/>
    <n v="15246"/>
    <s v=" E001-234"/>
    <d v="2024-03-21T00:00:00"/>
    <n v="1"/>
    <n v="15246"/>
    <n v="1"/>
    <x v="254"/>
    <n v="15246"/>
    <m/>
  </r>
  <r>
    <n v="414"/>
    <s v="PE-MMA-OP-FEL00-047-A"/>
    <x v="107"/>
    <s v="MiskiMayo_LOM"/>
    <s v="MiskiMayo"/>
    <x v="2"/>
    <n v="2024"/>
    <n v="1"/>
    <d v="2024-04-01T00:00:00"/>
    <n v="22893"/>
    <n v="1"/>
    <d v="2024-04-20T00:00:00"/>
    <n v="6"/>
    <n v="30669.3"/>
    <s v="E001-236"/>
    <d v="2024-04-26T00:00:00"/>
    <n v="1"/>
    <n v="30669"/>
    <n v="1"/>
    <x v="27"/>
    <n v="30669"/>
    <m/>
  </r>
  <r>
    <n v="415"/>
    <s v="BR-MOS-OP-FEL2A-102-A"/>
    <x v="108"/>
    <s v="Mosaic_Actualizacion geotecnica OP"/>
    <s v="Mosaic"/>
    <x v="3"/>
    <n v="2024"/>
    <n v="-1"/>
    <m/>
    <m/>
    <n v="1"/>
    <d v="2024-10-11T00:00:00"/>
    <n v="1"/>
    <n v="31426"/>
    <n v="49"/>
    <d v="2024-10-25T00:00:00"/>
    <n v="1"/>
    <n v="31720"/>
    <n v="1"/>
    <x v="255"/>
    <n v="28019"/>
    <m/>
  </r>
  <r>
    <n v="416"/>
    <s v="BR-MOS-OP-FEL2A-102-A"/>
    <x v="108"/>
    <s v="Mosaic_Actualizacion geotecnica OP"/>
    <s v="Mosaic"/>
    <x v="3"/>
    <n v="2024"/>
    <n v="-1"/>
    <m/>
    <m/>
    <n v="1"/>
    <d v="2024-11-19T00:00:00"/>
    <n v="2"/>
    <n v="43703"/>
    <n v="53"/>
    <d v="2024-11-25T00:00:00"/>
    <n v="1"/>
    <n v="38694"/>
    <n v="1"/>
    <x v="256"/>
    <n v="34759"/>
    <m/>
  </r>
  <r>
    <n v="417"/>
    <s v="BR-MOS-OU-FEL03-026-A"/>
    <x v="109"/>
    <s v="Cajati"/>
    <s v="Mosaic"/>
    <x v="3"/>
    <n v="2023"/>
    <n v="-1"/>
    <m/>
    <m/>
    <n v="1"/>
    <d v="2023-03-21T00:00:00"/>
    <n v="6"/>
    <n v="35960"/>
    <n v="5"/>
    <d v="2023-05-25T00:00:00"/>
    <n v="1"/>
    <n v="38046"/>
    <n v="1"/>
    <x v="257"/>
    <n v="36434"/>
    <m/>
  </r>
  <r>
    <n v="418"/>
    <s v="BR-MOS-OU-FEL03-026-A"/>
    <x v="109"/>
    <s v="Cajati"/>
    <s v="Mosaic"/>
    <x v="3"/>
    <n v="2023"/>
    <n v="-1"/>
    <m/>
    <m/>
    <n v="1"/>
    <d v="2023-04-21T00:00:00"/>
    <n v="7"/>
    <n v="11589"/>
    <n v="3"/>
    <d v="2023-05-25T00:00:00"/>
    <n v="1"/>
    <n v="11247"/>
    <n v="1"/>
    <x v="257"/>
    <n v="10770"/>
    <m/>
  </r>
  <r>
    <n v="419"/>
    <s v="BR-MOS-OU-FEL03-026-A"/>
    <x v="109"/>
    <s v="Cajati"/>
    <s v="Mosaic"/>
    <x v="3"/>
    <n v="2023"/>
    <n v="-1"/>
    <m/>
    <m/>
    <n v="1"/>
    <d v="2023-05-21T00:00:00"/>
    <n v="8"/>
    <n v="26229.48"/>
    <n v="4"/>
    <d v="2023-05-25T00:00:00"/>
    <n v="1"/>
    <n v="26048"/>
    <n v="1"/>
    <x v="257"/>
    <n v="29445"/>
    <m/>
  </r>
  <r>
    <n v="420"/>
    <s v="BR-MOS-OU-FEL03-026-A"/>
    <x v="109"/>
    <s v="Cajati"/>
    <s v="Mosaic"/>
    <x v="3"/>
    <n v="2023"/>
    <n v="-1"/>
    <m/>
    <m/>
    <n v="1"/>
    <d v="2023-06-21T00:00:00"/>
    <n v="9"/>
    <n v="16026"/>
    <n v="6"/>
    <d v="2023-06-23T00:00:00"/>
    <n v="1"/>
    <n v="15553"/>
    <n v="1"/>
    <x v="258"/>
    <n v="14894"/>
    <m/>
  </r>
  <r>
    <n v="421"/>
    <s v="BR-MOS-OU-FEL03-026-A"/>
    <x v="109"/>
    <s v="Cajati"/>
    <s v="Mosaic"/>
    <x v="3"/>
    <n v="2023"/>
    <n v="-1"/>
    <m/>
    <m/>
    <n v="1"/>
    <d v="2023-07-14T00:00:00"/>
    <n v="10"/>
    <n v="45952.98"/>
    <n v="7"/>
    <d v="2023-07-25T00:00:00"/>
    <n v="1"/>
    <n v="43600"/>
    <n v="1"/>
    <x v="259"/>
    <n v="36435"/>
    <m/>
  </r>
  <r>
    <n v="422"/>
    <s v="BR-MOS-OU-FEL03-026-A"/>
    <x v="109"/>
    <s v="Cajati"/>
    <s v="Mosaic"/>
    <x v="3"/>
    <n v="2023"/>
    <n v="-1"/>
    <m/>
    <m/>
    <n v="1"/>
    <d v="2023-08-25T00:00:00"/>
    <n v="11"/>
    <n v="28092"/>
    <n v="8"/>
    <d v="2023-09-01T00:00:00"/>
    <n v="1"/>
    <n v="39321.186000000002"/>
    <n v="1"/>
    <x v="260"/>
    <n v="40124"/>
    <s v="Pendiente enteder la diferencia respecto a emisión"/>
  </r>
  <r>
    <n v="423"/>
    <s v="BR-MOS-OU-FEL03-026-A"/>
    <x v="109"/>
    <s v="Cajati"/>
    <s v="Mosaic"/>
    <x v="3"/>
    <n v="2023"/>
    <n v="1"/>
    <d v="2023-09-01T00:00:00"/>
    <n v="87653"/>
    <n v="1"/>
    <d v="2023-09-25T00:00:00"/>
    <n v="12"/>
    <n v="29306"/>
    <n v="9"/>
    <d v="2023-10-02T00:00:00"/>
    <n v="1"/>
    <n v="29306"/>
    <n v="1"/>
    <x v="261"/>
    <n v="27377"/>
    <m/>
  </r>
  <r>
    <n v="424"/>
    <s v="BR-MOS-OU-FEL03-026-A"/>
    <x v="109"/>
    <s v="Cajati"/>
    <s v="Mosaic"/>
    <x v="3"/>
    <n v="2023"/>
    <n v="1"/>
    <d v="2023-10-01T00:00:00"/>
    <n v="103661"/>
    <n v="1"/>
    <d v="2023-10-23T00:00:00"/>
    <n v="13"/>
    <n v="23474"/>
    <n v="14"/>
    <d v="2023-11-08T00:00:00"/>
    <n v="1"/>
    <n v="22142"/>
    <n v="1"/>
    <x v="262"/>
    <n v="22589"/>
    <m/>
  </r>
  <r>
    <n v="425"/>
    <s v="BR-MOS-OU-FEL03-026-A"/>
    <x v="109"/>
    <s v="Cajati"/>
    <s v="Mosaic"/>
    <x v="3"/>
    <n v="2023"/>
    <n v="1"/>
    <d v="2023-11-01T00:00:00"/>
    <n v="175963.60080000001"/>
    <n v="1"/>
    <d v="2023-11-20T00:00:00"/>
    <n v="14"/>
    <n v="103264"/>
    <n v="16"/>
    <d v="2023-12-01T00:00:00"/>
    <n v="1"/>
    <n v="100293"/>
    <n v="1"/>
    <x v="263"/>
    <n v="96993"/>
    <m/>
  </r>
  <r>
    <n v="426"/>
    <s v="BR-MOS-OU-FEL03-026-A"/>
    <x v="109"/>
    <s v="Cajati"/>
    <s v="Mosaic"/>
    <x v="3"/>
    <n v="2023"/>
    <n v="1"/>
    <d v="2023-12-01T00:00:00"/>
    <n v="188102"/>
    <n v="1"/>
    <d v="2023-12-21T00:00:00"/>
    <n v="15"/>
    <n v="36224"/>
    <n v="19"/>
    <d v="2023-12-12T00:00:00"/>
    <n v="1"/>
    <n v="33481.699999999997"/>
    <n v="1"/>
    <x v="196"/>
    <n v="34165"/>
    <m/>
  </r>
  <r>
    <n v="427"/>
    <s v="BR-MOS-OU-FEL03-026-A"/>
    <x v="109"/>
    <s v="Cajati"/>
    <s v="Mosaic"/>
    <x v="3"/>
    <n v="2023"/>
    <n v="-1"/>
    <d v="2023-12-15T00:00:00"/>
    <n v="0"/>
    <n v="1"/>
    <d v="2023-12-29T00:00:00"/>
    <n v="16"/>
    <n v="11989"/>
    <n v="23"/>
    <d v="2024-01-01T00:00:00"/>
    <n v="1"/>
    <n v="11081.13"/>
    <n v="1"/>
    <x v="264"/>
    <n v="11307.28"/>
    <m/>
  </r>
  <r>
    <n v="428"/>
    <s v="BR-MOS-OU-FEL03-026-A"/>
    <x v="109"/>
    <s v="Cajati"/>
    <s v="Mosaic"/>
    <x v="3"/>
    <n v="2024"/>
    <n v="1"/>
    <d v="2024-01-01T00:00:00"/>
    <n v="20000"/>
    <n v="1"/>
    <d v="2024-01-20T00:00:00"/>
    <n v="17"/>
    <n v="11822"/>
    <n v="25"/>
    <d v="2024-02-02T00:00:00"/>
    <n v="1"/>
    <n v="11094"/>
    <n v="1"/>
    <x v="265"/>
    <n v="11094"/>
    <m/>
  </r>
  <r>
    <n v="429"/>
    <s v="BR-MOS-OU-FEL03-026-A"/>
    <x v="109"/>
    <s v="Cajati"/>
    <s v="Mosaic"/>
    <x v="3"/>
    <n v="2024"/>
    <n v="1"/>
    <d v="2024-02-01T00:00:00"/>
    <n v="40000"/>
    <n v="1"/>
    <d v="2024-02-20T00:00:00"/>
    <n v="18"/>
    <n v="42124"/>
    <n v="33"/>
    <d v="2024-03-24T00:00:00"/>
    <n v="1"/>
    <n v="39532.92"/>
    <n v="1"/>
    <x v="42"/>
    <n v="39533"/>
    <m/>
  </r>
  <r>
    <n v="430"/>
    <s v="BR-MOS-OU-FEL03-026-A"/>
    <x v="109"/>
    <s v="Cajati"/>
    <s v="Mosaic"/>
    <x v="3"/>
    <n v="2024"/>
    <n v="1"/>
    <d v="2024-03-01T00:00:00"/>
    <n v="127854"/>
    <n v="1"/>
    <d v="2024-03-20T00:00:00"/>
    <n v="19"/>
    <n v="186908"/>
    <n v="34"/>
    <d v="2024-03-31T00:00:00"/>
    <n v="1"/>
    <n v="172280.11"/>
    <n v="1"/>
    <x v="33"/>
    <n v="172280.11"/>
    <m/>
  </r>
  <r>
    <n v="431"/>
    <s v="BR-MOS-OU-FEL03-026-A"/>
    <x v="109"/>
    <s v="Cajati"/>
    <s v="Mosaic"/>
    <x v="3"/>
    <n v="2024"/>
    <n v="1"/>
    <d v="2024-04-01T00:00:00"/>
    <n v="25112"/>
    <n v="1"/>
    <d v="2024-04-20T00:00:00"/>
    <n v="20"/>
    <n v="22215"/>
    <n v="35"/>
    <d v="2024-05-22T00:00:00"/>
    <n v="1"/>
    <n v="20440"/>
    <n v="1"/>
    <x v="266"/>
    <n v="20440"/>
    <m/>
  </r>
  <r>
    <n v="432"/>
    <s v="BR-MOS-OU-FEL03-026-A"/>
    <x v="109"/>
    <s v="Cajati"/>
    <s v="Mosaic"/>
    <x v="3"/>
    <n v="2024"/>
    <n v="-1"/>
    <m/>
    <m/>
    <n v="1"/>
    <d v="2024-07-25T00:00:00"/>
    <n v="21"/>
    <n v="12694"/>
    <n v="45"/>
    <d v="2024-09-05T00:00:00"/>
    <n v="1"/>
    <n v="11239"/>
    <n v="1"/>
    <x v="80"/>
    <n v="9927.7099999999991"/>
    <m/>
  </r>
  <r>
    <n v="433"/>
    <s v="BR-MOS-OU-FEL03-026-A"/>
    <x v="109"/>
    <s v="Cajati Optimización OP"/>
    <s v="Mosaic"/>
    <x v="3"/>
    <n v="2024"/>
    <n v="-1"/>
    <d v="2024-01-01T00:00:00"/>
    <n v="0"/>
    <n v="1"/>
    <d v="2024-01-20T00:00:00"/>
    <n v="1"/>
    <n v="19641"/>
    <n v="31"/>
    <d v="2024-03-20T00:00:00"/>
    <n v="1"/>
    <n v="18697.22"/>
    <n v="1"/>
    <x v="267"/>
    <n v="18697"/>
    <m/>
  </r>
  <r>
    <n v="434"/>
    <s v="BR-MOS-OU-FEL03-026-A"/>
    <x v="109"/>
    <s v="Cajati Optimización OP"/>
    <s v="Mosaic"/>
    <x v="3"/>
    <n v="2024"/>
    <n v="-1"/>
    <d v="2024-02-01T00:00:00"/>
    <n v="0"/>
    <n v="1"/>
    <d v="2024-02-20T00:00:00"/>
    <n v="2"/>
    <n v="29998"/>
    <n v="32"/>
    <d v="2024-03-20T00:00:00"/>
    <n v="1"/>
    <n v="23210.240000000002"/>
    <n v="1"/>
    <x v="267"/>
    <n v="23210.240000000002"/>
    <m/>
  </r>
  <r>
    <n v="435"/>
    <s v="BR-MOS-OU-FEL03-026-A"/>
    <x v="109"/>
    <s v="Cajati Optimización OP"/>
    <s v="Mosaic"/>
    <x v="3"/>
    <n v="2024"/>
    <n v="-1"/>
    <d v="2024-03-01T00:00:00"/>
    <n v="0"/>
    <n v="1"/>
    <d v="2024-03-20T00:00:00"/>
    <n v="3"/>
    <n v="11425"/>
    <n v="36"/>
    <d v="2024-06-03T00:00:00"/>
    <n v="1"/>
    <n v="10960.4"/>
    <n v="1"/>
    <x v="28"/>
    <n v="10133.24"/>
    <m/>
  </r>
  <r>
    <n v="436"/>
    <s v="BR-MOS-OU-FEL03-026-A"/>
    <x v="109"/>
    <s v="Cajati Optimización OP"/>
    <s v="Mosaic"/>
    <x v="3"/>
    <n v="2024"/>
    <n v="-1"/>
    <d v="2024-04-01T00:00:00"/>
    <n v="0"/>
    <n v="1"/>
    <d v="2024-04-20T00:00:00"/>
    <n v="4"/>
    <n v="9425"/>
    <n v="37"/>
    <d v="2024-06-03T00:00:00"/>
    <n v="1"/>
    <n v="9026.25"/>
    <n v="1"/>
    <x v="28"/>
    <n v="8345"/>
    <m/>
  </r>
  <r>
    <n v="437"/>
    <s v="BR-MOS-OU-FEL03-026-A"/>
    <x v="109"/>
    <s v="Cajati Optimización OP"/>
    <s v="Mosaic"/>
    <x v="3"/>
    <n v="2024"/>
    <n v="-1"/>
    <m/>
    <m/>
    <n v="1"/>
    <d v="2024-07-25T00:00:00"/>
    <n v="5"/>
    <n v="2748"/>
    <n v="41"/>
    <d v="2024-07-25T00:00:00"/>
    <n v="1"/>
    <n v="2384"/>
    <n v="1"/>
    <x v="268"/>
    <n v="2213"/>
    <m/>
  </r>
  <r>
    <n v="438"/>
    <s v="BR-MOS-OU-FEL03-147-A"/>
    <x v="110"/>
    <s v="Mosaic_Cajati Business Case"/>
    <s v="Mosaic"/>
    <x v="3"/>
    <n v="2025"/>
    <n v="-1"/>
    <m/>
    <m/>
    <n v="1"/>
    <d v="2025-04-21T00:00:00"/>
    <n v="22"/>
    <n v="32268"/>
    <n v="70"/>
    <d v="2025-06-18T00:00:00"/>
    <n v="1"/>
    <n v="32454"/>
    <n v="1"/>
    <x v="269"/>
    <n v="35729.724770642199"/>
    <m/>
  </r>
  <r>
    <n v="439"/>
    <s v="BR-MOS-OU-FEL03-147-A"/>
    <x v="110"/>
    <s v="Mosaic_Cajati Business Case"/>
    <s v="Mosaic"/>
    <x v="3"/>
    <n v="2025"/>
    <n v="-1"/>
    <m/>
    <m/>
    <n v="1"/>
    <d v="2025-05-21T00:00:00"/>
    <n v="23"/>
    <n v="39074"/>
    <n v="71"/>
    <d v="2025-06-18T00:00:00"/>
    <n v="1"/>
    <n v="34963"/>
    <n v="1"/>
    <x v="269"/>
    <n v="38491.192660550456"/>
    <m/>
  </r>
  <r>
    <n v="440"/>
    <s v="BR-MOS-OU-FEL03-147-A"/>
    <x v="110"/>
    <s v="Mosaic_Cajati Business Case"/>
    <s v="Mosaic"/>
    <x v="3"/>
    <n v="2025"/>
    <n v="-1"/>
    <m/>
    <m/>
    <n v="1"/>
    <d v="2025-06-21T00:00:00"/>
    <n v="24"/>
    <n v="38732"/>
    <n v="75"/>
    <d v="2025-07-09T00:00:00"/>
    <n v="1"/>
    <n v="38732"/>
    <n v="1"/>
    <x v="249"/>
    <n v="37011"/>
    <m/>
  </r>
  <r>
    <n v="441"/>
    <s v="BR-MOS-OU-FEL03-147-A"/>
    <x v="110"/>
    <s v="Mosaic_Cajati Business Case"/>
    <s v="Mosaic"/>
    <x v="3"/>
    <n v="2025"/>
    <n v="-1"/>
    <m/>
    <m/>
    <n v="1"/>
    <d v="2025-07-15T00:00:00"/>
    <n v="25"/>
    <n v="22700"/>
    <n v="80"/>
    <d v="2025-07-22T00:00:00"/>
    <n v="1"/>
    <n v="22700"/>
    <n v="1"/>
    <x v="64"/>
    <n v="22524.814814814814"/>
    <m/>
  </r>
  <r>
    <n v="442"/>
    <s v="BR-MOS-OU-FEL03-147-A"/>
    <x v="110"/>
    <s v="Mosaic_Cajati Business Case"/>
    <s v="Mosaic"/>
    <x v="3"/>
    <n v="2025"/>
    <n v="-1"/>
    <m/>
    <m/>
    <n v="1"/>
    <d v="2025-08-20T00:00:00"/>
    <n v="26"/>
    <n v="15161"/>
    <n v="87"/>
    <d v="2025-08-22T00:00:00"/>
    <n v="1"/>
    <n v="15265"/>
    <n v="1"/>
    <x v="212"/>
    <n v="14517"/>
    <m/>
  </r>
  <r>
    <n v="443"/>
    <s v="BR-MOS-CS-OTR00-115-A"/>
    <x v="111"/>
    <s v="Mosaic_Secuencia Operaciones Cajati"/>
    <s v="Mosaic"/>
    <x v="3"/>
    <n v="2024"/>
    <n v="-1"/>
    <m/>
    <m/>
    <n v="1"/>
    <d v="2024-11-15T00:00:00"/>
    <n v="1"/>
    <n v="8053"/>
    <n v="54"/>
    <d v="2024-12-11T00:00:00"/>
    <n v="1"/>
    <n v="7558"/>
    <n v="1"/>
    <x v="270"/>
    <n v="7054"/>
    <m/>
  </r>
  <r>
    <n v="444"/>
    <s v="BR-MOS-CS-OTR00-115-A"/>
    <x v="111"/>
    <s v="Mosaic_Secuencia Operaciones Cajati"/>
    <s v="Mosaic"/>
    <x v="3"/>
    <n v="2024"/>
    <n v="-1"/>
    <m/>
    <m/>
    <n v="1"/>
    <d v="2024-12-15T00:00:00"/>
    <n v="2"/>
    <n v="17461"/>
    <n v="57"/>
    <d v="2024-12-14T00:00:00"/>
    <n v="1"/>
    <n v="17578"/>
    <n v="1"/>
    <x v="271"/>
    <n v="16407"/>
    <m/>
  </r>
  <r>
    <n v="445"/>
    <s v="BR-MOS-CS-OTR00-115-A"/>
    <x v="111"/>
    <s v="Mosaic_Secuencia Operaciones Cajati"/>
    <s v="Mosaic"/>
    <x v="3"/>
    <n v="2025"/>
    <n v="-1"/>
    <m/>
    <m/>
    <n v="1"/>
    <d v="2025-01-23T00:00:00"/>
    <n v="3"/>
    <n v="21816"/>
    <n v="58"/>
    <d v="2025-01-23T00:00:00"/>
    <n v="1"/>
    <n v="21327"/>
    <n v="1"/>
    <x v="59"/>
    <n v="21327.41"/>
    <m/>
  </r>
  <r>
    <n v="446"/>
    <s v="BR-MOS-CS-OTR00-115-A"/>
    <x v="111"/>
    <s v="Mosaic_Secuencia Operaciones Cajati"/>
    <s v="Mosaic"/>
    <x v="3"/>
    <n v="2025"/>
    <n v="-1"/>
    <m/>
    <m/>
    <n v="1"/>
    <d v="2025-02-20T00:00:00"/>
    <n v="4"/>
    <n v="12770"/>
    <n v="64"/>
    <d v="2025-03-17T00:00:00"/>
    <n v="1"/>
    <n v="11785"/>
    <n v="1"/>
    <x v="70"/>
    <n v="11785"/>
    <m/>
  </r>
  <r>
    <n v="447"/>
    <s v="BR-MOS-UG-FEL01-028-A"/>
    <x v="112"/>
    <s v="Mosaic_Taquari Vassouras"/>
    <s v="Mosaic"/>
    <x v="3"/>
    <n v="2023"/>
    <n v="1"/>
    <d v="2023-09-01T00:00:00"/>
    <n v="24662"/>
    <n v="1"/>
    <d v="2023-09-25T00:00:00"/>
    <n v="1"/>
    <n v="34067"/>
    <n v="12"/>
    <d v="2023-11-08T00:00:00"/>
    <n v="1"/>
    <n v="31187.856"/>
    <n v="1"/>
    <x v="262"/>
    <n v="31824"/>
    <m/>
  </r>
  <r>
    <n v="448"/>
    <s v="BR-MOS-UG-FEL01-028-A"/>
    <x v="112"/>
    <s v="Mosaic_Taquari Vassouras"/>
    <s v="Mosaic"/>
    <x v="3"/>
    <n v="2023"/>
    <n v="1"/>
    <d v="2023-10-01T00:00:00"/>
    <n v="98625"/>
    <n v="1"/>
    <d v="2023-10-23T00:00:00"/>
    <n v="2"/>
    <n v="39226"/>
    <n v="13"/>
    <d v="2023-11-08T00:00:00"/>
    <n v="1"/>
    <n v="36997.358"/>
    <n v="1"/>
    <x v="262"/>
    <n v="37752"/>
    <m/>
  </r>
  <r>
    <n v="449"/>
    <s v="BR-MOS-UG-FEL01-028-A"/>
    <x v="112"/>
    <s v="Mosaic_Taquari Vassouras"/>
    <s v="Mosaic"/>
    <x v="3"/>
    <n v="2023"/>
    <n v="1"/>
    <d v="2023-11-01T00:00:00"/>
    <n v="129266.28"/>
    <n v="1"/>
    <d v="2023-11-20T00:00:00"/>
    <n v="3"/>
    <n v="92851"/>
    <n v="20"/>
    <d v="2023-12-13T00:00:00"/>
    <n v="1"/>
    <n v="84777.332800000004"/>
    <n v="1"/>
    <x v="272"/>
    <n v="86507"/>
    <m/>
  </r>
  <r>
    <n v="450"/>
    <s v="BR-MOS-UG-FEL01-028-A"/>
    <x v="112"/>
    <s v="Mosaic_Taquari Vassouras"/>
    <s v="Mosaic"/>
    <x v="3"/>
    <n v="2023"/>
    <n v="1"/>
    <d v="2023-12-01T00:00:00"/>
    <n v="93670.894800000009"/>
    <n v="1"/>
    <d v="2023-12-21T00:00:00"/>
    <n v="4"/>
    <n v="66118"/>
    <n v="21"/>
    <d v="2023-12-13T00:00:00"/>
    <n v="1"/>
    <n v="60435.83"/>
    <n v="1"/>
    <x v="272"/>
    <n v="61669"/>
    <m/>
  </r>
  <r>
    <n v="451"/>
    <s v="BR-MOS-UG-FEL01-028-A"/>
    <x v="112"/>
    <s v="Mosaic_Taquari Vassouras"/>
    <s v="Mosaic"/>
    <x v="3"/>
    <n v="2024"/>
    <n v="1"/>
    <d v="2024-01-01T00:00:00"/>
    <n v="52371"/>
    <n v="1"/>
    <d v="2024-01-20T00:00:00"/>
    <n v="5"/>
    <n v="41400"/>
    <n v="27"/>
    <d v="2024-02-23T00:00:00"/>
    <n v="1"/>
    <n v="39081"/>
    <n v="1"/>
    <x v="273"/>
    <n v="39081"/>
    <m/>
  </r>
  <r>
    <n v="452"/>
    <s v="BR-MOS-UG-FEL01-028-A"/>
    <x v="112"/>
    <s v="Mosaic_Taquari Vassouras"/>
    <s v="Mosaic"/>
    <x v="3"/>
    <n v="2024"/>
    <n v="1"/>
    <d v="2024-02-01T00:00:00"/>
    <n v="10971"/>
    <n v="1"/>
    <d v="2024-02-20T00:00:00"/>
    <n v="6"/>
    <n v="6768"/>
    <n v="28"/>
    <d v="2024-02-19T00:00:00"/>
    <n v="1"/>
    <n v="6510"/>
    <n v="1"/>
    <x v="274"/>
    <n v="6510"/>
    <m/>
  </r>
  <r>
    <n v="453"/>
    <s v="BR-MOS-UG-FEL01-028-A"/>
    <x v="112"/>
    <s v="Mosaic_Taquari Vassouras"/>
    <s v="Mosaic"/>
    <x v="3"/>
    <n v="2024"/>
    <n v="1"/>
    <d v="2024-04-01T00:00:00"/>
    <n v="4173"/>
    <n v="1"/>
    <d v="2024-04-20T00:00:00"/>
    <n v="7"/>
    <n v="4173"/>
    <n v="38"/>
    <d v="2024-06-14T00:00:00"/>
    <n v="1"/>
    <n v="6509.9"/>
    <n v="1"/>
    <x v="275"/>
    <n v="6018"/>
    <m/>
  </r>
  <r>
    <n v="454"/>
    <s v="BR-MOS-UG-FEL01-028-A"/>
    <x v="112"/>
    <s v="Mosaic_Taquari Vassouras (Reembolsable)"/>
    <s v="Mosaic"/>
    <x v="3"/>
    <n v="2024"/>
    <n v="-1"/>
    <d v="2024-02-01T00:00:00"/>
    <n v="0"/>
    <n v="1"/>
    <d v="2024-02-20T00:00:00"/>
    <n v="1"/>
    <n v="6765"/>
    <s v="s/F"/>
    <d v="2024-08-16T00:00:00"/>
    <n v="1"/>
    <n v="6765"/>
    <n v="1"/>
    <x v="188"/>
    <n v="6765"/>
    <m/>
  </r>
  <r>
    <n v="455"/>
    <s v="BR-MOS-UG-OTR00-098-A"/>
    <x v="113"/>
    <s v="Mosaic_Taquari Vassouras Fase II"/>
    <s v="Mosaic"/>
    <x v="3"/>
    <n v="2024"/>
    <n v="-1"/>
    <m/>
    <m/>
    <n v="1"/>
    <d v="2024-11-15T00:00:00"/>
    <n v="1"/>
    <n v="31337"/>
    <n v="52"/>
    <d v="2024-11-25T00:00:00"/>
    <n v="1"/>
    <n v="27745"/>
    <n v="1"/>
    <x v="256"/>
    <n v="24924"/>
    <m/>
  </r>
  <r>
    <n v="456"/>
    <s v="BR-MOS-UG-OTR00-098-A"/>
    <x v="113"/>
    <s v="Mosaic_Taquari Vassouras Fase II"/>
    <s v="Mosaic"/>
    <x v="3"/>
    <n v="2024"/>
    <n v="-1"/>
    <m/>
    <m/>
    <n v="1"/>
    <d v="2024-12-15T00:00:00"/>
    <n v="2"/>
    <n v="5952"/>
    <n v="55"/>
    <d v="2024-12-11T00:00:00"/>
    <n v="1"/>
    <n v="5952"/>
    <n v="1"/>
    <x v="270"/>
    <n v="5952"/>
    <m/>
  </r>
  <r>
    <n v="457"/>
    <s v="BR-MOS-UG-OTR00-098-A"/>
    <x v="113"/>
    <s v="Mosaic_Taquari Vassouras Fase II"/>
    <s v="Mosaic"/>
    <x v="3"/>
    <n v="2024"/>
    <n v="-1"/>
    <m/>
    <m/>
    <n v="1"/>
    <d v="2024-12-15T00:00:00"/>
    <n v="2"/>
    <n v="14000"/>
    <n v="56"/>
    <d v="2024-12-14T00:00:00"/>
    <n v="1"/>
    <n v="10364"/>
    <n v="1"/>
    <x v="271"/>
    <n v="9743"/>
    <m/>
  </r>
  <r>
    <n v="458"/>
    <s v="BR-MOS-UG-OTR00-098-A"/>
    <x v="113"/>
    <s v="Mosaic_Taquari Vassouras Fase II"/>
    <s v="Mosaic"/>
    <x v="3"/>
    <n v="2025"/>
    <n v="-1"/>
    <m/>
    <m/>
    <n v="1"/>
    <d v="2025-01-24T00:00:00"/>
    <n v="3"/>
    <n v="22948"/>
    <n v="59"/>
    <d v="2025-01-24T00:00:00"/>
    <n v="1"/>
    <n v="18747"/>
    <n v="1"/>
    <x v="52"/>
    <n v="18747.16"/>
    <m/>
  </r>
  <r>
    <n v="459"/>
    <s v="BR-MOS-UG-OTR00-098-A"/>
    <x v="113"/>
    <s v="Mosaic_Taquari Vassouras Fase II"/>
    <s v="Mosaic"/>
    <x v="3"/>
    <n v="2025"/>
    <n v="-1"/>
    <m/>
    <m/>
    <n v="1"/>
    <d v="2025-02-20T00:00:00"/>
    <n v="4"/>
    <n v="10293"/>
    <n v="63"/>
    <d v="2025-03-17T00:00:00"/>
    <n v="1"/>
    <n v="9499"/>
    <n v="1"/>
    <x v="70"/>
    <n v="9499"/>
    <m/>
  </r>
  <r>
    <n v="460"/>
    <s v="BR-MOS-UG-OTR00-098-A"/>
    <x v="113"/>
    <s v="Mosaic_Taquari Vassouras Fase II"/>
    <s v="Mosaic"/>
    <x v="3"/>
    <n v="2025"/>
    <n v="-1"/>
    <m/>
    <m/>
    <n v="1"/>
    <d v="2025-03-26T00:00:00"/>
    <n v="5"/>
    <n v="5393"/>
    <n v="67"/>
    <d v="2025-04-11T00:00:00"/>
    <n v="1"/>
    <n v="4858.46"/>
    <n v="1"/>
    <x v="83"/>
    <n v="5421"/>
    <m/>
  </r>
  <r>
    <n v="461"/>
    <s v="BR-MOS-UG-OTR00-098-A"/>
    <x v="113"/>
    <s v="Mosaic_Taquari Vassouras Fase II"/>
    <s v="Mosaic"/>
    <x v="3"/>
    <n v="2025"/>
    <n v="-1"/>
    <m/>
    <m/>
    <n v="1"/>
    <d v="2025-04-30T00:00:00"/>
    <n v="6"/>
    <n v="11237"/>
    <n v="69"/>
    <d v="2025-05-20T00:00:00"/>
    <n v="1"/>
    <n v="10592"/>
    <n v="1"/>
    <x v="276"/>
    <n v="11024.51"/>
    <m/>
  </r>
  <r>
    <n v="462"/>
    <s v="BR-MOS-UG-OTR00-098-A"/>
    <x v="113"/>
    <s v="Mosaic_Taquari Vassouras Fase II"/>
    <s v="Mosaic"/>
    <x v="3"/>
    <n v="2025"/>
    <n v="-1"/>
    <m/>
    <m/>
    <n v="1"/>
    <d v="2025-05-30T00:00:00"/>
    <n v="7"/>
    <n v="32693"/>
    <n v="72"/>
    <d v="2025-06-18T00:00:00"/>
    <n v="1"/>
    <n v="30683"/>
    <n v="1"/>
    <x v="269"/>
    <n v="33778.899082568809"/>
    <m/>
  </r>
  <r>
    <n v="463"/>
    <s v="BR-MOS-UG-OTR00-098-A"/>
    <x v="113"/>
    <s v="Mosaic_Taquari Vassouras Fase II"/>
    <s v="Mosaic"/>
    <x v="3"/>
    <n v="2025"/>
    <n v="-1"/>
    <m/>
    <m/>
    <n v="1"/>
    <d v="2025-06-25T00:00:00"/>
    <n v="8"/>
    <n v="34273"/>
    <n v="74"/>
    <d v="2025-07-08T00:00:00"/>
    <n v="1"/>
    <n v="29305.88"/>
    <n v="1"/>
    <x v="277"/>
    <n v="32622"/>
    <m/>
  </r>
  <r>
    <n v="464"/>
    <s v="BR-MOS-UG-OTR00-098-A"/>
    <x v="113"/>
    <s v="Mosaic_Taquari Vassouras Fase II"/>
    <s v="Mosaic"/>
    <x v="3"/>
    <n v="2025"/>
    <n v="-1"/>
    <m/>
    <m/>
    <n v="1"/>
    <d v="2025-07-21T00:00:00"/>
    <n v="9"/>
    <n v="21033"/>
    <n v="79"/>
    <d v="2025-08-20T00:00:00"/>
    <n v="1"/>
    <n v="21927"/>
    <n v="1"/>
    <x v="64"/>
    <n v="20835.925925925923"/>
    <m/>
  </r>
  <r>
    <n v="465"/>
    <s v="BR-MOS-UG-OTR00-098-A"/>
    <x v="113"/>
    <s v="Mosaic_Taquari Vassouras Fase II"/>
    <s v="Mosaic"/>
    <x v="3"/>
    <n v="2025"/>
    <n v="-1"/>
    <m/>
    <m/>
    <n v="1"/>
    <d v="2025-08-20T00:00:00"/>
    <n v="10"/>
    <n v="25050"/>
    <n v="86"/>
    <d v="2025-08-22T00:00:00"/>
    <n v="1"/>
    <n v="25358"/>
    <n v="1"/>
    <x v="212"/>
    <n v="24115"/>
    <m/>
  </r>
  <r>
    <n v="466"/>
    <s v="BR-MOS-UG-OTR00-098-A"/>
    <x v="113"/>
    <s v="Mosaic_Taquari Vassouras Fase II"/>
    <s v="Mosaic"/>
    <x v="3"/>
    <n v="2025"/>
    <n v="-1"/>
    <m/>
    <m/>
    <n v="1"/>
    <d v="2025-09-20T00:00:00"/>
    <n v="11"/>
    <n v="33890"/>
    <n v="92"/>
    <d v="2025-09-17T00:00:00"/>
    <n v="1"/>
    <n v="33182.018348623853"/>
    <n v="1"/>
    <x v="66"/>
    <n v="28287"/>
    <m/>
  </r>
  <r>
    <n v="467"/>
    <s v="BR-MOS-UG-OTR00-098-A"/>
    <x v="113"/>
    <s v="Mosaic_Taquari Vassouras Fase II"/>
    <s v="Mosaic"/>
    <x v="3"/>
    <n v="2025"/>
    <n v="-1"/>
    <m/>
    <m/>
    <n v="1"/>
    <d v="2025-10-15T00:00:00"/>
    <n v="12"/>
    <n v="24873"/>
    <n v="102"/>
    <d v="2025-10-21T00:00:00"/>
    <n v="1"/>
    <n v="25194"/>
    <n v="-1"/>
    <x v="278"/>
    <n v="23101"/>
    <m/>
  </r>
  <r>
    <n v="468"/>
    <s v="BR-MOS-UG-FEL2A-064-A"/>
    <x v="114"/>
    <s v="Mosaic_Taquari Vassouras Fase II CP"/>
    <s v="Mosaic"/>
    <x v="3"/>
    <n v="2024"/>
    <n v="-1"/>
    <m/>
    <m/>
    <n v="1"/>
    <d v="2024-09-26T00:00:00"/>
    <n v="1"/>
    <n v="52744"/>
    <n v="48"/>
    <d v="2024-10-25T00:00:00"/>
    <n v="1"/>
    <n v="48730"/>
    <n v="1"/>
    <x v="255"/>
    <n v="43045"/>
    <m/>
  </r>
  <r>
    <n v="469"/>
    <s v="BR-NEX-UG-FEL2A-027-A"/>
    <x v="115"/>
    <s v="NEXA_FEL2 Aripuana"/>
    <s v="NEXA"/>
    <x v="3"/>
    <n v="2023"/>
    <n v="1"/>
    <d v="2023-09-01T00:00:00"/>
    <n v="52279"/>
    <n v="1"/>
    <d v="2023-09-25T00:00:00"/>
    <n v="1"/>
    <n v="11756"/>
    <n v="10"/>
    <d v="2023-10-04T00:00:00"/>
    <n v="1"/>
    <n v="11644"/>
    <n v="1"/>
    <x v="279"/>
    <n v="11644"/>
    <m/>
  </r>
  <r>
    <n v="470"/>
    <s v="BR-NEX-UG-FEL2A-027-A"/>
    <x v="115"/>
    <s v="NEXA_FEL2 Aripuana"/>
    <s v="NEXA"/>
    <x v="3"/>
    <n v="2023"/>
    <n v="1"/>
    <d v="2023-10-01T00:00:00"/>
    <n v="106671"/>
    <n v="1"/>
    <d v="2023-10-23T00:00:00"/>
    <n v="2"/>
    <n v="16248.228013587199"/>
    <n v="15"/>
    <d v="2023-11-24T00:00:00"/>
    <n v="1"/>
    <n v="15096.472620999999"/>
    <n v="1"/>
    <x v="196"/>
    <n v="15405"/>
    <m/>
  </r>
  <r>
    <n v="471"/>
    <s v="BR-NEX-UG-FEL2A-027-A"/>
    <x v="115"/>
    <s v="NEXA_FEL2 Aripuana"/>
    <s v="NEXA"/>
    <x v="3"/>
    <n v="2023"/>
    <n v="1"/>
    <d v="2023-11-01T00:00:00"/>
    <n v="71041.960000000006"/>
    <n v="1"/>
    <d v="2023-11-20T00:00:00"/>
    <n v="3"/>
    <n v="29518.362250826849"/>
    <n v="18"/>
    <d v="2023-12-01T00:00:00"/>
    <n v="1"/>
    <n v="27425.952553000003"/>
    <n v="1"/>
    <x v="196"/>
    <n v="27986"/>
    <m/>
  </r>
  <r>
    <n v="472"/>
    <s v="BR-NEX-UG-FEL2A-027-A"/>
    <x v="115"/>
    <s v="NEXA_FEL2 Aripuana"/>
    <s v="NEXA"/>
    <x v="3"/>
    <n v="2023"/>
    <n v="1"/>
    <d v="2023-12-01T00:00:00"/>
    <n v="112739"/>
    <n v="1"/>
    <d v="2023-12-21T00:00:00"/>
    <n v="4"/>
    <n v="71027"/>
    <n v="22"/>
    <d v="2024-01-02T00:00:00"/>
    <n v="1"/>
    <n v="67339"/>
    <n v="1"/>
    <x v="280"/>
    <n v="67339"/>
    <m/>
  </r>
  <r>
    <n v="473"/>
    <s v="BR-NEX-UG-FEL2A-027-A"/>
    <x v="115"/>
    <s v="NEXA_FEL2 Aripuana"/>
    <s v="NEXA"/>
    <x v="3"/>
    <n v="2024"/>
    <n v="1"/>
    <d v="2024-01-01T00:00:00"/>
    <n v="71918"/>
    <n v="1"/>
    <d v="2024-01-20T00:00:00"/>
    <n v="5"/>
    <n v="31925"/>
    <n v="26"/>
    <d v="2024-02-08T00:00:00"/>
    <n v="1"/>
    <n v="24421"/>
    <n v="1"/>
    <x v="281"/>
    <n v="24421"/>
    <m/>
  </r>
  <r>
    <n v="474"/>
    <s v="BR-NEX-UG-FEL2A-027-A"/>
    <x v="115"/>
    <s v="NEXA_FEL2 Aripuana"/>
    <s v="NEXA"/>
    <x v="3"/>
    <n v="2024"/>
    <n v="1"/>
    <d v="2024-05-01T00:00:00"/>
    <n v="47364.081632653055"/>
    <n v="1"/>
    <d v="2024-07-25T00:00:00"/>
    <n v="6"/>
    <n v="43869"/>
    <n v="42"/>
    <d v="2024-07-25T00:00:00"/>
    <n v="1"/>
    <n v="41088"/>
    <n v="1"/>
    <x v="189"/>
    <n v="38146"/>
    <m/>
  </r>
  <r>
    <n v="475"/>
    <s v="RU-OTR-UG-FEL2A-015-A"/>
    <x v="116"/>
    <s v="NordGold"/>
    <s v="Otro"/>
    <x v="5"/>
    <n v="2023"/>
    <n v="-1"/>
    <m/>
    <m/>
    <n v="1"/>
    <d v="2023-06-21T00:00:00"/>
    <n v="1"/>
    <n v="43371"/>
    <s v="s/F"/>
    <d v="2023-06-21T00:00:00"/>
    <n v="1"/>
    <n v="43371"/>
    <n v="1"/>
    <x v="282"/>
    <n v="43371"/>
    <s v="Consultar a Olesya"/>
  </r>
  <r>
    <n v="476"/>
    <s v="RU-OTR-GM-FEL01-016-A"/>
    <x v="117"/>
    <s v="Norilsk 1"/>
    <s v="Otro"/>
    <x v="5"/>
    <n v="2023"/>
    <n v="-1"/>
    <m/>
    <m/>
    <n v="1"/>
    <d v="2023-03-24T00:00:00"/>
    <n v="2"/>
    <n v="46805"/>
    <s v="s/F"/>
    <d v="2023-06-15T00:00:00"/>
    <n v="1"/>
    <n v="46805"/>
    <n v="1"/>
    <x v="283"/>
    <n v="46805"/>
    <s v="50% restante para 92 dias posteriores al pago. Fecha proyectada 18-09-23"/>
  </r>
  <r>
    <n v="477"/>
    <s v="RU-OTR-GM-FEL01-016-A"/>
    <x v="117"/>
    <s v="Norilsk 1"/>
    <s v="Otro"/>
    <x v="5"/>
    <n v="2023"/>
    <n v="-1"/>
    <m/>
    <m/>
    <n v="1"/>
    <d v="2023-03-24T00:00:00"/>
    <n v="3"/>
    <n v="46805"/>
    <s v="s/F"/>
    <d v="2023-09-18T00:00:00"/>
    <n v="1"/>
    <n v="46805"/>
    <n v="1"/>
    <x v="284"/>
    <n v="46805"/>
    <m/>
  </r>
  <r>
    <n v="478"/>
    <s v="RU-OTR-GM-FEL01-016-A"/>
    <x v="117"/>
    <s v="Norilsk 1"/>
    <s v="Otro"/>
    <x v="5"/>
    <n v="2023"/>
    <n v="-1"/>
    <m/>
    <m/>
    <n v="1"/>
    <d v="2023-07-21T00:00:00"/>
    <n v="4"/>
    <n v="29854"/>
    <s v="s/F"/>
    <d v="2023-07-21T00:00:00"/>
    <n v="1"/>
    <n v="29854"/>
    <n v="1"/>
    <x v="285"/>
    <n v="29854"/>
    <s v="Pago proyectado a finales de Agosto 2023. A partir de ahí se emite segundo cobro por USD 29.854"/>
  </r>
  <r>
    <n v="479"/>
    <s v="RU-OTR-GM-FEL01-016-A"/>
    <x v="117"/>
    <s v="Norilsk 1"/>
    <s v="Otro"/>
    <x v="5"/>
    <n v="2023"/>
    <n v="-1"/>
    <m/>
    <m/>
    <n v="1"/>
    <d v="2023-08-21T00:00:00"/>
    <n v="5"/>
    <n v="29854"/>
    <s v="s/F"/>
    <d v="2023-12-29T00:00:00"/>
    <n v="1"/>
    <n v="29854"/>
    <n v="1"/>
    <x v="244"/>
    <n v="29854"/>
    <s v="Se confirma pago por parte de Olesya a finales de diciembre 2023"/>
  </r>
  <r>
    <n v="480"/>
    <s v="PE-OCP-CS-OTR00-138-A"/>
    <x v="118"/>
    <s v="OCP_Análisis Estratégico Mina Cobriza"/>
    <s v="OCP"/>
    <x v="2"/>
    <n v="2025"/>
    <n v="-1"/>
    <m/>
    <m/>
    <n v="1"/>
    <d v="2025-03-31T00:00:00"/>
    <n v="1"/>
    <n v="59500"/>
    <s v="E001-294"/>
    <d v="2025-04-04T00:00:00"/>
    <n v="1"/>
    <n v="110077"/>
    <n v="1"/>
    <x v="286"/>
    <n v="110077"/>
    <m/>
  </r>
  <r>
    <n v="481"/>
    <s v="PE-OCP-CS-OTR00-138-A"/>
    <x v="118"/>
    <s v="OCP_Análisis Estratégico Mina Cobriza"/>
    <s v="OCP"/>
    <x v="2"/>
    <n v="2025"/>
    <n v="-1"/>
    <m/>
    <m/>
    <n v="1"/>
    <d v="2025-04-29T00:00:00"/>
    <n v="2"/>
    <n v="60000"/>
    <s v="E001-303"/>
    <d v="2025-05-14T00:00:00"/>
    <n v="1"/>
    <n v="110077"/>
    <n v="1"/>
    <x v="129"/>
    <n v="110077"/>
    <m/>
  </r>
  <r>
    <n v="482"/>
    <s v="PE-OCP-CS-OTR00-138-A"/>
    <x v="118"/>
    <s v="OCP_Análisis Estratégico Mina Cobriza"/>
    <s v="OCP"/>
    <x v="2"/>
    <n v="2025"/>
    <n v="-1"/>
    <m/>
    <m/>
    <n v="-1"/>
    <m/>
    <m/>
    <m/>
    <s v="E001-317"/>
    <d v="2025-06-30T00:00:00"/>
    <n v="1"/>
    <n v="52800"/>
    <n v="1"/>
    <x v="287"/>
    <n v="52800"/>
    <m/>
  </r>
  <r>
    <n v="483"/>
    <s v="PE-OCP-CS-OTR00-138-A"/>
    <x v="118"/>
    <s v="OCP_Análisis Estratégico Mina Cobriza"/>
    <s v="OCP"/>
    <x v="2"/>
    <n v="2025"/>
    <n v="-1"/>
    <m/>
    <m/>
    <n v="-1"/>
    <m/>
    <m/>
    <m/>
    <s v="E001-318"/>
    <d v="2025-06-30T00:00:00"/>
    <n v="1"/>
    <n v="26382"/>
    <n v="1"/>
    <x v="50"/>
    <n v="26382"/>
    <m/>
  </r>
  <r>
    <n v="484"/>
    <s v="PE-OCP-CS-OTR00-138-A"/>
    <x v="118"/>
    <s v="OCP_Análisis Estratégico Mina Cobriza"/>
    <s v="OCP"/>
    <x v="2"/>
    <n v="2025"/>
    <n v="-1"/>
    <m/>
    <m/>
    <n v="-1"/>
    <m/>
    <m/>
    <m/>
    <s v="E001-323"/>
    <d v="2025-08-07T00:00:00"/>
    <n v="1"/>
    <n v="41183"/>
    <n v="1"/>
    <x v="276"/>
    <n v="41183"/>
    <m/>
  </r>
  <r>
    <n v="485"/>
    <s v="RU-OTR-GM-FEL01-017-A"/>
    <x v="119"/>
    <s v="Oktyabrsky"/>
    <s v="Otro"/>
    <x v="5"/>
    <n v="2023"/>
    <n v="-1"/>
    <m/>
    <m/>
    <n v="1"/>
    <d v="2023-03-24T00:00:00"/>
    <n v="1"/>
    <n v="42832"/>
    <s v="s/F"/>
    <d v="2023-03-24T00:00:00"/>
    <n v="1"/>
    <n v="42832"/>
    <n v="1"/>
    <x v="288"/>
    <n v="42832"/>
    <s v="Consultar a Olesya"/>
  </r>
  <r>
    <n v="486"/>
    <s v="RU-OTR-GM-FEL01-017-A"/>
    <x v="119"/>
    <s v="Oktyabrsky"/>
    <s v="Otro"/>
    <x v="5"/>
    <n v="2023"/>
    <n v="-1"/>
    <m/>
    <m/>
    <n v="1"/>
    <d v="2023-05-21T00:00:00"/>
    <n v="2"/>
    <n v="24055"/>
    <s v="s/F"/>
    <d v="2023-05-21T00:00:00"/>
    <n v="1"/>
    <n v="24055"/>
    <n v="1"/>
    <x v="288"/>
    <n v="24055"/>
    <s v="Consultar a Olesya"/>
  </r>
  <r>
    <n v="487"/>
    <s v="RU-OTR-GM-FEL01-017-A"/>
    <x v="119"/>
    <s v="Oktyabrsky"/>
    <s v="Otro"/>
    <x v="5"/>
    <n v="2023"/>
    <n v="-1"/>
    <m/>
    <m/>
    <n v="1"/>
    <d v="2023-06-21T00:00:00"/>
    <n v="3"/>
    <n v="57086"/>
    <s v="s/F"/>
    <d v="2023-06-21T00:00:00"/>
    <n v="1"/>
    <n v="57086"/>
    <n v="1"/>
    <x v="289"/>
    <n v="57086"/>
    <s v="Consultar a Olesya"/>
  </r>
  <r>
    <n v="488"/>
    <s v="CH-AMS-OP-FEL01-014-A"/>
    <x v="120"/>
    <s v="MLP"/>
    <s v="AMSA"/>
    <x v="0"/>
    <n v="2023"/>
    <n v="-1"/>
    <m/>
    <m/>
    <n v="1"/>
    <d v="2022-12-21T00:00:00"/>
    <n v="2"/>
    <n v="101539.27374999999"/>
    <n v="43"/>
    <d v="2023-01-18T00:00:00"/>
    <n v="1"/>
    <n v="101539.27374999999"/>
    <n v="1"/>
    <x v="113"/>
    <n v="101539.27"/>
    <m/>
  </r>
  <r>
    <n v="489"/>
    <s v="CH-AMS-OP-FEL01-014-A"/>
    <x v="120"/>
    <s v="MLP"/>
    <s v="AMSA"/>
    <x v="0"/>
    <n v="2023"/>
    <n v="-1"/>
    <m/>
    <m/>
    <n v="1"/>
    <d v="2023-02-21T00:00:00"/>
    <n v="3"/>
    <n v="44245.945"/>
    <n v="53"/>
    <d v="2023-03-06T00:00:00"/>
    <n v="1"/>
    <n v="44245.945"/>
    <n v="1"/>
    <x v="290"/>
    <n v="44245.945"/>
    <m/>
  </r>
  <r>
    <n v="490"/>
    <s v="CH-AMS-OP-FEL01-014-A"/>
    <x v="120"/>
    <s v="MLP"/>
    <s v="AMSA"/>
    <x v="0"/>
    <n v="2023"/>
    <n v="-1"/>
    <m/>
    <m/>
    <n v="1"/>
    <d v="2023-02-21T00:00:00"/>
    <n v="4"/>
    <n v="51627.707499999997"/>
    <n v="58"/>
    <d v="2023-03-28T00:00:00"/>
    <n v="1"/>
    <n v="51627.707499999997"/>
    <n v="1"/>
    <x v="291"/>
    <n v="51627.707499999997"/>
    <m/>
  </r>
  <r>
    <n v="491"/>
    <s v="CH-AMS-OP-FEL01-014-A"/>
    <x v="120"/>
    <s v="MLP"/>
    <s v="AMSA"/>
    <x v="0"/>
    <n v="2023"/>
    <n v="-1"/>
    <m/>
    <m/>
    <n v="1"/>
    <d v="2023-03-21T00:00:00"/>
    <n v="5"/>
    <n v="30102.715"/>
    <n v="64"/>
    <d v="2023-04-14T00:00:00"/>
    <n v="1"/>
    <n v="30102.715"/>
    <n v="1"/>
    <x v="10"/>
    <n v="30102.715"/>
    <m/>
  </r>
  <r>
    <n v="492"/>
    <s v="CH-AMS-OP-FEL01-014-A"/>
    <x v="120"/>
    <s v="MLP"/>
    <s v="AMSA"/>
    <x v="0"/>
    <n v="2023"/>
    <n v="-1"/>
    <m/>
    <m/>
    <n v="1"/>
    <d v="2023-04-21T00:00:00"/>
    <n v="6"/>
    <n v="47249"/>
    <n v="82"/>
    <d v="2023-06-13T00:00:00"/>
    <n v="1"/>
    <n v="47227"/>
    <n v="1"/>
    <x v="233"/>
    <n v="46950.23"/>
    <m/>
  </r>
  <r>
    <n v="493"/>
    <s v="CH-AMS-OP-FEL01-014-A"/>
    <x v="120"/>
    <s v="MLP"/>
    <s v="AMSA"/>
    <x v="0"/>
    <n v="2023"/>
    <n v="-1"/>
    <m/>
    <m/>
    <n v="1"/>
    <d v="2023-06-21T00:00:00"/>
    <n v="7"/>
    <n v="8632.2900000000009"/>
    <n v="83"/>
    <d v="2023-06-19T00:00:00"/>
    <n v="1"/>
    <n v="8548.0499999999993"/>
    <n v="1"/>
    <x v="105"/>
    <n v="8548.0499999999993"/>
    <m/>
  </r>
  <r>
    <n v="494"/>
    <s v="CH-AMS-OP-FEL01-014-A"/>
    <x v="120"/>
    <s v="MLP"/>
    <s v="AMSA"/>
    <x v="0"/>
    <n v="2023"/>
    <n v="-1"/>
    <m/>
    <m/>
    <n v="1"/>
    <d v="2023-06-21T00:00:00"/>
    <n v="8"/>
    <n v="44744.56"/>
    <n v="90"/>
    <d v="2023-07-10T00:00:00"/>
    <n v="1"/>
    <n v="44745"/>
    <n v="1"/>
    <x v="292"/>
    <n v="44745"/>
    <m/>
  </r>
  <r>
    <n v="495"/>
    <s v="CH-AMS-OP-FEL01-014-A"/>
    <x v="120"/>
    <s v="MLP"/>
    <s v="AMSA"/>
    <x v="0"/>
    <n v="2023"/>
    <n v="-1"/>
    <m/>
    <m/>
    <n v="1"/>
    <d v="2023-07-21T00:00:00"/>
    <n v="9"/>
    <n v="10549.27"/>
    <n v="97"/>
    <d v="2023-08-03T00:00:00"/>
    <n v="1"/>
    <n v="10549"/>
    <n v="1"/>
    <x v="293"/>
    <n v="10549"/>
    <m/>
  </r>
  <r>
    <n v="496"/>
    <s v="PE-CSC-UG-FEL2A-023-A"/>
    <x v="121"/>
    <s v="PFS Los Calatos"/>
    <s v="CD Capitals"/>
    <x v="2"/>
    <n v="2023"/>
    <n v="1"/>
    <d v="2023-10-01T00:00:00"/>
    <n v="91270"/>
    <n v="1"/>
    <d v="2023-11-23T00:00:00"/>
    <n v="1"/>
    <n v="91731.278397791742"/>
    <s v="E001-208"/>
    <d v="2023-11-29T00:00:00"/>
    <n v="1"/>
    <n v="91731.278397791742"/>
    <n v="1"/>
    <x v="244"/>
    <n v="91731.278397791742"/>
    <s v="En el EDP1 se considerará el anticipo del 10%"/>
  </r>
  <r>
    <n v="497"/>
    <s v="PE-CSC-UG-FEL2A-023-A"/>
    <x v="121"/>
    <s v="PFS Los Calatos"/>
    <s v="CD Capitals"/>
    <x v="2"/>
    <n v="2023"/>
    <n v="1"/>
    <d v="2023-11-01T00:00:00"/>
    <n v="82558.17"/>
    <n v="1"/>
    <d v="2023-11-27T00:00:00"/>
    <n v="2"/>
    <n v="100441"/>
    <s v="E001-222"/>
    <d v="2023-12-22T00:00:00"/>
    <n v="1"/>
    <n v="100441"/>
    <n v="1"/>
    <x v="46"/>
    <n v="100441"/>
    <m/>
  </r>
  <r>
    <n v="498"/>
    <s v="PE-CSC-UG-FEL2A-023-A"/>
    <x v="121"/>
    <s v="PFS Los Calatos"/>
    <s v="CD Capitals"/>
    <x v="2"/>
    <n v="2023"/>
    <n v="1"/>
    <d v="2023-12-01T00:00:00"/>
    <n v="137777"/>
    <n v="1"/>
    <d v="2023-12-29T00:00:00"/>
    <n v="3"/>
    <n v="29776"/>
    <s v="E001-224"/>
    <d v="2024-01-10T00:00:00"/>
    <n v="1"/>
    <n v="29776"/>
    <n v="1"/>
    <x v="108"/>
    <n v="29776"/>
    <m/>
  </r>
  <r>
    <n v="499"/>
    <s v="PE-CSC-UG-FEL2A-023-A"/>
    <x v="121"/>
    <s v="PFS Los Calatos"/>
    <s v="CD Capitals"/>
    <x v="2"/>
    <n v="2024"/>
    <n v="1"/>
    <d v="2024-01-01T00:00:00"/>
    <n v="60000"/>
    <n v="1"/>
    <d v="2024-01-25T00:00:00"/>
    <n v="4"/>
    <n v="70005"/>
    <s v="E001-229"/>
    <d v="2024-02-12T00:00:00"/>
    <n v="1"/>
    <n v="70005"/>
    <n v="1"/>
    <x v="250"/>
    <n v="70005"/>
    <s v="Pendiente"/>
  </r>
  <r>
    <n v="500"/>
    <s v="PE-CSC-UG-FEL2A-023-A"/>
    <x v="121"/>
    <s v="PFS Los Calatos"/>
    <s v="CD Capitals"/>
    <x v="2"/>
    <n v="2024"/>
    <n v="1"/>
    <d v="2024-02-01T00:00:00"/>
    <n v="58000"/>
    <n v="1"/>
    <d v="2024-02-25T00:00:00"/>
    <n v="5"/>
    <n v="29387"/>
    <s v=" E001-235"/>
    <d v="2024-03-25T00:00:00"/>
    <n v="1"/>
    <n v="29387"/>
    <n v="1"/>
    <x v="294"/>
    <n v="29387"/>
    <m/>
  </r>
  <r>
    <n v="501"/>
    <s v="PE-CSC-UG-FEL2A-023-A"/>
    <x v="121"/>
    <s v="PFS Los Calatos"/>
    <s v="CD Capitals"/>
    <x v="2"/>
    <n v="2024"/>
    <n v="1"/>
    <d v="2024-04-01T00:00:00"/>
    <n v="125015"/>
    <n v="1"/>
    <d v="2024-04-23T00:00:00"/>
    <n v="6"/>
    <n v="50531"/>
    <s v="E001-237"/>
    <d v="2024-05-02T00:00:00"/>
    <n v="1"/>
    <n v="50531"/>
    <n v="1"/>
    <x v="295"/>
    <n v="50531"/>
    <m/>
  </r>
  <r>
    <n v="502"/>
    <s v="PE-CSC-UG-FEL2A-023-A"/>
    <x v="121"/>
    <s v="PFS Los Calatos"/>
    <s v="CD Capitals"/>
    <x v="2"/>
    <n v="2024"/>
    <n v="1"/>
    <d v="2024-05-01T00:00:00"/>
    <n v="61467"/>
    <n v="1"/>
    <d v="2024-05-28T00:00:00"/>
    <n v="7"/>
    <n v="177527"/>
    <s v="E001-243"/>
    <d v="2024-06-17T00:00:00"/>
    <n v="1"/>
    <n v="177527"/>
    <n v="1"/>
    <x v="185"/>
    <n v="172201.19"/>
    <m/>
  </r>
  <r>
    <n v="503"/>
    <s v="PE-CSC-UG-FEL2A-023-A"/>
    <x v="121"/>
    <s v="PFS Los Calatos"/>
    <s v="CD Capitals"/>
    <x v="2"/>
    <n v="2024"/>
    <n v="1"/>
    <d v="2024-05-01T00:00:00"/>
    <n v="114880.69999999995"/>
    <n v="1"/>
    <d v="2024-06-27T00:00:00"/>
    <n v="8"/>
    <n v="110053"/>
    <s v="E001-252"/>
    <d v="2024-07-22T00:00:00"/>
    <n v="1"/>
    <n v="110053"/>
    <n v="1"/>
    <x v="186"/>
    <n v="106751.41"/>
    <m/>
  </r>
  <r>
    <n v="504"/>
    <s v="PE-CSC-UG-FEL2A-023-A"/>
    <x v="121"/>
    <s v="PFS Los Calatos"/>
    <s v="CD Capitals"/>
    <x v="2"/>
    <n v="2024"/>
    <n v="-1"/>
    <m/>
    <m/>
    <n v="1"/>
    <d v="2024-07-25T00:00:00"/>
    <n v="9"/>
    <n v="85235"/>
    <s v="E001-253"/>
    <d v="2024-08-13T00:00:00"/>
    <n v="1"/>
    <n v="85235"/>
    <n v="1"/>
    <x v="243"/>
    <n v="82677.95"/>
    <m/>
  </r>
  <r>
    <n v="505"/>
    <s v="PE-CSC-UG-FEL2A-023-A"/>
    <x v="121"/>
    <s v="PFS Los Calatos"/>
    <s v="CD Capitals"/>
    <x v="2"/>
    <n v="2024"/>
    <n v="-1"/>
    <m/>
    <m/>
    <n v="1"/>
    <d v="2024-08-30T00:00:00"/>
    <n v="10"/>
    <n v="112468"/>
    <s v="E001-268"/>
    <d v="2024-09-24T00:00:00"/>
    <n v="1"/>
    <n v="112468"/>
    <n v="1"/>
    <x v="35"/>
    <n v="109093.95999999999"/>
    <m/>
  </r>
  <r>
    <n v="506"/>
    <s v="PE-CSC-UG-FEL2A-023-A"/>
    <x v="121"/>
    <s v="PFS Los Calatos"/>
    <s v="CD Capitals"/>
    <x v="2"/>
    <n v="2024"/>
    <n v="-1"/>
    <m/>
    <m/>
    <n v="1"/>
    <d v="2024-09-30T00:00:00"/>
    <n v="11"/>
    <n v="93254"/>
    <s v="E001-276"/>
    <d v="2024-10-30T00:00:00"/>
    <n v="1"/>
    <n v="92288"/>
    <n v="1"/>
    <x v="296"/>
    <n v="86948"/>
    <m/>
  </r>
  <r>
    <n v="507"/>
    <s v="PE-CSC-UG-FEL2A-023-A"/>
    <x v="121"/>
    <s v="PFS Los Calatos"/>
    <s v="CD Capitals"/>
    <x v="2"/>
    <n v="2024"/>
    <n v="-1"/>
    <m/>
    <m/>
    <n v="1"/>
    <d v="2024-10-31T00:00:00"/>
    <n v="12"/>
    <n v="67403"/>
    <s v="E001-278"/>
    <d v="2024-11-19T00:00:00"/>
    <n v="1"/>
    <n v="63453"/>
    <n v="1"/>
    <x v="297"/>
    <n v="62160"/>
    <m/>
  </r>
  <r>
    <n v="508"/>
    <s v="PE-CSC-UG-FEL2A-023-A"/>
    <x v="121"/>
    <s v="PFS Los Calatos"/>
    <s v="CD Capitals"/>
    <x v="2"/>
    <n v="2024"/>
    <n v="-1"/>
    <m/>
    <m/>
    <n v="1"/>
    <d v="2024-11-29T00:00:00"/>
    <n v="13"/>
    <n v="17153"/>
    <s v="E001-284"/>
    <d v="2024-12-20T00:00:00"/>
    <n v="1"/>
    <n v="17153"/>
    <n v="1"/>
    <x v="298"/>
    <n v="17812"/>
    <m/>
  </r>
  <r>
    <n v="509"/>
    <s v="PE-CSC-UG-FEL2A-023-A"/>
    <x v="121"/>
    <s v="PFS Los Calatos"/>
    <s v="CD Capitals"/>
    <x v="2"/>
    <n v="2024"/>
    <n v="-1"/>
    <m/>
    <m/>
    <n v="1"/>
    <d v="2024-12-26T00:00:00"/>
    <n v="14"/>
    <n v="4697"/>
    <s v="E001-287"/>
    <d v="2025-01-02T00:00:00"/>
    <n v="1"/>
    <n v="4697"/>
    <n v="1"/>
    <x v="94"/>
    <n v="6266"/>
    <m/>
  </r>
  <r>
    <n v="510"/>
    <s v="PE-CSC-UG-FEL2A-133-A"/>
    <x v="122"/>
    <s v="PFS Los Calatos V3"/>
    <s v="CD Capitals"/>
    <x v="2"/>
    <n v="2025"/>
    <n v="-1"/>
    <m/>
    <m/>
    <n v="1"/>
    <d v="2025-01-24T00:00:00"/>
    <n v="1"/>
    <n v="36175"/>
    <s v="E001-289"/>
    <d v="2025-01-30T00:00:00"/>
    <n v="1"/>
    <n v="36175"/>
    <n v="1"/>
    <x v="121"/>
    <n v="36175"/>
    <m/>
  </r>
  <r>
    <n v="511"/>
    <s v="PE-CSC-UG-FEL2A-133-A"/>
    <x v="122"/>
    <s v="PFS Los Calatos V3"/>
    <s v="CD Capitals"/>
    <x v="2"/>
    <n v="2025"/>
    <n v="-1"/>
    <m/>
    <m/>
    <n v="1"/>
    <d v="2025-02-24T00:00:00"/>
    <n v="2"/>
    <n v="47631"/>
    <s v="E001-292"/>
    <d v="2025-02-26T00:00:00"/>
    <n v="1"/>
    <n v="47631"/>
    <n v="1"/>
    <x v="133"/>
    <n v="49640"/>
    <m/>
  </r>
  <r>
    <n v="512"/>
    <s v="PE-CSC-UG-FEL2A-133-A"/>
    <x v="122"/>
    <s v="PFS Los Calatos V3"/>
    <s v="CD Capitals"/>
    <x v="2"/>
    <n v="2025"/>
    <n v="-1"/>
    <m/>
    <m/>
    <n v="1"/>
    <d v="2025-03-26T00:00:00"/>
    <n v="3"/>
    <n v="34217"/>
    <s v="E001-295"/>
    <d v="2025-04-10T00:00:00"/>
    <n v="1"/>
    <n v="34217"/>
    <n v="1"/>
    <x v="60"/>
    <n v="34217"/>
    <m/>
  </r>
  <r>
    <n v="513"/>
    <s v="PE-CSC-UG-FEL2A-133-A"/>
    <x v="122"/>
    <s v="PFS Los Calatos V3"/>
    <s v="CD Capitals"/>
    <x v="2"/>
    <n v="2025"/>
    <n v="-1"/>
    <m/>
    <m/>
    <n v="1"/>
    <d v="2025-04-26T00:00:00"/>
    <n v="4"/>
    <n v="25392"/>
    <s v="E001-305"/>
    <d v="2025-05-19T00:00:00"/>
    <n v="1"/>
    <n v="25392"/>
    <n v="1"/>
    <x v="246"/>
    <n v="23832"/>
    <s v="Factoring"/>
  </r>
  <r>
    <n v="514"/>
    <s v="PE-CSC-UG-FEL2A-133-A"/>
    <x v="122"/>
    <s v="PFS Los Calatos V3"/>
    <s v="CD Capitals"/>
    <x v="2"/>
    <n v="2025"/>
    <n v="-1"/>
    <m/>
    <m/>
    <n v="1"/>
    <d v="2025-05-26T00:00:00"/>
    <n v="5"/>
    <n v="57648"/>
    <s v="E001-310"/>
    <d v="2025-06-03T00:00:00"/>
    <n v="1"/>
    <n v="57648"/>
    <n v="1"/>
    <x v="299"/>
    <n v="57648"/>
    <m/>
  </r>
  <r>
    <n v="515"/>
    <s v="PE-CSC-UG-FEL2A-133-A"/>
    <x v="122"/>
    <s v="PFS Los Calatos V3"/>
    <s v="CD Capitals"/>
    <x v="2"/>
    <n v="2025"/>
    <n v="-1"/>
    <m/>
    <m/>
    <n v="1"/>
    <d v="2025-06-26T00:00:00"/>
    <n v="6"/>
    <n v="59126"/>
    <s v="E001-319"/>
    <d v="2025-07-02T00:00:00"/>
    <n v="1"/>
    <n v="59126"/>
    <n v="1"/>
    <x v="225"/>
    <n v="57921.168301886784"/>
    <s v="Factoring"/>
  </r>
  <r>
    <n v="516"/>
    <s v="PE-CSC-UG-FEL2A-133-A"/>
    <x v="122"/>
    <s v="PFS Los Calatos V3"/>
    <s v="CD Capitals"/>
    <x v="2"/>
    <n v="2025"/>
    <n v="-1"/>
    <m/>
    <m/>
    <n v="1"/>
    <d v="2025-07-26T00:00:00"/>
    <n v="7"/>
    <n v="30280"/>
    <s v="E001-325"/>
    <d v="2025-08-12T00:00:00"/>
    <n v="1"/>
    <n v="30280"/>
    <n v="1"/>
    <x v="300"/>
    <n v="28722.396226415094"/>
    <m/>
  </r>
  <r>
    <n v="517"/>
    <s v="PE-CSC-UG-FEL2A-133-A"/>
    <x v="122"/>
    <s v="PFS Los Calatos V3"/>
    <s v="CD Capitals"/>
    <x v="2"/>
    <n v="2025"/>
    <n v="-1"/>
    <m/>
    <m/>
    <n v="1"/>
    <d v="2025-08-29T00:00:00"/>
    <n v="8"/>
    <n v="5300"/>
    <s v="E001-331"/>
    <d v="2025-09-23T00:00:00"/>
    <n v="1"/>
    <n v="5300"/>
    <n v="1"/>
    <x v="301"/>
    <n v="5300"/>
    <m/>
  </r>
  <r>
    <n v="518"/>
    <s v="PE-CSC-UG-FEL2A-133-A"/>
    <x v="122"/>
    <s v="PFS Los Calatos V3"/>
    <s v="CD Capitals"/>
    <x v="2"/>
    <n v="2025"/>
    <n v="-1"/>
    <m/>
    <m/>
    <n v="1"/>
    <d v="2025-10-31T00:00:00"/>
    <n v="9"/>
    <n v="40785"/>
    <s v="E001-339"/>
    <d v="2025-11-03T00:00:00"/>
    <n v="1"/>
    <n v="40785"/>
    <n v="1"/>
    <x v="135"/>
    <n v="40785"/>
    <m/>
  </r>
  <r>
    <n v="519"/>
    <s v="CH-LUN-GM-OTR00-005-A"/>
    <x v="123"/>
    <s v="Candelaria Pilares"/>
    <s v="Lundin"/>
    <x v="0"/>
    <n v="2023"/>
    <n v="-1"/>
    <m/>
    <m/>
    <n v="1"/>
    <d v="2023-04-21T00:00:00"/>
    <n v="1"/>
    <n v="27669.200000000001"/>
    <n v="103"/>
    <d v="2023-09-07T00:00:00"/>
    <n v="1"/>
    <n v="27669"/>
    <n v="1"/>
    <x v="302"/>
    <n v="27669"/>
    <m/>
  </r>
  <r>
    <n v="520"/>
    <s v="CH-LUN-GM-OTR00-005-A"/>
    <x v="123"/>
    <s v="Candelaria Pilares"/>
    <s v="Lundin"/>
    <x v="0"/>
    <n v="2023"/>
    <n v="-1"/>
    <m/>
    <m/>
    <n v="1"/>
    <d v="2023-05-21T00:00:00"/>
    <n v="2"/>
    <n v="29365"/>
    <n v="104"/>
    <d v="2023-09-07T00:00:00"/>
    <n v="1"/>
    <n v="29365"/>
    <n v="1"/>
    <x v="302"/>
    <n v="29365"/>
    <m/>
  </r>
  <r>
    <n v="521"/>
    <s v="CH-LUN-GM-OTR00-005-A"/>
    <x v="123"/>
    <s v="Candelaria Pilares"/>
    <s v="Lundin"/>
    <x v="0"/>
    <n v="2023"/>
    <n v="-1"/>
    <m/>
    <m/>
    <n v="1"/>
    <d v="2023-06-21T00:00:00"/>
    <n v="3"/>
    <n v="8901"/>
    <n v="105"/>
    <d v="2023-09-07T00:00:00"/>
    <n v="1"/>
    <n v="8901"/>
    <n v="1"/>
    <x v="302"/>
    <n v="8901"/>
    <m/>
  </r>
  <r>
    <n v="522"/>
    <s v="CH-LUN-GM-OTR00-005-A"/>
    <x v="123"/>
    <s v="Candelaria Pilares"/>
    <s v="Lundin"/>
    <x v="0"/>
    <n v="2023"/>
    <n v="-1"/>
    <m/>
    <m/>
    <n v="1"/>
    <d v="2023-07-25T00:00:00"/>
    <n v="4"/>
    <n v="5427"/>
    <n v="106"/>
    <d v="2023-09-07T00:00:00"/>
    <n v="1"/>
    <n v="5427"/>
    <n v="1"/>
    <x v="302"/>
    <n v="5427"/>
    <m/>
  </r>
  <r>
    <n v="523"/>
    <s v="CH-LUN-GM-OTR00-005-A"/>
    <x v="123"/>
    <s v="Candelaria Pilares"/>
    <s v="Lundin"/>
    <x v="0"/>
    <n v="2023"/>
    <n v="-1"/>
    <m/>
    <m/>
    <n v="1"/>
    <d v="2023-08-25T00:00:00"/>
    <n v="5"/>
    <n v="1745"/>
    <n v="109"/>
    <d v="2023-09-28T00:00:00"/>
    <n v="1"/>
    <n v="1745"/>
    <n v="1"/>
    <x v="43"/>
    <n v="1745"/>
    <m/>
  </r>
  <r>
    <n v="524"/>
    <s v="CH-COD-UG-OTR00-003-B"/>
    <x v="124"/>
    <s v="Planificacion Minera Subterranea"/>
    <s v="Codelco"/>
    <x v="0"/>
    <n v="2023"/>
    <n v="-1"/>
    <m/>
    <m/>
    <n v="1"/>
    <d v="2022-12-21T00:00:00"/>
    <n v="1"/>
    <n v="43637"/>
    <n v="508"/>
    <d v="2023-01-09T00:00:00"/>
    <n v="1"/>
    <n v="43637"/>
    <n v="1"/>
    <x v="303"/>
    <n v="43637"/>
    <m/>
  </r>
  <r>
    <n v="525"/>
    <s v="CH-COD-UG-OTR00-003-B"/>
    <x v="124"/>
    <s v="Planificacion Minera Subterranea"/>
    <s v="Codelco"/>
    <x v="0"/>
    <n v="2022"/>
    <n v="-1"/>
    <m/>
    <m/>
    <n v="1"/>
    <d v="2022-11-21T00:00:00"/>
    <n v="1"/>
    <n v="48365.26"/>
    <n v="504"/>
    <d v="2022-12-28T00:00:00"/>
    <n v="1"/>
    <n v="48365.26"/>
    <n v="1"/>
    <x v="113"/>
    <n v="48365.26"/>
    <m/>
  </r>
  <r>
    <n v="526"/>
    <s v="PE-MSR-UG-OTR00-042-A"/>
    <x v="125"/>
    <s v="Raura Modelo Operacional"/>
    <s v="Raura"/>
    <x v="2"/>
    <n v="2022"/>
    <n v="-1"/>
    <m/>
    <m/>
    <n v="1"/>
    <d v="2022-11-21T00:00:00"/>
    <n v="1"/>
    <n v="76480"/>
    <s v="E001-170"/>
    <d v="2022-12-20T00:00:00"/>
    <n v="1"/>
    <n v="76385.09"/>
    <n v="1"/>
    <x v="304"/>
    <n v="76385.09"/>
    <m/>
  </r>
  <r>
    <n v="527"/>
    <s v="PE-MSR-UG-OTR00-042-A"/>
    <x v="125"/>
    <s v="Raura Modelo Operacional"/>
    <s v="Raura"/>
    <x v="2"/>
    <n v="2023"/>
    <n v="-1"/>
    <m/>
    <m/>
    <n v="1"/>
    <d v="2022-12-21T00:00:00"/>
    <n v="2"/>
    <n v="50046.400000000001"/>
    <s v="E001-171"/>
    <d v="2023-01-02T00:00:00"/>
    <n v="1"/>
    <n v="49915.51"/>
    <n v="1"/>
    <x v="7"/>
    <n v="49915.51"/>
    <m/>
  </r>
  <r>
    <n v="528"/>
    <s v="PE-MSR-UG-OTR00-042-A"/>
    <x v="125"/>
    <s v="Raura Modelo Operacional"/>
    <s v="Minsur"/>
    <x v="2"/>
    <n v="2023"/>
    <n v="-1"/>
    <m/>
    <m/>
    <n v="1"/>
    <d v="2023-01-21T00:00:00"/>
    <n v="3"/>
    <n v="56368"/>
    <s v="E001-176"/>
    <d v="2023-01-02T00:00:00"/>
    <n v="1"/>
    <n v="56217.41"/>
    <n v="1"/>
    <x v="305"/>
    <n v="56217.41"/>
    <m/>
  </r>
  <r>
    <n v="529"/>
    <s v="PE-MSR-UG-OTR00-042-A"/>
    <x v="125"/>
    <s v="Raura Modelo Operacional"/>
    <s v="Minsur"/>
    <x v="2"/>
    <n v="2023"/>
    <n v="-1"/>
    <m/>
    <m/>
    <n v="1"/>
    <d v="2023-02-21T00:00:00"/>
    <n v="4"/>
    <n v="40732.800000000003"/>
    <s v="E001-180"/>
    <d v="2023-04-04T00:00:00"/>
    <n v="1"/>
    <n v="40587.46"/>
    <n v="1"/>
    <x v="306"/>
    <n v="40587.46"/>
    <m/>
  </r>
  <r>
    <n v="530"/>
    <s v="PE-MSR-UG-OTR00-042-A"/>
    <x v="125"/>
    <s v="Raura Modelo Operacional"/>
    <s v="Minsur"/>
    <x v="2"/>
    <n v="2023"/>
    <n v="-1"/>
    <m/>
    <m/>
    <n v="1"/>
    <d v="2023-03-21T00:00:00"/>
    <n v="5"/>
    <n v="23129.600000000002"/>
    <s v="E001-196"/>
    <d v="2023-07-03T00:00:00"/>
    <n v="1"/>
    <n v="23129.599999999999"/>
    <n v="1"/>
    <x v="307"/>
    <n v="23129.599999999999"/>
    <s v="Se respondió en la misma factura"/>
  </r>
  <r>
    <n v="531"/>
    <s v="PE-MSR-UG-OTR00-042-A"/>
    <x v="125"/>
    <s v="Raura Modelo Operacional"/>
    <s v="Minsur"/>
    <x v="2"/>
    <n v="2023"/>
    <n v="-1"/>
    <m/>
    <m/>
    <n v="1"/>
    <d v="2023-04-21T00:00:00"/>
    <n v="6"/>
    <n v="5339.1999999999825"/>
    <s v="E001-196"/>
    <d v="2023-07-03T00:00:00"/>
    <n v="1"/>
    <n v="5339.1999999999825"/>
    <n v="1"/>
    <x v="307"/>
    <n v="5339.1999999999825"/>
    <s v="Se respondió en la misma factura"/>
  </r>
  <r>
    <n v="532"/>
    <s v="CH-CMP-OT-OTR00-025-A"/>
    <x v="126"/>
    <s v="RDP"/>
    <s v="CMP"/>
    <x v="0"/>
    <n v="2023"/>
    <n v="1"/>
    <d v="2023-10-01T00:00:00"/>
    <n v="34790"/>
    <n v="1"/>
    <d v="2023-10-23T00:00:00"/>
    <n v="1"/>
    <n v="44990"/>
    <n v="121"/>
    <d v="2023-10-24T00:00:00"/>
    <n v="1"/>
    <n v="44990"/>
    <n v="1"/>
    <x v="14"/>
    <n v="42740.5"/>
    <m/>
  </r>
  <r>
    <n v="533"/>
    <s v="OT-RES-CS-OTR00-131-A"/>
    <x v="127"/>
    <s v="Resolution_MinePlan Review"/>
    <s v="VP Mining"/>
    <x v="1"/>
    <n v="2025"/>
    <n v="-1"/>
    <m/>
    <m/>
    <n v="1"/>
    <d v="2025-01-03T00:00:00"/>
    <n v="1"/>
    <n v="37712"/>
    <s v="s/F"/>
    <d v="2025-01-15T00:00:00"/>
    <n v="1"/>
    <n v="37712"/>
    <n v="1"/>
    <x v="298"/>
    <n v="37712"/>
    <m/>
  </r>
  <r>
    <n v="534"/>
    <s v="OT-RES-CS-OTR00-131-A"/>
    <x v="127"/>
    <s v="Resolution_MinePlan Review"/>
    <s v="VP Mining"/>
    <x v="1"/>
    <n v="2025"/>
    <n v="-1"/>
    <m/>
    <m/>
    <n v="1"/>
    <d v="2025-01-27T00:00:00"/>
    <n v="2"/>
    <n v="92700"/>
    <s v="s/F"/>
    <d v="2025-02-19T00:00:00"/>
    <n v="1"/>
    <n v="92700"/>
    <n v="1"/>
    <x v="308"/>
    <n v="96628"/>
    <m/>
  </r>
  <r>
    <n v="535"/>
    <s v="OT-RES-CS-OTR00-131-A"/>
    <x v="127"/>
    <s v="Resolution_MinePlan Review"/>
    <s v="VP Mining"/>
    <x v="1"/>
    <n v="2025"/>
    <n v="-1"/>
    <m/>
    <m/>
    <n v="1"/>
    <d v="2025-02-25T00:00:00"/>
    <n v="3"/>
    <n v="84975"/>
    <s v="s/F"/>
    <d v="2025-03-11T00:00:00"/>
    <n v="1"/>
    <n v="84975"/>
    <n v="1"/>
    <x v="286"/>
    <n v="84975"/>
    <m/>
  </r>
  <r>
    <n v="536"/>
    <s v="OT-RES-CS-OTR00-131-A"/>
    <x v="127"/>
    <s v="Resolution_MinePlan Review"/>
    <s v="VP Mining"/>
    <x v="1"/>
    <n v="2025"/>
    <n v="-1"/>
    <m/>
    <m/>
    <n v="1"/>
    <d v="2025-03-25T00:00:00"/>
    <n v="4"/>
    <n v="38625"/>
    <s v="s/F"/>
    <d v="2025-03-16T00:00:00"/>
    <n v="1"/>
    <n v="33475"/>
    <n v="1"/>
    <x v="41"/>
    <n v="33475"/>
    <m/>
  </r>
  <r>
    <n v="537"/>
    <s v="OT-RES-CS-OTR00-150-A"/>
    <x v="128"/>
    <s v="Resolution_UGC 68L Program"/>
    <s v="VP Mining"/>
    <x v="1"/>
    <n v="2025"/>
    <n v="-1"/>
    <m/>
    <m/>
    <n v="1"/>
    <d v="2025-05-23T00:00:00"/>
    <n v="1"/>
    <n v="47808"/>
    <s v="s/F"/>
    <d v="2025-05-23T00:00:00"/>
    <n v="1"/>
    <n v="47800"/>
    <n v="1"/>
    <x v="173"/>
    <n v="47800"/>
    <m/>
  </r>
  <r>
    <n v="538"/>
    <s v="CH-CMP-OP-OTR00-018-A"/>
    <x v="129"/>
    <s v="Romeral"/>
    <s v="CMP"/>
    <x v="0"/>
    <n v="2023"/>
    <n v="-1"/>
    <m/>
    <m/>
    <n v="1"/>
    <d v="2023-03-21T00:00:00"/>
    <n v="1"/>
    <n v="197594.35250000001"/>
    <n v="60"/>
    <d v="2023-04-05T00:00:00"/>
    <n v="1"/>
    <n v="197594.35250000001"/>
    <n v="1"/>
    <x v="10"/>
    <n v="187714.63487499999"/>
    <m/>
  </r>
  <r>
    <n v="539"/>
    <s v="CH-CMP-OP-OTR00-018-A"/>
    <x v="129"/>
    <s v="Romeral"/>
    <s v="CMP"/>
    <x v="0"/>
    <n v="2023"/>
    <n v="-1"/>
    <m/>
    <m/>
    <n v="1"/>
    <d v="2023-04-21T00:00:00"/>
    <n v="2"/>
    <n v="84238"/>
    <n v="68"/>
    <d v="2023-05-11T00:00:00"/>
    <n v="1"/>
    <n v="85435.37"/>
    <n v="1"/>
    <x v="309"/>
    <n v="81163.60149999999"/>
    <m/>
  </r>
  <r>
    <n v="540"/>
    <s v="CH-CMP-OP-OTR00-018-A"/>
    <x v="129"/>
    <s v="Romeral"/>
    <s v="CMP"/>
    <x v="0"/>
    <n v="2023"/>
    <n v="-1"/>
    <m/>
    <m/>
    <n v="1"/>
    <d v="2023-05-21T00:00:00"/>
    <n v="3"/>
    <n v="55572"/>
    <n v="75"/>
    <d v="2023-05-31T00:00:00"/>
    <n v="1"/>
    <n v="55572.160000000003"/>
    <n v="1"/>
    <x v="11"/>
    <n v="52793.552000000003"/>
    <s v="-"/>
  </r>
  <r>
    <n v="541"/>
    <s v="CH-CMP-OP-OTR00-018-A"/>
    <x v="129"/>
    <s v="Romeral"/>
    <s v="CMP"/>
    <x v="0"/>
    <n v="2023"/>
    <n v="-1"/>
    <m/>
    <m/>
    <n v="1"/>
    <d v="2023-06-21T00:00:00"/>
    <n v="4"/>
    <n v="74696"/>
    <n v="87"/>
    <d v="2023-07-05T00:00:00"/>
    <n v="1"/>
    <n v="74696"/>
    <n v="1"/>
    <x v="12"/>
    <n v="70961.2"/>
    <m/>
  </r>
  <r>
    <n v="542"/>
    <s v="CH-CMP-OP-OTR00-018-A"/>
    <x v="129"/>
    <s v="Romeral"/>
    <s v="CMP"/>
    <x v="0"/>
    <n v="2023"/>
    <n v="-1"/>
    <m/>
    <m/>
    <n v="1"/>
    <d v="2023-07-27T00:00:00"/>
    <n v="5"/>
    <n v="45701.05"/>
    <n v="99"/>
    <d v="2023-08-04T00:00:00"/>
    <n v="1"/>
    <n v="45701"/>
    <n v="1"/>
    <x v="13"/>
    <n v="43415.95"/>
    <m/>
  </r>
  <r>
    <n v="543"/>
    <s v="CH-CMP-OP-OTR00-018-A"/>
    <x v="129"/>
    <s v="Romeral"/>
    <s v="CMP"/>
    <x v="0"/>
    <n v="2023"/>
    <n v="-1"/>
    <m/>
    <m/>
    <n v="1"/>
    <d v="2023-08-25T00:00:00"/>
    <n v="6"/>
    <n v="27702"/>
    <n v="116"/>
    <d v="2023-10-10T00:00:00"/>
    <n v="1"/>
    <n v="27702"/>
    <n v="1"/>
    <x v="43"/>
    <n v="26316.899999999998"/>
    <m/>
  </r>
  <r>
    <n v="544"/>
    <s v="CH-CMP-OP-OTR00-018-A"/>
    <x v="129"/>
    <s v="Romeral"/>
    <s v="CMP"/>
    <x v="0"/>
    <n v="2023"/>
    <n v="1"/>
    <n v="45170"/>
    <n v="61272"/>
    <n v="1"/>
    <d v="2023-09-25T00:00:00"/>
    <n v="7"/>
    <n v="38387"/>
    <n v="117"/>
    <d v="2023-10-10T00:00:00"/>
    <n v="1"/>
    <n v="38387"/>
    <n v="1"/>
    <x v="43"/>
    <n v="36467.65"/>
    <m/>
  </r>
  <r>
    <n v="545"/>
    <s v="CH-CMP-OP-OTR00-018-A"/>
    <x v="129"/>
    <s v="Romeral"/>
    <s v="CMP"/>
    <x v="0"/>
    <n v="2023"/>
    <n v="1"/>
    <n v="45200"/>
    <n v="22885"/>
    <n v="1"/>
    <d v="2023-10-23T00:00:00"/>
    <n v="8"/>
    <n v="21231"/>
    <n v="124"/>
    <d v="2023-11-07T00:00:00"/>
    <n v="1"/>
    <n v="21231"/>
    <n v="1"/>
    <x v="15"/>
    <n v="20169.45"/>
    <m/>
  </r>
  <r>
    <n v="546"/>
    <s v="CH-CMP-OP-OTR00-018-A"/>
    <x v="129"/>
    <s v="Romeral"/>
    <s v="CMP"/>
    <x v="0"/>
    <n v="2023"/>
    <n v="1"/>
    <n v="45231"/>
    <n v="1654"/>
    <n v="1"/>
    <d v="2023-11-20T00:00:00"/>
    <n v="9"/>
    <n v="90409"/>
    <n v="155"/>
    <d v="2024-01-10T00:00:00"/>
    <n v="1"/>
    <n v="90409"/>
    <n v="1"/>
    <x v="26"/>
    <n v="85888.55"/>
    <m/>
  </r>
  <r>
    <n v="547"/>
    <s v="CH-CMP-OP-OTR00-018-A"/>
    <x v="129"/>
    <s v="Romeral"/>
    <s v="CMP"/>
    <x v="0"/>
    <n v="2024"/>
    <n v="-1"/>
    <n v="45292"/>
    <n v="0"/>
    <n v="1"/>
    <d v="2024-01-25T00:00:00"/>
    <n v="10"/>
    <n v="9515"/>
    <n v="161"/>
    <d v="2023-02-09T00:00:00"/>
    <n v="1"/>
    <n v="9515"/>
    <n v="1"/>
    <x v="142"/>
    <n v="9039"/>
    <m/>
  </r>
  <r>
    <n v="548"/>
    <s v="PE-MSR-UG-OTR00-043-A"/>
    <x v="130"/>
    <s v="San Rafael Contrato Marco"/>
    <s v="Minsur"/>
    <x v="2"/>
    <n v="2023"/>
    <n v="-1"/>
    <m/>
    <m/>
    <n v="1"/>
    <d v="2023-04-21T00:00:00"/>
    <n v="1"/>
    <n v="49792"/>
    <s v="E001-186"/>
    <d v="2023-05-02T00:00:00"/>
    <n v="1"/>
    <n v="49792"/>
    <n v="1"/>
    <x v="310"/>
    <n v="49792"/>
    <m/>
  </r>
  <r>
    <n v="549"/>
    <s v="PE-MSR-UG-OTR00-044-A"/>
    <x v="131"/>
    <s v="San Rafael Modelo Operacional"/>
    <s v="Minsur"/>
    <x v="2"/>
    <n v="2023"/>
    <n v="-1"/>
    <m/>
    <m/>
    <n v="1"/>
    <d v="2023-04-21T00:00:00"/>
    <n v="1"/>
    <n v="170704"/>
    <s v="E001-185"/>
    <d v="2023-05-02T00:00:00"/>
    <n v="1"/>
    <n v="170704"/>
    <n v="1"/>
    <x v="310"/>
    <n v="170704"/>
    <m/>
  </r>
  <r>
    <n v="550"/>
    <s v="PE-MSR-UG-OTR00-044-A"/>
    <x v="131"/>
    <s v="San Rafael Modelo Operacional"/>
    <s v="Minsur"/>
    <x v="2"/>
    <n v="2023"/>
    <n v="-1"/>
    <m/>
    <m/>
    <n v="1"/>
    <d v="2023-05-21T00:00:00"/>
    <n v="2"/>
    <n v="32056"/>
    <s v="E001-192"/>
    <d v="2023-06-20T00:00:00"/>
    <n v="1"/>
    <n v="32056"/>
    <n v="1"/>
    <x v="311"/>
    <n v="32056"/>
    <m/>
  </r>
  <r>
    <n v="551"/>
    <s v="PE-MSR-UG-OTR00-044-A"/>
    <x v="131"/>
    <s v="San Rafael Modelo Operacional"/>
    <s v="Minsur"/>
    <x v="2"/>
    <n v="2023"/>
    <n v="-1"/>
    <m/>
    <m/>
    <n v="1"/>
    <d v="2023-08-31T00:00:00"/>
    <n v="3"/>
    <n v="30392"/>
    <s v="E001-201"/>
    <d v="2023-09-23T00:00:00"/>
    <n v="1"/>
    <n v="30392"/>
    <n v="1"/>
    <x v="312"/>
    <n v="30392"/>
    <s v="El dia 29/02 llegó un correo del cliente donde emite la Orden de Cambio / a petición de cliente se separo el monto en 2 EDP"/>
  </r>
  <r>
    <n v="552"/>
    <s v="PE-MSR-UG-OTR00-044-A"/>
    <x v="131"/>
    <s v="San Rafael Modelo Operacional"/>
    <s v="Minsur"/>
    <x v="2"/>
    <n v="2023"/>
    <n v="-1"/>
    <m/>
    <m/>
    <n v="1"/>
    <d v="2023-08-31T00:00:00"/>
    <n v="4"/>
    <n v="30392"/>
    <s v="E001-203"/>
    <d v="2023-10-03T00:00:00"/>
    <n v="1"/>
    <n v="30392"/>
    <n v="1"/>
    <x v="313"/>
    <n v="30392"/>
    <s v="El dia 29/02 llegó un correo del cliente donde emite la Orden de Cambio / a petición de cliente se separo el monto en 2 EDP"/>
  </r>
  <r>
    <n v="553"/>
    <s v="PE-MSR-UG-OTR00-045-A"/>
    <x v="132"/>
    <s v="Minsur_SIMPREP San Rafael"/>
    <s v="Minsur"/>
    <x v="2"/>
    <n v="2023"/>
    <n v="1"/>
    <d v="2023-09-01T00:00:00"/>
    <n v="19715"/>
    <n v="1"/>
    <d v="2023-09-25T00:00:00"/>
    <n v="1"/>
    <n v="30014.519999999997"/>
    <s v="E001-205"/>
    <d v="2023-10-16T00:00:00"/>
    <n v="1"/>
    <n v="30000"/>
    <n v="1"/>
    <x v="314"/>
    <n v="30000"/>
    <m/>
  </r>
  <r>
    <n v="554"/>
    <s v="PE-MSR-UG-OTR00-045-A"/>
    <x v="132"/>
    <s v="Minsur_SIMPREP San Rafael"/>
    <s v="Minsur"/>
    <x v="2"/>
    <n v="2023"/>
    <n v="1"/>
    <d v="2023-10-01T00:00:00"/>
    <n v="50809"/>
    <n v="1"/>
    <d v="2023-10-23T00:00:00"/>
    <n v="2"/>
    <n v="32480.2"/>
    <s v="E001-217"/>
    <d v="2023-12-06T00:00:00"/>
    <n v="1"/>
    <n v="32480.2"/>
    <n v="1"/>
    <x v="244"/>
    <n v="32480.2"/>
    <m/>
  </r>
  <r>
    <n v="555"/>
    <s v="PE-MSR-UG-OTR00-045-A"/>
    <x v="132"/>
    <s v="Minsur_SIMPREP San Rafael"/>
    <s v="Minsur"/>
    <x v="2"/>
    <n v="2023"/>
    <n v="1"/>
    <d v="2023-12-01T00:00:00"/>
    <n v="19354"/>
    <n v="1"/>
    <d v="2023-12-22T00:00:00"/>
    <n v="3"/>
    <n v="19649.28"/>
    <s v="E001-221"/>
    <d v="2023-12-21T00:00:00"/>
    <n v="1"/>
    <n v="19649.28"/>
    <n v="1"/>
    <x v="244"/>
    <n v="19649"/>
    <m/>
  </r>
  <r>
    <n v="556"/>
    <s v="PE-SME-UG-FEL2A-046-A"/>
    <x v="133"/>
    <s v="Sierra Metals_Plan de Minado"/>
    <s v="Sierra Metals"/>
    <x v="2"/>
    <n v="2023"/>
    <n v="1"/>
    <d v="2023-11-01T00:00:00"/>
    <n v="18705"/>
    <n v="1"/>
    <d v="2023-12-28T00:00:00"/>
    <n v="1"/>
    <n v="36681.875"/>
    <s v="E001-219"/>
    <d v="2023-12-07T00:00:00"/>
    <n v="1"/>
    <n v="36682"/>
    <n v="1"/>
    <x v="244"/>
    <n v="36682"/>
    <s v="El cliente desea que la totalidad del proyecto este en un EDP"/>
  </r>
  <r>
    <n v="557"/>
    <s v="PE-SME-UG-FEL2A-046-A"/>
    <x v="133"/>
    <s v="Sierra Metals_Plan de Minado"/>
    <s v="Sierra metals"/>
    <x v="2"/>
    <n v="2024"/>
    <n v="1"/>
    <d v="2024-02-01T00:00:00"/>
    <n v="19948"/>
    <n v="1"/>
    <d v="2024-02-05T00:00:00"/>
    <n v="2"/>
    <n v="14729"/>
    <s v="E001-239"/>
    <d v="2024-05-13T00:00:00"/>
    <n v="1"/>
    <n v="14729"/>
    <n v="1"/>
    <x v="315"/>
    <n v="14729"/>
    <s v="Se acordó con cliente cobrar al 90% del monto contractual"/>
  </r>
  <r>
    <n v="558"/>
    <s v="PE-SME-UG-FEL2A-046-A"/>
    <x v="133"/>
    <s v="Sierra Metals_Plan de Minado"/>
    <s v="Sierra metals"/>
    <x v="2"/>
    <n v="2024"/>
    <n v="-1"/>
    <m/>
    <m/>
    <n v="1"/>
    <d v="2024-08-29T00:00:00"/>
    <n v="3"/>
    <n v="5218"/>
    <s v="No procede"/>
    <m/>
    <n v="1"/>
    <m/>
    <n v="-1"/>
    <x v="57"/>
    <m/>
    <s v="E001-269"/>
  </r>
  <r>
    <n v="559"/>
    <s v="PE-SME-CS-OTR00-099-A"/>
    <x v="134"/>
    <s v="SierraMetals_Update MEIA Yauricocha"/>
    <s v="Sierra metals"/>
    <x v="2"/>
    <n v="2024"/>
    <n v="-1"/>
    <m/>
    <m/>
    <n v="1"/>
    <d v="2024-07-25T00:00:00"/>
    <n v="1"/>
    <n v="20941"/>
    <s v="E001-264"/>
    <d v="2024-09-03T00:00:00"/>
    <n v="1"/>
    <n v="20503"/>
    <n v="1"/>
    <x v="316"/>
    <n v="20085"/>
    <m/>
  </r>
  <r>
    <n v="560"/>
    <s v="PE-SME-CS-OTR00-099-A"/>
    <x v="134"/>
    <s v="SierraMetals_Update MEIA Yauricocha"/>
    <s v="Sierra metals"/>
    <x v="2"/>
    <n v="2024"/>
    <n v="-1"/>
    <m/>
    <m/>
    <n v="1"/>
    <d v="2024-08-30T00:00:00"/>
    <n v="2"/>
    <n v="32848"/>
    <s v="E001-270"/>
    <d v="2024-10-04T00:00:00"/>
    <n v="1"/>
    <n v="32848"/>
    <n v="1"/>
    <x v="317"/>
    <n v="34109"/>
    <m/>
  </r>
  <r>
    <n v="561"/>
    <s v="PE-SME-CS-OTR00-099-A"/>
    <x v="134"/>
    <s v="SierraMetals_Update MEIA Yauricocha"/>
    <s v="Sierra metals"/>
    <x v="2"/>
    <n v="2024"/>
    <n v="-1"/>
    <m/>
    <m/>
    <n v="1"/>
    <d v="2024-09-30T00:00:00"/>
    <n v="3"/>
    <n v="24147"/>
    <s v="E001-283"/>
    <d v="2024-12-19T00:00:00"/>
    <n v="1"/>
    <n v="24147"/>
    <n v="1"/>
    <x v="318"/>
    <n v="24174"/>
    <m/>
  </r>
  <r>
    <n v="562"/>
    <s v="CH-BHP-OP-OTR00-085-A"/>
    <x v="135"/>
    <s v="Spence_Confiabilidad Plan 2YB 2025"/>
    <s v="BHP"/>
    <x v="0"/>
    <n v="2024"/>
    <n v="-1"/>
    <m/>
    <m/>
    <n v="1"/>
    <d v="2024-05-28T00:00:00"/>
    <n v="1"/>
    <n v="35073"/>
    <n v="188"/>
    <d v="2024-05-28T00:00:00"/>
    <n v="1"/>
    <n v="35073"/>
    <n v="1"/>
    <x v="156"/>
    <n v="35073"/>
    <m/>
  </r>
  <r>
    <n v="563"/>
    <s v="BR-TAB-OP-FEL00-158-A"/>
    <x v="136"/>
    <s v="Taboca_Evaluación Mina Pitinga"/>
    <s v="Taboca"/>
    <x v="3"/>
    <n v="2025"/>
    <n v="-1"/>
    <m/>
    <m/>
    <n v="1"/>
    <d v="2025-07-17T00:00:00"/>
    <n v="1"/>
    <n v="40750"/>
    <n v="82"/>
    <d v="2025-07-25T00:00:00"/>
    <n v="1"/>
    <n v="40750"/>
    <n v="1"/>
    <x v="55"/>
    <n v="39998"/>
    <m/>
  </r>
  <r>
    <n v="564"/>
    <s v="BR-TAB-OP-FEL00-158-A"/>
    <x v="136"/>
    <s v="Taboca_Evaluación Mina Pitinga"/>
    <s v="Taboca"/>
    <x v="3"/>
    <n v="2025"/>
    <n v="-1"/>
    <m/>
    <m/>
    <n v="1"/>
    <d v="2025-08-20T00:00:00"/>
    <n v="2"/>
    <n v="107370"/>
    <n v="90"/>
    <d v="2025-08-26T00:00:00"/>
    <n v="1"/>
    <n v="107128"/>
    <n v="1"/>
    <x v="319"/>
    <n v="102865"/>
    <m/>
  </r>
  <r>
    <n v="565"/>
    <s v="BR-TAB-OP-FEL00-158-A"/>
    <x v="136"/>
    <s v="Taboca_Evaluación Mina Pitinga"/>
    <s v="Taboca"/>
    <x v="3"/>
    <n v="2025"/>
    <n v="-1"/>
    <m/>
    <m/>
    <n v="1"/>
    <d v="2025-09-15T00:00:00"/>
    <n v="3"/>
    <n v="31880"/>
    <n v="99"/>
    <d v="2025-09-23T00:00:00"/>
    <n v="1"/>
    <n v="29004.770642201835"/>
    <n v="1"/>
    <x v="1"/>
    <n v="27834"/>
    <m/>
  </r>
  <r>
    <n v="566"/>
    <s v="OT-THC-CS-OTR00-122-A"/>
    <x v="137"/>
    <s v="ThreeCrowns_Litigio Oyu Tolgoi"/>
    <s v="ThreeCrowns"/>
    <x v="1"/>
    <n v="2024"/>
    <n v="-1"/>
    <m/>
    <m/>
    <n v="1"/>
    <d v="2024-11-18T00:00:00"/>
    <n v="1"/>
    <n v="28545"/>
    <s v="s/F"/>
    <d v="2024-11-18T00:00:00"/>
    <n v="1"/>
    <n v="28545"/>
    <n v="1"/>
    <x v="271"/>
    <n v="28545"/>
    <m/>
  </r>
  <r>
    <n v="567"/>
    <s v="OT-THC-CS-OTR00-122-A"/>
    <x v="137"/>
    <s v="ThreeCrowns_Litigio Oyu Tolgoi"/>
    <s v="ThreeCrowns"/>
    <x v="1"/>
    <n v="2025"/>
    <n v="-1"/>
    <m/>
    <m/>
    <n v="1"/>
    <d v="2025-05-30T00:00:00"/>
    <n v="2"/>
    <n v="74100"/>
    <s v="s/F"/>
    <d v="2025-06-06T00:00:00"/>
    <n v="1"/>
    <n v="74100"/>
    <n v="-1"/>
    <x v="320"/>
    <n v="74100"/>
    <s v="Invoice fueron ajustados y emitidos el 11/07"/>
  </r>
  <r>
    <n v="568"/>
    <s v="OT-THC-CS-OTR00-122-A"/>
    <x v="137"/>
    <s v="ThreeCrowns_Litigio Oyu Tolgoi"/>
    <s v="ThreeCrowns"/>
    <x v="1"/>
    <n v="2025"/>
    <n v="-1"/>
    <m/>
    <m/>
    <n v="1"/>
    <d v="2025-06-26T00:00:00"/>
    <n v="3"/>
    <n v="129000"/>
    <s v="s/F"/>
    <d v="2025-06-26T00:00:00"/>
    <n v="1"/>
    <n v="129000"/>
    <n v="-1"/>
    <x v="320"/>
    <n v="129000"/>
    <s v="Invoice fueron ajustados y emitidos el 11/07"/>
  </r>
  <r>
    <n v="569"/>
    <s v="OT-THC-CS-OTR00-122-A"/>
    <x v="137"/>
    <s v="ThreeCrowns_Litigio Oyu Tolgoi"/>
    <s v="ThreeCrowns"/>
    <x v="1"/>
    <n v="2025"/>
    <n v="-1"/>
    <m/>
    <m/>
    <n v="1"/>
    <d v="2025-07-26T00:00:00"/>
    <n v="4"/>
    <n v="114100"/>
    <s v="s/F"/>
    <d v="2025-08-05T00:00:00"/>
    <n v="1"/>
    <n v="114100"/>
    <n v="-1"/>
    <x v="320"/>
    <n v="114100"/>
    <s v="Se elimina fee 10% adm"/>
  </r>
  <r>
    <n v="570"/>
    <s v="OT-THC-CS-OTR00-122-A"/>
    <x v="137"/>
    <s v="ThreeCrowns_Litigio Oyu Tolgoi"/>
    <s v="ThreeCrowns"/>
    <x v="1"/>
    <n v="2025"/>
    <n v="-1"/>
    <m/>
    <m/>
    <n v="1"/>
    <d v="2025-08-31T00:00:00"/>
    <n v="5"/>
    <n v="150000"/>
    <s v="s/F"/>
    <d v="2025-10-20T00:00:00"/>
    <n v="1"/>
    <n v="150000"/>
    <n v="-1"/>
    <x v="320"/>
    <n v="150000"/>
    <m/>
  </r>
  <r>
    <n v="571"/>
    <s v="OT-THC-CS-OTR00-122-A"/>
    <x v="137"/>
    <s v="ThreeCrowns_Litigio Oyu Tolgoi"/>
    <s v="ThreeCrowns"/>
    <x v="1"/>
    <n v="2025"/>
    <n v="-1"/>
    <m/>
    <m/>
    <n v="1"/>
    <d v="2025-09-30T00:00:00"/>
    <n v="6"/>
    <n v="178500"/>
    <s v="s/F"/>
    <d v="2025-10-20T00:00:00"/>
    <n v="1"/>
    <n v="178500"/>
    <n v="-1"/>
    <x v="320"/>
    <n v="178500"/>
    <m/>
  </r>
  <r>
    <n v="572"/>
    <s v="OT-TWM-CS-FEL00-119-A"/>
    <x v="138"/>
    <s v="Twin Metals_Pre PFS Birch Lake Maturi"/>
    <s v="TwinMetals"/>
    <x v="1"/>
    <n v="2024"/>
    <n v="-1"/>
    <m/>
    <m/>
    <n v="1"/>
    <d v="2024-11-23T00:00:00"/>
    <n v="1"/>
    <n v="51319"/>
    <s v="s/F"/>
    <d v="2025-01-07T00:00:00"/>
    <n v="1"/>
    <n v="51319"/>
    <n v="1"/>
    <x v="321"/>
    <n v="51319"/>
    <m/>
  </r>
  <r>
    <n v="573"/>
    <s v="OT-TWM-CS-FEL00-119-A"/>
    <x v="138"/>
    <s v="Twin Metals_Pre PFS Birch Lake Maturi"/>
    <s v="TwinMetals"/>
    <x v="1"/>
    <n v="2024"/>
    <n v="-1"/>
    <m/>
    <m/>
    <n v="1"/>
    <d v="2024-12-23T00:00:00"/>
    <n v="2"/>
    <n v="61422"/>
    <s v="s/F"/>
    <d v="2025-01-07T00:00:00"/>
    <n v="1"/>
    <n v="61422"/>
    <n v="1"/>
    <x v="321"/>
    <n v="61422"/>
    <m/>
  </r>
  <r>
    <n v="574"/>
    <s v="OT-TWM-CS-FEL00-119-A"/>
    <x v="138"/>
    <s v="Twin Metals_Pre PFS Birch Lake Maturi"/>
    <s v="TwinMetals"/>
    <x v="1"/>
    <n v="2025"/>
    <n v="-1"/>
    <m/>
    <m/>
    <n v="1"/>
    <d v="2025-01-28T00:00:00"/>
    <n v="3"/>
    <n v="80209"/>
    <s v="s/F"/>
    <d v="2025-01-30T00:00:00"/>
    <n v="1"/>
    <n v="80209"/>
    <n v="1"/>
    <x v="121"/>
    <n v="80209"/>
    <m/>
  </r>
  <r>
    <n v="575"/>
    <s v="OT-TWM-CS-FEL00-119-A"/>
    <x v="138"/>
    <s v="Twin Metals_Pre PFS Birch Lake Maturi"/>
    <s v="TwinMetals"/>
    <x v="1"/>
    <n v="2025"/>
    <n v="-1"/>
    <m/>
    <m/>
    <n v="1"/>
    <d v="2025-02-25T00:00:00"/>
    <n v="4"/>
    <n v="112980.7"/>
    <s v="s/F"/>
    <d v="2025-03-05T00:00:00"/>
    <n v="1"/>
    <n v="112981"/>
    <n v="1"/>
    <x v="133"/>
    <n v="112980"/>
    <m/>
  </r>
  <r>
    <n v="576"/>
    <s v="OT-TWM-CS-FEL00-119-A"/>
    <x v="138"/>
    <s v="Twin Metals_Pre PFS Birch Lake Maturi"/>
    <s v="TwinMetals"/>
    <x v="1"/>
    <n v="2025"/>
    <n v="-1"/>
    <m/>
    <m/>
    <n v="1"/>
    <d v="2025-04-03T00:00:00"/>
    <n v="5"/>
    <n v="101319.4"/>
    <s v="s/F"/>
    <d v="2025-04-03T00:00:00"/>
    <n v="1"/>
    <n v="101319.4"/>
    <n v="1"/>
    <x v="322"/>
    <n v="101319"/>
    <m/>
  </r>
  <r>
    <n v="577"/>
    <s v="OT-TWM-CS-FEL00-119-A"/>
    <x v="138"/>
    <s v="Twin Metals_Pre PFS Birch Lake Maturi"/>
    <s v="TwinMetals"/>
    <x v="1"/>
    <n v="2025"/>
    <n v="-1"/>
    <m/>
    <m/>
    <n v="1"/>
    <d v="2025-04-29T00:00:00"/>
    <n v="6"/>
    <n v="60296"/>
    <s v="s/F"/>
    <d v="2025-04-29T00:00:00"/>
    <n v="1"/>
    <n v="60269"/>
    <n v="1"/>
    <x v="322"/>
    <n v="60269"/>
    <m/>
  </r>
  <r>
    <n v="578"/>
    <s v="OT-TWM-CS-FEL00-119-A"/>
    <x v="138"/>
    <s v="Twin Metals_Pre PFS Birch Lake Maturi"/>
    <s v="TwinMetals"/>
    <x v="1"/>
    <n v="2025"/>
    <n v="-1"/>
    <m/>
    <m/>
    <n v="1"/>
    <d v="2025-05-30T00:00:00"/>
    <n v="7"/>
    <n v="13995"/>
    <s v="s/F"/>
    <d v="2025-06-03T00:00:00"/>
    <n v="1"/>
    <n v="13995"/>
    <n v="1"/>
    <x v="69"/>
    <n v="13995"/>
    <m/>
  </r>
  <r>
    <n v="579"/>
    <s v="OT-TWM-CS-FEL00-141-A"/>
    <x v="139"/>
    <s v="TwinMetals_Birch Lake Integration"/>
    <s v="TwinMetals"/>
    <x v="1"/>
    <n v="2025"/>
    <n v="-1"/>
    <m/>
    <m/>
    <n v="1"/>
    <d v="2025-03-31T00:00:00"/>
    <n v="1"/>
    <n v="84225"/>
    <s v="s/F"/>
    <d v="2025-04-01T00:00:00"/>
    <n v="1"/>
    <n v="84225"/>
    <n v="1"/>
    <x v="323"/>
    <n v="84225"/>
    <m/>
  </r>
  <r>
    <n v="580"/>
    <s v="PE-VLC-GM-FEL00-166-A"/>
    <x v="140"/>
    <s v="Volcan_Estudio Estabilidad Desmonteras"/>
    <s v="Volcan"/>
    <x v="2"/>
    <n v="2025"/>
    <n v="-1"/>
    <m/>
    <m/>
    <n v="1"/>
    <d v="2025-08-29T00:00:00"/>
    <n v="1"/>
    <n v="34388"/>
    <s v="E001-334"/>
    <d v="2025-10-07T00:00:00"/>
    <n v="1"/>
    <n v="34388"/>
    <n v="1"/>
    <x v="128"/>
    <n v="34388"/>
    <m/>
  </r>
  <r>
    <n v="581"/>
    <s v="PE-VLC-GM-FEL00-166-A"/>
    <x v="140"/>
    <s v="Volcan_Estudio Estabilidad Desmonteras"/>
    <s v="Volcan"/>
    <x v="2"/>
    <n v="2025"/>
    <n v="-1"/>
    <m/>
    <m/>
    <n v="1"/>
    <d v="2025-10-24T00:00:00"/>
    <n v="2"/>
    <n v="3821"/>
    <s v="E001-335"/>
    <d v="2025-10-28T00:00:00"/>
    <n v="1"/>
    <n v="3821"/>
    <n v="1"/>
    <x v="324"/>
    <n v="3821"/>
    <m/>
  </r>
  <r>
    <n v="582"/>
    <s v="PE-VLC-GM-FEL00-157-A"/>
    <x v="141"/>
    <s v="Alpamarca_Estudio de Estabilidad Tajo"/>
    <s v="Alpamarca"/>
    <x v="2"/>
    <n v="2025"/>
    <n v="-1"/>
    <m/>
    <m/>
    <n v="1"/>
    <d v="2025-09-30T00:00:00"/>
    <n v="1"/>
    <n v="24440"/>
    <s v="E001-336"/>
    <d v="2025-10-28T00:00:00"/>
    <n v="1"/>
    <n v="24440"/>
    <n v="1"/>
    <x v="325"/>
    <n v="22807"/>
    <m/>
  </r>
  <r>
    <n v="583"/>
    <s v="CH-PUC-CS-OTR00-170-A"/>
    <x v="142"/>
    <s v="PUCOBRE_Acompañamiento Reservas Tovaku"/>
    <s v="PUCOBRE"/>
    <x v="0"/>
    <n v="2025"/>
    <n v="-1"/>
    <m/>
    <m/>
    <n v="1"/>
    <d v="2025-09-30T00:00:00"/>
    <n v="1"/>
    <n v="10175"/>
    <n v="348"/>
    <d v="2025-10-13T00:00:00"/>
    <n v="1"/>
    <n v="10175"/>
    <n v="1"/>
    <x v="212"/>
    <n v="10175"/>
    <m/>
  </r>
  <r>
    <n v="584"/>
    <s v="CH-AAM-CS-OTR00-179-A"/>
    <x v="143"/>
    <s v="Anglo_Production at Risk Mina Rio"/>
    <s v="AngloAmerican"/>
    <x v="0"/>
    <n v="2025"/>
    <n v="-1"/>
    <m/>
    <m/>
    <n v="1"/>
    <d v="2025-09-25T00:00:00"/>
    <n v="1"/>
    <n v="26973"/>
    <n v="370"/>
    <d v="2025-12-03T00:00:00"/>
    <n v="1"/>
    <n v="26973"/>
    <n v="1"/>
    <x v="326"/>
    <n v="26973"/>
    <s v="Facturas inicialmente mal emitidas"/>
  </r>
  <r>
    <n v="585"/>
    <s v="CH-AAM-CS-OTR00-179-A"/>
    <x v="143"/>
    <s v="Anglo_Production at Risk Mina Rio"/>
    <s v="AngloAmerican"/>
    <x v="0"/>
    <n v="2025"/>
    <n v="-1"/>
    <m/>
    <m/>
    <n v="1"/>
    <d v="2025-10-24T00:00:00"/>
    <n v="2"/>
    <n v="51957"/>
    <n v="371"/>
    <d v="2025-12-03T00:00:00"/>
    <n v="1"/>
    <n v="51957"/>
    <n v="1"/>
    <x v="326"/>
    <n v="51957"/>
    <s v="Facturas inicialmente mal emitidas"/>
  </r>
  <r>
    <n v="586"/>
    <s v="CH-AAM-CS-OTR00-179-A"/>
    <x v="143"/>
    <s v="Anglo_Production at Risk Mina Rio"/>
    <s v="AngloAmerican"/>
    <x v="0"/>
    <n v="2025"/>
    <n v="-1"/>
    <m/>
    <m/>
    <n v="1"/>
    <d v="2025-11-25T00:00:00"/>
    <n v="3"/>
    <n v="5940"/>
    <n v="372"/>
    <d v="2025-12-12T00:00:00"/>
    <n v="1"/>
    <n v="5940"/>
    <n v="1"/>
    <x v="327"/>
    <n v="5940"/>
    <m/>
  </r>
  <r>
    <n v="587"/>
    <s v="CH-COD-UG-FEL00-174-A"/>
    <x v="144"/>
    <s v="Codelco_Formulación caso de negocio TBM"/>
    <s v="Codelco"/>
    <x v="0"/>
    <n v="2025"/>
    <n v="-1"/>
    <m/>
    <m/>
    <n v="1"/>
    <d v="2025-09-25T00:00:00"/>
    <n v="1"/>
    <n v="21121.039499999999"/>
    <n v="379"/>
    <d v="2026-01-09T00:00:00"/>
    <n v="1"/>
    <n v="21121.039499999999"/>
    <n v="-1"/>
    <x v="328"/>
    <n v="21121.039499999999"/>
    <s v="Se presentó un EDP al 80% en dic-25"/>
  </r>
  <r>
    <n v="588"/>
    <s v="CH-COD-UG-FEL00-174-A"/>
    <x v="144"/>
    <s v="Codelco_Formulación caso de negocio TBM"/>
    <s v="Codelco"/>
    <x v="0"/>
    <n v="2025"/>
    <n v="-1"/>
    <m/>
    <m/>
    <n v="1"/>
    <d v="2025-10-24T00:00:00"/>
    <n v="2"/>
    <n v="23592.812999999998"/>
    <n v="379"/>
    <d v="2026-01-09T00:00:00"/>
    <n v="1"/>
    <n v="23592.812999999998"/>
    <n v="-1"/>
    <x v="328"/>
    <n v="23592.812999999998"/>
    <s v="Se presentó un EDP al 80% en dic-25"/>
  </r>
  <r>
    <n v="589"/>
    <s v="CH-COD-UG-FEL00-174-A"/>
    <x v="144"/>
    <s v="Codelco_Formulación caso de negocio TBM"/>
    <s v="Codelco"/>
    <x v="0"/>
    <n v="2025"/>
    <n v="-1"/>
    <m/>
    <m/>
    <n v="1"/>
    <d v="2025-11-25T00:00:00"/>
    <n v="3"/>
    <n v="23600.8995"/>
    <n v="379"/>
    <d v="2026-01-09T00:00:00"/>
    <n v="1"/>
    <n v="23600.8995"/>
    <n v="-1"/>
    <x v="328"/>
    <n v="23600.8995"/>
    <s v="Se presentó un EDP al 80% en dic-25"/>
  </r>
  <r>
    <n v="590"/>
    <s v="PE-SPM-UG-FEL03-160-A"/>
    <x v="145"/>
    <s v="SPM_FS Labores Subterraneas 2da MEIA"/>
    <s v="Santander Peruvian"/>
    <x v="2"/>
    <n v="2025"/>
    <n v="-1"/>
    <m/>
    <m/>
    <n v="1"/>
    <d v="2025-10-24T00:00:00"/>
    <n v="1"/>
    <n v="20803"/>
    <s v="E001-342"/>
    <d v="2025-11-11T00:00:00"/>
    <n v="1"/>
    <n v="20841"/>
    <n v="1"/>
    <x v="329"/>
    <n v="20841"/>
    <s v="Factorizar"/>
  </r>
  <r>
    <n v="591"/>
    <s v="PE-SPM-UG-FEL03-160-A"/>
    <x v="145"/>
    <s v="SPM_FS Labores Subterraneas 2da MEIA"/>
    <s v="Santander Peruvian"/>
    <x v="2"/>
    <n v="2025"/>
    <n v="-1"/>
    <m/>
    <m/>
    <n v="1"/>
    <d v="2025-11-25T00:00:00"/>
    <n v="2"/>
    <n v="39809"/>
    <s v="E001-348"/>
    <d v="2025-12-12T00:00:00"/>
    <n v="1"/>
    <n v="39809"/>
    <n v="1"/>
    <x v="330"/>
    <n v="39809"/>
    <m/>
  </r>
  <r>
    <n v="592"/>
    <s v="PE-SPM-UG-FEL03-160-A"/>
    <x v="145"/>
    <s v="SPM_FS Labores Subterraneas 2da MEIA"/>
    <s v="Santander Peruvian"/>
    <x v="2"/>
    <n v="2025"/>
    <n v="-1"/>
    <m/>
    <m/>
    <n v="1"/>
    <d v="2025-12-18T00:00:00"/>
    <n v="3"/>
    <n v="33598"/>
    <s v="E001-351"/>
    <d v="2026-01-20T00:00:00"/>
    <n v="1"/>
    <n v="33598"/>
    <n v="-1"/>
    <x v="331"/>
    <n v="33598"/>
    <m/>
  </r>
  <r>
    <n v="593"/>
    <s v="PE-NEX-GM-FEL00-167-A"/>
    <x v="146"/>
    <s v="NEXA_Estudio Geomecánico AT y EP"/>
    <s v="NEXA"/>
    <x v="2"/>
    <n v="2025"/>
    <n v="-1"/>
    <m/>
    <m/>
    <n v="1"/>
    <d v="2025-10-24T00:00:00"/>
    <n v="1"/>
    <n v="20759"/>
    <s v="E001-350"/>
    <d v="2025-12-29T00:00:00"/>
    <n v="1"/>
    <n v="20759"/>
    <n v="-1"/>
    <x v="332"/>
    <n v="20759"/>
    <s v="Fueron facturados juntos"/>
  </r>
  <r>
    <n v="594"/>
    <s v="PE-NEX-GM-FEL00-167-A"/>
    <x v="146"/>
    <s v="NEXA_Estudio Geomecánico AT y EP"/>
    <s v="NEXA"/>
    <x v="2"/>
    <n v="2025"/>
    <n v="-1"/>
    <m/>
    <m/>
    <n v="1"/>
    <d v="2025-11-25T00:00:00"/>
    <n v="2"/>
    <n v="42800"/>
    <s v="E001-350"/>
    <d v="2025-12-29T00:00:00"/>
    <n v="1"/>
    <n v="42800"/>
    <n v="-1"/>
    <x v="332"/>
    <n v="42800"/>
    <s v="Fueron facturados juntos"/>
  </r>
  <r>
    <n v="595"/>
    <s v="PE-NEX-GM-FEL00-167-A"/>
    <x v="146"/>
    <s v="NEXA_Estudio Geomecánico AT y EP"/>
    <s v="NEXA"/>
    <x v="2"/>
    <n v="2025"/>
    <n v="-1"/>
    <m/>
    <m/>
    <n v="1"/>
    <d v="2025-12-31T00:00:00"/>
    <n v="3"/>
    <n v="16723"/>
    <s v="Pendiente"/>
    <m/>
    <n v="-1"/>
    <m/>
    <n v="-1"/>
    <x v="31"/>
    <n v="16723"/>
    <m/>
  </r>
  <r>
    <n v="596"/>
    <s v="PE-NEX-CS-OTR00-168-A"/>
    <x v="147"/>
    <s v="NEXA_Peer Review Cerro Lindo"/>
    <s v="NEXA"/>
    <x v="2"/>
    <n v="2025"/>
    <n v="-1"/>
    <m/>
    <m/>
    <n v="1"/>
    <d v="2025-10-24T00:00:00"/>
    <n v="1"/>
    <n v="29716"/>
    <s v="E001-337"/>
    <d v="2025-10-30T00:00:00"/>
    <n v="1"/>
    <n v="29716"/>
    <n v="1"/>
    <x v="195"/>
    <n v="29716"/>
    <m/>
  </r>
  <r>
    <n v="597"/>
    <s v="OT-FNE-CS-OTR00-176-A"/>
    <x v="148"/>
    <s v="FN_Oko West project review"/>
    <s v="Franco Nevada"/>
    <x v="1"/>
    <n v="2025"/>
    <n v="-1"/>
    <m/>
    <m/>
    <n v="1"/>
    <d v="2025-10-15T00:00:00"/>
    <n v="1"/>
    <n v="52075"/>
    <s v="s/F"/>
    <d v="2025-10-15T00:00:00"/>
    <n v="1"/>
    <n v="52075"/>
    <n v="1"/>
    <x v="333"/>
    <n v="52075"/>
    <m/>
  </r>
  <r>
    <n v="598"/>
    <s v="CH-COL-CS-OTR00-180-A"/>
    <x v="149"/>
    <s v="Collahuasi_Análisis Mine Compliance"/>
    <s v="Collahuasi"/>
    <x v="0"/>
    <n v="2025"/>
    <n v="-1"/>
    <m/>
    <m/>
    <n v="1"/>
    <d v="2025-10-24T00:00:00"/>
    <n v="1"/>
    <n v="33407"/>
    <n v="355"/>
    <d v="2025-10-30T00:00:00"/>
    <n v="1"/>
    <n v="33407"/>
    <n v="1"/>
    <x v="334"/>
    <n v="33407"/>
    <m/>
  </r>
  <r>
    <n v="599"/>
    <s v="CH-COL-CS-OTR00-180-A"/>
    <x v="149"/>
    <s v="Collahuasi_Análisis Mine Compliance"/>
    <s v="Collahuasi"/>
    <x v="0"/>
    <n v="2025"/>
    <n v="-1"/>
    <m/>
    <m/>
    <n v="1"/>
    <d v="2025-11-25T00:00:00"/>
    <n v="2"/>
    <n v="7599"/>
    <n v="367"/>
    <d v="2025-12-03T00:00:00"/>
    <n v="1"/>
    <n v="7660"/>
    <n v="1"/>
    <x v="95"/>
    <n v="7660"/>
    <m/>
  </r>
  <r>
    <n v="600"/>
    <s v="CH-COL-CS-OTR00-180-A"/>
    <x v="149"/>
    <s v="Collahuasi_Análisis Mine Compliance"/>
    <s v="Collahuasi"/>
    <x v="0"/>
    <n v="2025"/>
    <n v="-1"/>
    <m/>
    <m/>
    <n v="1"/>
    <d v="2025-12-24T00:00:00"/>
    <n v="3"/>
    <n v="13260"/>
    <s v="Pendiente"/>
    <m/>
    <n v="-1"/>
    <m/>
    <n v="-1"/>
    <x v="31"/>
    <n v="13260"/>
    <m/>
  </r>
  <r>
    <n v="601"/>
    <s v="CH-AMS-CS-OTR00-165-A"/>
    <x v="150"/>
    <s v="AMSA_Mejoras Planificación Centinela"/>
    <s v="AMSA"/>
    <x v="0"/>
    <n v="2025"/>
    <n v="-1"/>
    <m/>
    <m/>
    <n v="1"/>
    <d v="2025-10-30T00:00:00"/>
    <n v="1"/>
    <n v="54264"/>
    <n v="378"/>
    <d v="2026-01-06T00:00:00"/>
    <n v="1"/>
    <n v="54264"/>
    <n v="1"/>
    <x v="327"/>
    <n v="54264"/>
    <m/>
  </r>
  <r>
    <n v="602"/>
    <s v="CH-AMS-CS-OTR00-165-A"/>
    <x v="150"/>
    <s v="AMSA_Mejoras Planificación Centinela"/>
    <s v="AMSA"/>
    <x v="0"/>
    <n v="2025"/>
    <n v="-1"/>
    <m/>
    <m/>
    <n v="1"/>
    <d v="2025-11-25T00:00:00"/>
    <n v="2"/>
    <n v="25487"/>
    <s v="Pendiente"/>
    <m/>
    <n v="-1"/>
    <m/>
    <n v="-1"/>
    <x v="97"/>
    <n v="25487"/>
    <m/>
  </r>
  <r>
    <n v="603"/>
    <s v="CH-GLE-CS-OTR00-183-A"/>
    <x v="151"/>
    <s v="Glencore_Estrategia de Propiedades CMLB"/>
    <s v="Glencore"/>
    <x v="0"/>
    <n v="2025"/>
    <n v="-1"/>
    <m/>
    <m/>
    <n v="1"/>
    <d v="2025-11-23T00:00:00"/>
    <n v="1"/>
    <n v="87783"/>
    <n v="361"/>
    <d v="2025-11-25T00:00:00"/>
    <n v="1"/>
    <n v="87783"/>
    <n v="1"/>
    <x v="327"/>
    <n v="87783"/>
    <m/>
  </r>
  <r>
    <n v="604"/>
    <s v="CH-GLE-CS-OTR00-183-A"/>
    <x v="151"/>
    <s v="Glencore_Estrategia de Propiedades CMLB"/>
    <s v="Glencore"/>
    <x v="0"/>
    <n v="2025"/>
    <n v="-1"/>
    <m/>
    <m/>
    <n v="1"/>
    <d v="2025-12-17T00:00:00"/>
    <n v="2"/>
    <n v="110857"/>
    <n v="373"/>
    <d v="2025-12-17T00:00:00"/>
    <n v="1"/>
    <n v="110857"/>
    <n v="1"/>
    <x v="168"/>
    <n v="110857"/>
    <m/>
  </r>
  <r>
    <n v="605"/>
    <s v="OT-RES-CS-OTR00-178-A"/>
    <x v="152"/>
    <s v="Resolution_General Review"/>
    <s v="Resolution"/>
    <x v="1"/>
    <n v="2025"/>
    <n v="-1"/>
    <m/>
    <m/>
    <n v="1"/>
    <d v="2025-11-10T00:00:00"/>
    <n v="1"/>
    <n v="74044"/>
    <s v="s/F"/>
    <d v="2025-12-17T00:00:00"/>
    <n v="1"/>
    <n v="74044"/>
    <n v="1"/>
    <x v="335"/>
    <n v="74044"/>
    <m/>
  </r>
  <r>
    <n v="606"/>
    <s v="OT-RES-CS-OTR00-178-A"/>
    <x v="152"/>
    <s v="Resolution_General Review"/>
    <s v="Resolution"/>
    <x v="1"/>
    <n v="2025"/>
    <n v="-1"/>
    <m/>
    <m/>
    <n v="1"/>
    <d v="2025-11-25T00:00:00"/>
    <n v="2"/>
    <n v="52266"/>
    <s v="s/F"/>
    <d v="2025-12-19T00:00:00"/>
    <n v="1"/>
    <n v="52266"/>
    <n v="1"/>
    <x v="66"/>
    <n v="52266"/>
    <m/>
  </r>
  <r>
    <n v="607"/>
    <s v="OT-RES-CS-OTR00-178-A"/>
    <x v="152"/>
    <s v="Resolution_General Review"/>
    <s v="Resolution"/>
    <x v="1"/>
    <n v="2025"/>
    <n v="-1"/>
    <m/>
    <m/>
    <n v="1"/>
    <d v="2025-12-22T00:00:00"/>
    <n v="3"/>
    <n v="28311"/>
    <s v="s/F"/>
    <d v="2025-12-22T00:00:00"/>
    <n v="1"/>
    <n v="28311"/>
    <n v="1"/>
    <x v="330"/>
    <n v="28311"/>
    <m/>
  </r>
  <r>
    <n v="608"/>
    <s v="OT-RES-CS-OTR00-178-A"/>
    <x v="152"/>
    <s v="Resolution_General Review"/>
    <s v="Resolution"/>
    <x v="1"/>
    <n v="2026"/>
    <n v="-1"/>
    <m/>
    <m/>
    <n v="1"/>
    <d v="2026-01-27T00:00:00"/>
    <n v="4"/>
    <n v="18737"/>
    <s v="Pendiente"/>
    <m/>
    <n v="-1"/>
    <m/>
    <n v="-1"/>
    <x v="97"/>
    <n v="18737"/>
    <m/>
  </r>
  <r>
    <n v="609"/>
    <s v="PE-MMA-OP-FEL00-182-A"/>
    <x v="153"/>
    <s v="Miskimayo_Evaluación Transporte en Mina"/>
    <s v="MiskiMayo"/>
    <x v="2"/>
    <n v="2025"/>
    <n v="-1"/>
    <m/>
    <m/>
    <n v="1"/>
    <d v="2025-11-25T00:00:00"/>
    <n v="1"/>
    <n v="20102"/>
    <s v="E001-347"/>
    <d v="2025-12-11T00:00:00"/>
    <n v="1"/>
    <n v="20102"/>
    <n v="-1"/>
    <x v="336"/>
    <n v="20102"/>
    <m/>
  </r>
  <r>
    <n v="610"/>
    <s v="PE-MMA-OP-FEL00-182-A"/>
    <x v="153"/>
    <s v="Miskimayo_Evaluación Transporte en Mina"/>
    <s v="MiskiMayo"/>
    <x v="2"/>
    <n v="2025"/>
    <n v="-1"/>
    <m/>
    <m/>
    <n v="1"/>
    <d v="2025-12-25T00:00:00"/>
    <n v="2"/>
    <n v="23931"/>
    <s v="E001-353"/>
    <d v="2026-01-20T00:00:00"/>
    <n v="1"/>
    <n v="25531"/>
    <n v="-1"/>
    <x v="241"/>
    <n v="25531"/>
    <m/>
  </r>
  <r>
    <n v="611"/>
    <s v="PE-MMA-OP-FEL00-182-A"/>
    <x v="153"/>
    <s v="Miskimayo_Evaluación Transporte en Mina"/>
    <s v="MiskiMayo"/>
    <x v="2"/>
    <n v="2026"/>
    <n v="-1"/>
    <m/>
    <m/>
    <n v="1"/>
    <d v="2026-01-26T00:00:00"/>
    <n v="3"/>
    <n v="46313"/>
    <s v="Pendiente"/>
    <m/>
    <n v="-1"/>
    <m/>
    <n v="-1"/>
    <x v="31"/>
    <n v="46313"/>
    <m/>
  </r>
  <r>
    <n v="612"/>
    <s v="BR-AUM-UG-FEL2A-181-A"/>
    <x v="154"/>
    <s v="AuraMinerals_Proyecto Paiol PFS UG"/>
    <s v="AuraMinerals"/>
    <x v="3"/>
    <n v="2025"/>
    <n v="-1"/>
    <m/>
    <m/>
    <n v="1"/>
    <d v="2025-11-15T00:00:00"/>
    <n v="1"/>
    <n v="8652"/>
    <n v="116"/>
    <d v="2025-12-05T00:00:00"/>
    <n v="1"/>
    <n v="8654.6772983114442"/>
    <n v="1"/>
    <x v="99"/>
    <n v="7843"/>
    <m/>
  </r>
  <r>
    <n v="613"/>
    <s v="BR-AUM-UG-FEL2A-181-A"/>
    <x v="154"/>
    <s v="AuraMinerals_Proyecto Paiol PFS UG"/>
    <s v="AuraMinerals"/>
    <x v="3"/>
    <n v="2025"/>
    <n v="-1"/>
    <m/>
    <m/>
    <n v="1"/>
    <d v="2025-12-15T00:00:00"/>
    <n v="2"/>
    <n v="23872"/>
    <n v="119"/>
    <d v="2025-12-23T00:00:00"/>
    <n v="1"/>
    <n v="23872"/>
    <n v="-1"/>
    <x v="168"/>
    <n v="23872"/>
    <m/>
  </r>
  <r>
    <n v="614"/>
    <s v="BR-AUM-UG-FEL2A-181-A"/>
    <x v="154"/>
    <s v="AuraMinerals_Proyecto Paiol PFS UG"/>
    <s v="AuraMinerals"/>
    <x v="3"/>
    <n v="2026"/>
    <n v="-1"/>
    <m/>
    <m/>
    <n v="1"/>
    <d v="2026-01-20T00:00:00"/>
    <n v="3"/>
    <n v="15152"/>
    <n v="4"/>
    <d v="2026-01-28T00:00:00"/>
    <n v="1"/>
    <n v="15376.967370441458"/>
    <n v="-1"/>
    <x v="337"/>
    <n v="15376.967370441458"/>
    <m/>
  </r>
  <r>
    <n v="615"/>
    <s v="CH-CRF-CS-FEL00-169-A"/>
    <x v="155"/>
    <s v="CORFO_Valorización Boquerón Chañar"/>
    <s v="CORFO"/>
    <x v="0"/>
    <n v="2025"/>
    <n v="-1"/>
    <m/>
    <m/>
    <n v="1"/>
    <d v="2025-12-21T00:00:00"/>
    <n v="1"/>
    <n v="20125"/>
    <n v="374"/>
    <d v="2025-12-24T00:00:00"/>
    <n v="1"/>
    <n v="20125"/>
    <n v="1"/>
    <x v="96"/>
    <n v="20125"/>
    <m/>
  </r>
  <r>
    <n v="616"/>
    <s v="CH-CRF-CS-FEL00-169-A"/>
    <x v="155"/>
    <s v="CORFO_Valorización Boquerón Chañar"/>
    <s v="CORFO"/>
    <x v="0"/>
    <n v="2025"/>
    <n v="-1"/>
    <m/>
    <m/>
    <n v="1"/>
    <d v="2025-12-24T00:00:00"/>
    <n v="2"/>
    <n v="21713"/>
    <n v="375"/>
    <d v="2025-12-24T00:00:00"/>
    <n v="1"/>
    <n v="21713"/>
    <n v="1"/>
    <x v="96"/>
    <n v="21713"/>
    <m/>
  </r>
  <r>
    <n v="617"/>
    <s v="CH-AMS-OP-FEL00-171-A"/>
    <x v="156"/>
    <s v="AMSA_RIINO BC - Centinela"/>
    <s v="AMSA"/>
    <x v="0"/>
    <n v="2025"/>
    <n v="-1"/>
    <m/>
    <m/>
    <n v="1"/>
    <d v="2025-12-23T00:00:00"/>
    <n v="1"/>
    <n v="129692"/>
    <n v="377"/>
    <d v="2026-01-05T00:00:00"/>
    <n v="1"/>
    <n v="129692"/>
    <n v="1"/>
    <x v="327"/>
    <n v="129692"/>
    <m/>
  </r>
  <r>
    <n v="618"/>
    <s v="PE-BRO-GM-FEL00-191-A"/>
    <x v="157"/>
    <s v="ElBrocal_Estudio Geomecanico Estabilidad"/>
    <s v="El Brocal"/>
    <x v="2"/>
    <n v="2026"/>
    <n v="-1"/>
    <m/>
    <m/>
    <n v="1"/>
    <d v="2026-01-26T00:00:00"/>
    <n v="1"/>
    <n v="9596"/>
    <s v="Pendiente"/>
    <m/>
    <n v="-1"/>
    <m/>
    <n v="-1"/>
    <x v="31"/>
    <n v="9596"/>
    <m/>
  </r>
  <r>
    <n v="619"/>
    <s v="PE-HCS-UG-FEL00-190-A"/>
    <x v="158"/>
    <s v="Hochschild_FS Metodos de Minado Tesoro"/>
    <s v="Hochschild"/>
    <x v="2"/>
    <n v="2026"/>
    <n v="-1"/>
    <m/>
    <m/>
    <n v="1"/>
    <d v="2026-01-30T00:00:00"/>
    <n v="1"/>
    <n v="20200"/>
    <s v="Pendiente"/>
    <m/>
    <n v="-1"/>
    <m/>
    <n v="-1"/>
    <x v="31"/>
    <n v="20200"/>
    <m/>
  </r>
  <r>
    <n v="620"/>
    <s v="PE-CSC-CS-OTR00-192-A"/>
    <x v="159"/>
    <s v="Los Calatos_Resource Development Plan"/>
    <s v="CD Capitals"/>
    <x v="2"/>
    <n v="2026"/>
    <n v="-1"/>
    <m/>
    <m/>
    <n v="1"/>
    <d v="2026-01-30T00:00:00"/>
    <n v="1"/>
    <n v="51680"/>
    <s v="Pendiente"/>
    <m/>
    <n v="-1"/>
    <m/>
    <n v="-1"/>
    <x v="97"/>
    <n v="5168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6D92D2-E5B9-4AC6-9184-627617AE2D6C}" name="TablaDinámica1" cacheId="41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47:E53" firstHeaderRow="1" firstDataRow="2" firstDataCol="1" rowPageCount="1" colPageCount="1"/>
  <pivotFields count="25">
    <pivotField showAll="0"/>
    <pivotField showAll="0"/>
    <pivotField showAll="0" sortType="descending">
      <autoSortScope>
        <pivotArea dataOnly="0" outline="0" fieldPosition="0">
          <references count="1">
            <reference field="4294967294" count="1" selected="0">
              <x v="0"/>
            </reference>
          </references>
        </pivotArea>
      </autoSortScope>
    </pivotField>
    <pivotField showAll="0"/>
    <pivotField showAll="0"/>
    <pivotField axis="axisRow" multipleItemSelectionAllowed="1" showAll="0" sortType="descending">
      <items count="8">
        <item x="3"/>
        <item x="4"/>
        <item x="0"/>
        <item x="2"/>
        <item x="5"/>
        <item x="1"/>
        <item m="1"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60">
        <item x="304"/>
        <item x="104"/>
        <item x="231"/>
        <item x="7"/>
        <item x="113"/>
        <item x="19"/>
        <item x="303"/>
        <item x="20"/>
        <item x="159"/>
        <item x="305"/>
        <item x="8"/>
        <item x="16"/>
        <item x="114"/>
        <item x="232"/>
        <item x="290"/>
        <item x="158"/>
        <item x="9"/>
        <item x="21"/>
        <item x="291"/>
        <item x="306"/>
        <item x="10"/>
        <item x="150"/>
        <item x="22"/>
        <item x="115"/>
        <item x="219"/>
        <item x="310"/>
        <item x="151"/>
        <item x="23"/>
        <item x="309"/>
        <item x="116"/>
        <item x="220"/>
        <item x="87"/>
        <item x="160"/>
        <item x="11"/>
        <item x="283"/>
        <item x="233"/>
        <item x="105"/>
        <item x="221"/>
        <item x="162"/>
        <item x="174"/>
        <item x="311"/>
        <item x="206"/>
        <item x="307"/>
        <item x="292"/>
        <item x="12"/>
        <item x="257"/>
        <item x="288"/>
        <item x="117"/>
        <item x="18"/>
        <item x="293"/>
        <item x="258"/>
        <item x="207"/>
        <item x="289"/>
        <item x="285"/>
        <item x="13"/>
        <item x="106"/>
        <item x="284"/>
        <item x="259"/>
        <item x="302"/>
        <item x="312"/>
        <item x="163"/>
        <item x="222"/>
        <item x="313"/>
        <item x="107"/>
        <item x="43"/>
        <item x="314"/>
        <item x="282"/>
        <item x="205"/>
        <item x="88"/>
        <item x="260"/>
        <item x="6"/>
        <item x="14"/>
        <item x="44"/>
        <item x="17"/>
        <item x="15"/>
        <item x="24"/>
        <item x="261"/>
        <item x="279"/>
        <item x="161"/>
        <item x="45"/>
        <item x="25"/>
        <item x="251"/>
        <item x="244"/>
        <item x="46"/>
        <item x="262"/>
        <item x="47"/>
        <item x="26"/>
        <item x="208"/>
        <item x="239"/>
        <item x="263"/>
        <item x="196"/>
        <item x="145"/>
        <item x="272"/>
        <item x="182"/>
        <item x="147"/>
        <item x="252"/>
        <item x="197"/>
        <item x="108"/>
        <item x="142"/>
        <item x="280"/>
        <item x="264"/>
        <item x="136"/>
        <item x="146"/>
        <item x="250"/>
        <item x="109"/>
        <item x="198"/>
        <item x="183"/>
        <item x="265"/>
        <item x="199"/>
        <item x="148"/>
        <item x="153"/>
        <item x="154"/>
        <item x="85"/>
        <item x="254"/>
        <item x="281"/>
        <item x="273"/>
        <item x="294"/>
        <item x="32"/>
        <item x="110"/>
        <item x="253"/>
        <item x="143"/>
        <item x="274"/>
        <item x="184"/>
        <item x="267"/>
        <item x="295"/>
        <item x="42"/>
        <item x="155"/>
        <item x="27"/>
        <item x="137"/>
        <item x="33"/>
        <item x="156"/>
        <item x="111"/>
        <item x="215"/>
        <item x="185"/>
        <item x="67"/>
        <item x="200"/>
        <item x="234"/>
        <item x="0"/>
        <item x="164"/>
        <item x="240"/>
        <item x="112"/>
        <item x="266"/>
        <item x="138"/>
        <item x="186"/>
        <item x="166"/>
        <item x="28"/>
        <item x="34"/>
        <item x="275"/>
        <item x="118"/>
        <item x="188"/>
        <item x="315"/>
        <item x="201"/>
        <item x="243"/>
        <item x="177"/>
        <item x="165"/>
        <item x="178"/>
        <item x="226"/>
        <item x="78"/>
        <item x="242"/>
        <item x="235"/>
        <item x="3"/>
        <item x="179"/>
        <item x="35"/>
        <item x="236"/>
        <item x="189"/>
        <item x="227"/>
        <item x="119"/>
        <item x="86"/>
        <item x="157"/>
        <item x="176"/>
        <item x="36"/>
        <item x="79"/>
        <item x="268"/>
        <item x="229"/>
        <item x="144"/>
        <item x="296"/>
        <item x="245"/>
        <item x="180"/>
        <item x="316"/>
        <item x="216"/>
        <item x="29"/>
        <item x="237"/>
        <item x="89"/>
        <item x="152"/>
        <item x="187"/>
        <item x="80"/>
        <item x="223"/>
        <item x="181"/>
        <item x="190"/>
        <item x="120"/>
        <item x="297"/>
        <item x="90"/>
        <item x="149"/>
        <item x="37"/>
        <item x="217"/>
        <item x="130"/>
        <item x="191"/>
        <item x="139"/>
        <item x="124"/>
        <item x="224"/>
        <item x="91"/>
        <item x="317"/>
        <item x="298"/>
        <item x="131"/>
        <item x="102"/>
        <item x="255"/>
        <item x="103"/>
        <item x="321"/>
        <item x="38"/>
        <item x="94"/>
        <item x="132"/>
        <item x="93"/>
        <item x="230"/>
        <item x="308"/>
        <item x="256"/>
        <item x="123"/>
        <item x="121"/>
        <item x="92"/>
        <item x="58"/>
        <item x="39"/>
        <item x="270"/>
        <item x="271"/>
        <item x="68"/>
        <item x="125"/>
        <item x="133"/>
        <item x="51"/>
        <item x="40"/>
        <item x="228"/>
        <item x="286"/>
        <item x="48"/>
        <item x="218"/>
        <item x="134"/>
        <item x="59"/>
        <item x="52"/>
        <item x="323"/>
        <item x="71"/>
        <item x="81"/>
        <item x="53"/>
        <item x="41"/>
        <item x="192"/>
        <item x="60"/>
        <item x="246"/>
        <item x="126"/>
        <item x="122"/>
        <item x="322"/>
        <item x="173"/>
        <item x="72"/>
        <item x="299"/>
        <item x="318"/>
        <item x="82"/>
        <item x="70"/>
        <item x="129"/>
        <item x="61"/>
        <item x="69"/>
        <item x="54"/>
        <item x="287"/>
        <item x="127"/>
        <item x="225"/>
        <item x="83"/>
        <item x="73"/>
        <item x="49"/>
        <item x="247"/>
        <item x="62"/>
        <item x="74"/>
        <item x="50"/>
        <item x="175"/>
        <item x="300"/>
        <item x="84"/>
        <item x="276"/>
        <item x="169"/>
        <item x="193"/>
        <item x="55"/>
        <item x="209"/>
        <item x="248"/>
        <item x="63"/>
        <item x="203"/>
        <item x="210"/>
        <item x="75"/>
        <item x="140"/>
        <item x="269"/>
        <item x="170"/>
        <item x="56"/>
        <item x="141"/>
        <item x="202"/>
        <item x="319"/>
        <item x="277"/>
        <item x="249"/>
        <item x="5"/>
        <item x="128"/>
        <item x="64"/>
        <item x="238"/>
        <item x="211"/>
        <item x="301"/>
        <item x="65"/>
        <item x="76"/>
        <item x="334"/>
        <item m="1" x="356"/>
        <item x="135"/>
        <item x="204"/>
        <item x="329"/>
        <item m="1" x="354"/>
        <item x="98"/>
        <item x="4"/>
        <item m="1" x="353"/>
        <item m="1" x="352"/>
        <item m="1" x="355"/>
        <item m="1" x="357"/>
        <item x="335"/>
        <item x="66"/>
        <item m="1" x="349"/>
        <item m="1" x="350"/>
        <item m="1" x="342"/>
        <item x="278"/>
        <item x="57"/>
        <item x="324"/>
        <item m="1" x="358"/>
        <item x="1"/>
        <item x="2"/>
        <item x="30"/>
        <item x="77"/>
        <item x="95"/>
        <item x="96"/>
        <item x="171"/>
        <item x="194"/>
        <item x="212"/>
        <item m="1" x="351"/>
        <item m="1" x="343"/>
        <item x="325"/>
        <item m="1" x="345"/>
        <item x="333"/>
        <item x="336"/>
        <item x="99"/>
        <item x="167"/>
        <item x="168"/>
        <item x="172"/>
        <item m="1" x="348"/>
        <item x="213"/>
        <item x="214"/>
        <item m="1" x="338"/>
        <item x="326"/>
        <item x="332"/>
        <item m="1" x="346"/>
        <item m="1" x="347"/>
        <item m="1" x="344"/>
        <item x="331"/>
        <item x="195"/>
        <item x="241"/>
        <item x="327"/>
        <item x="328"/>
        <item x="330"/>
        <item x="97"/>
        <item m="1" x="339"/>
        <item m="1" x="340"/>
        <item m="1" x="341"/>
        <item x="101"/>
        <item x="337"/>
        <item x="100"/>
        <item x="320"/>
        <item x="31"/>
        <item t="default"/>
      </items>
    </pivotField>
    <pivotField dataField="1" showAll="0"/>
    <pivotField showAll="0"/>
    <pivotField axis="axisCol"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x="5"/>
        <item t="default"/>
      </items>
    </pivotField>
    <pivotField axis="axisPage" multipleItemSelectionAllowed="1" showAll="0">
      <items count="8">
        <item h="1" sd="0" x="0"/>
        <item h="1" sd="0" x="1"/>
        <item h="1" sd="0" x="2"/>
        <item h="1" sd="0" x="3"/>
        <item h="1" sd="0" x="4"/>
        <item sd="0" x="5"/>
        <item h="1" x="6"/>
        <item t="default"/>
      </items>
    </pivotField>
  </pivotFields>
  <rowFields count="1">
    <field x="5"/>
  </rowFields>
  <rowItems count="5">
    <i>
      <x v="5"/>
    </i>
    <i>
      <x v="3"/>
    </i>
    <i>
      <x v="2"/>
    </i>
    <i>
      <x/>
    </i>
    <i t="grand">
      <x/>
    </i>
  </rowItems>
  <colFields count="1">
    <field x="22"/>
  </colFields>
  <colItems count="4">
    <i>
      <x v="1"/>
    </i>
    <i>
      <x v="2"/>
    </i>
    <i>
      <x v="3"/>
    </i>
    <i t="grand">
      <x/>
    </i>
  </colItems>
  <pageFields count="1">
    <pageField fld="24" hier="-1"/>
  </pageFields>
  <dataFields count="1">
    <dataField name="Suma de Ingresado USD" fld="20" baseField="0" baseItem="0" numFmtId="3"/>
  </dataFields>
  <formats count="1">
    <format dxfId="73">
      <pivotArea outline="0" collapsedLevelsAreSubtotals="1" fieldPosition="0"/>
    </format>
  </format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2CA5C5-D30B-4FC2-86DD-9502151F2118}" name="TablaDinámica10" cacheId="41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4:E16" firstHeaderRow="1" firstDataRow="2" firstDataCol="1" rowPageCount="2" colPageCount="1"/>
  <pivotFields count="25">
    <pivotField showAll="0"/>
    <pivotField showAll="0"/>
    <pivotField axis="axisRow" showAll="0" sortType="descending">
      <items count="161">
        <item x="0"/>
        <item x="1"/>
        <item x="2"/>
        <item x="3"/>
        <item x="4"/>
        <item x="141"/>
        <item x="5"/>
        <item x="6"/>
        <item x="7"/>
        <item x="8"/>
        <item x="150"/>
        <item x="9"/>
        <item x="10"/>
        <item x="143"/>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144"/>
        <item x="47"/>
        <item x="48"/>
        <item x="49"/>
        <item x="149"/>
        <item x="50"/>
        <item x="51"/>
        <item x="52"/>
        <item x="53"/>
        <item x="54"/>
        <item x="55"/>
        <item x="56"/>
        <item x="57"/>
        <item x="58"/>
        <item x="59"/>
        <item x="60"/>
        <item x="61"/>
        <item x="62"/>
        <item x="63"/>
        <item x="64"/>
        <item x="65"/>
        <item x="148"/>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46"/>
        <item x="115"/>
        <item x="147"/>
        <item x="116"/>
        <item x="117"/>
        <item x="118"/>
        <item x="119"/>
        <item x="120"/>
        <item x="121"/>
        <item x="122"/>
        <item x="123"/>
        <item x="124"/>
        <item x="142"/>
        <item x="125"/>
        <item x="126"/>
        <item x="127"/>
        <item x="128"/>
        <item x="129"/>
        <item x="130"/>
        <item x="131"/>
        <item x="132"/>
        <item x="133"/>
        <item x="134"/>
        <item x="135"/>
        <item x="145"/>
        <item x="136"/>
        <item x="137"/>
        <item x="138"/>
        <item x="139"/>
        <item x="140"/>
        <item x="151"/>
        <item x="152"/>
        <item x="153"/>
        <item x="154"/>
        <item x="156"/>
        <item x="157"/>
        <item x="159"/>
        <item x="155"/>
        <item x="158"/>
        <item t="default"/>
      </items>
      <autoSortScope>
        <pivotArea dataOnly="0" outline="0" fieldPosition="0">
          <references count="1">
            <reference field="4294967294" count="1" selected="0">
              <x v="0"/>
            </reference>
          </references>
        </pivotArea>
      </autoSortScope>
    </pivotField>
    <pivotField showAll="0"/>
    <pivotField showAll="0"/>
    <pivotField axis="axisPage" multipleItemSelectionAllowed="1" showAll="0">
      <items count="8">
        <item h="1" x="3"/>
        <item h="1" x="4"/>
        <item h="1" x="0"/>
        <item x="2"/>
        <item h="1" x="5"/>
        <item h="1" x="1"/>
        <item m="1"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60">
        <item x="304"/>
        <item x="104"/>
        <item x="231"/>
        <item x="7"/>
        <item x="113"/>
        <item x="19"/>
        <item x="303"/>
        <item x="20"/>
        <item x="159"/>
        <item x="305"/>
        <item x="8"/>
        <item x="16"/>
        <item x="114"/>
        <item x="232"/>
        <item x="290"/>
        <item x="158"/>
        <item x="9"/>
        <item x="21"/>
        <item x="291"/>
        <item x="306"/>
        <item x="10"/>
        <item x="150"/>
        <item x="22"/>
        <item x="115"/>
        <item x="219"/>
        <item x="310"/>
        <item x="151"/>
        <item x="23"/>
        <item x="309"/>
        <item x="116"/>
        <item x="220"/>
        <item x="87"/>
        <item x="160"/>
        <item x="11"/>
        <item x="283"/>
        <item x="233"/>
        <item x="105"/>
        <item x="221"/>
        <item x="162"/>
        <item x="174"/>
        <item x="311"/>
        <item x="206"/>
        <item x="307"/>
        <item x="292"/>
        <item x="12"/>
        <item x="257"/>
        <item x="288"/>
        <item x="117"/>
        <item x="18"/>
        <item x="293"/>
        <item x="258"/>
        <item x="207"/>
        <item x="289"/>
        <item x="285"/>
        <item x="13"/>
        <item x="106"/>
        <item x="284"/>
        <item x="259"/>
        <item x="302"/>
        <item x="312"/>
        <item x="163"/>
        <item x="222"/>
        <item x="313"/>
        <item x="107"/>
        <item x="43"/>
        <item x="314"/>
        <item x="282"/>
        <item x="205"/>
        <item x="88"/>
        <item x="260"/>
        <item x="6"/>
        <item x="14"/>
        <item x="44"/>
        <item x="17"/>
        <item x="15"/>
        <item x="24"/>
        <item x="261"/>
        <item x="279"/>
        <item x="161"/>
        <item x="45"/>
        <item x="25"/>
        <item x="251"/>
        <item x="244"/>
        <item x="46"/>
        <item x="262"/>
        <item x="47"/>
        <item x="26"/>
        <item x="208"/>
        <item x="239"/>
        <item x="263"/>
        <item x="196"/>
        <item x="145"/>
        <item x="272"/>
        <item x="182"/>
        <item x="147"/>
        <item x="252"/>
        <item x="197"/>
        <item x="108"/>
        <item x="142"/>
        <item x="280"/>
        <item x="264"/>
        <item x="136"/>
        <item x="146"/>
        <item x="250"/>
        <item x="109"/>
        <item x="198"/>
        <item x="183"/>
        <item x="265"/>
        <item x="199"/>
        <item x="148"/>
        <item x="153"/>
        <item x="154"/>
        <item x="85"/>
        <item x="254"/>
        <item x="281"/>
        <item x="273"/>
        <item x="294"/>
        <item x="32"/>
        <item x="110"/>
        <item x="253"/>
        <item x="143"/>
        <item x="274"/>
        <item x="184"/>
        <item x="267"/>
        <item x="295"/>
        <item x="42"/>
        <item x="155"/>
        <item x="27"/>
        <item x="137"/>
        <item x="33"/>
        <item x="156"/>
        <item x="111"/>
        <item x="215"/>
        <item x="185"/>
        <item x="67"/>
        <item x="200"/>
        <item x="234"/>
        <item x="0"/>
        <item x="164"/>
        <item x="240"/>
        <item x="112"/>
        <item x="266"/>
        <item x="138"/>
        <item x="186"/>
        <item x="166"/>
        <item x="28"/>
        <item x="34"/>
        <item x="275"/>
        <item x="118"/>
        <item x="188"/>
        <item x="315"/>
        <item x="201"/>
        <item x="243"/>
        <item x="177"/>
        <item x="165"/>
        <item x="178"/>
        <item x="226"/>
        <item x="78"/>
        <item x="242"/>
        <item x="235"/>
        <item x="3"/>
        <item x="179"/>
        <item x="35"/>
        <item x="236"/>
        <item x="189"/>
        <item x="227"/>
        <item x="119"/>
        <item x="86"/>
        <item x="157"/>
        <item x="176"/>
        <item x="36"/>
        <item x="79"/>
        <item x="268"/>
        <item x="229"/>
        <item x="144"/>
        <item x="296"/>
        <item x="245"/>
        <item x="180"/>
        <item x="316"/>
        <item x="216"/>
        <item x="29"/>
        <item x="237"/>
        <item x="89"/>
        <item x="152"/>
        <item x="187"/>
        <item x="80"/>
        <item x="223"/>
        <item x="181"/>
        <item x="190"/>
        <item x="120"/>
        <item x="297"/>
        <item x="90"/>
        <item x="149"/>
        <item x="37"/>
        <item x="217"/>
        <item x="130"/>
        <item x="191"/>
        <item x="139"/>
        <item x="124"/>
        <item x="224"/>
        <item x="91"/>
        <item x="317"/>
        <item x="298"/>
        <item x="131"/>
        <item x="102"/>
        <item x="255"/>
        <item x="103"/>
        <item x="321"/>
        <item x="38"/>
        <item x="94"/>
        <item x="132"/>
        <item x="93"/>
        <item x="230"/>
        <item x="308"/>
        <item x="256"/>
        <item x="123"/>
        <item x="121"/>
        <item x="92"/>
        <item x="58"/>
        <item x="39"/>
        <item x="270"/>
        <item x="271"/>
        <item x="68"/>
        <item x="125"/>
        <item x="133"/>
        <item x="51"/>
        <item x="40"/>
        <item x="228"/>
        <item x="286"/>
        <item x="48"/>
        <item x="218"/>
        <item x="134"/>
        <item x="59"/>
        <item x="52"/>
        <item x="323"/>
        <item x="71"/>
        <item x="81"/>
        <item x="53"/>
        <item x="41"/>
        <item x="192"/>
        <item x="60"/>
        <item x="246"/>
        <item x="126"/>
        <item x="122"/>
        <item x="322"/>
        <item x="173"/>
        <item x="72"/>
        <item x="299"/>
        <item x="318"/>
        <item x="82"/>
        <item x="70"/>
        <item x="129"/>
        <item x="61"/>
        <item x="69"/>
        <item x="54"/>
        <item x="287"/>
        <item x="127"/>
        <item x="225"/>
        <item x="83"/>
        <item x="73"/>
        <item x="49"/>
        <item x="247"/>
        <item x="62"/>
        <item x="74"/>
        <item x="50"/>
        <item x="175"/>
        <item x="300"/>
        <item x="84"/>
        <item x="276"/>
        <item x="169"/>
        <item x="193"/>
        <item x="55"/>
        <item x="209"/>
        <item x="248"/>
        <item x="63"/>
        <item x="203"/>
        <item x="210"/>
        <item x="75"/>
        <item x="140"/>
        <item x="269"/>
        <item x="170"/>
        <item x="56"/>
        <item x="141"/>
        <item x="202"/>
        <item x="319"/>
        <item x="277"/>
        <item x="249"/>
        <item x="5"/>
        <item x="128"/>
        <item x="64"/>
        <item x="238"/>
        <item x="211"/>
        <item x="301"/>
        <item x="65"/>
        <item x="76"/>
        <item x="334"/>
        <item m="1" x="356"/>
        <item x="135"/>
        <item x="204"/>
        <item x="329"/>
        <item m="1" x="354"/>
        <item x="98"/>
        <item x="4"/>
        <item m="1" x="353"/>
        <item m="1" x="352"/>
        <item m="1" x="355"/>
        <item m="1" x="357"/>
        <item x="335"/>
        <item x="66"/>
        <item m="1" x="349"/>
        <item m="1" x="350"/>
        <item m="1" x="342"/>
        <item x="278"/>
        <item x="57"/>
        <item x="324"/>
        <item m="1" x="358"/>
        <item x="1"/>
        <item x="2"/>
        <item x="30"/>
        <item x="77"/>
        <item x="95"/>
        <item x="96"/>
        <item x="171"/>
        <item x="194"/>
        <item x="212"/>
        <item m="1" x="351"/>
        <item m="1" x="343"/>
        <item x="325"/>
        <item m="1" x="345"/>
        <item x="333"/>
        <item x="336"/>
        <item x="99"/>
        <item x="167"/>
        <item x="168"/>
        <item x="172"/>
        <item m="1" x="348"/>
        <item x="213"/>
        <item x="214"/>
        <item m="1" x="338"/>
        <item x="326"/>
        <item x="332"/>
        <item m="1" x="346"/>
        <item m="1" x="347"/>
        <item m="1" x="344"/>
        <item x="331"/>
        <item x="195"/>
        <item x="241"/>
        <item x="327"/>
        <item x="328"/>
        <item x="330"/>
        <item x="97"/>
        <item m="1" x="339"/>
        <item m="1" x="340"/>
        <item m="1" x="341"/>
        <item x="101"/>
        <item x="337"/>
        <item x="100"/>
        <item x="320"/>
        <item x="31"/>
        <item t="default"/>
      </items>
    </pivotField>
    <pivotField dataField="1" showAll="0"/>
    <pivotField showAll="0"/>
    <pivotField axis="axisCol"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x="5"/>
        <item t="default"/>
      </items>
    </pivotField>
    <pivotField axis="axisPage" multipleItemSelectionAllowed="1" showAll="0">
      <items count="8">
        <item h="1" sd="0" x="0"/>
        <item h="1" sd="0" x="1"/>
        <item h="1" sd="0" x="2"/>
        <item h="1" sd="0" x="3"/>
        <item h="1" sd="0" x="4"/>
        <item sd="0" x="5"/>
        <item h="1" x="6"/>
        <item t="default"/>
      </items>
    </pivotField>
  </pivotFields>
  <rowFields count="1">
    <field x="2"/>
  </rowFields>
  <rowItems count="11">
    <i>
      <x v="80"/>
    </i>
    <i>
      <x v="6"/>
    </i>
    <i>
      <x v="153"/>
    </i>
    <i>
      <x v="121"/>
    </i>
    <i>
      <x v="145"/>
    </i>
    <i>
      <x v="157"/>
    </i>
    <i>
      <x v="104"/>
    </i>
    <i>
      <x v="123"/>
    </i>
    <i>
      <x v="159"/>
    </i>
    <i>
      <x v="156"/>
    </i>
    <i t="grand">
      <x/>
    </i>
  </rowItems>
  <colFields count="1">
    <field x="22"/>
  </colFields>
  <colItems count="4">
    <i>
      <x v="1"/>
    </i>
    <i>
      <x v="2"/>
    </i>
    <i>
      <x v="3"/>
    </i>
    <i t="grand">
      <x/>
    </i>
  </colItems>
  <pageFields count="2">
    <pageField fld="5" hier="-1"/>
    <pageField fld="24" hier="-1"/>
  </pageFields>
  <dataFields count="1">
    <dataField name="Suma de Ingresado USD" fld="20" baseField="0" baseItem="0" numFmtId="3"/>
  </dataFields>
  <formats count="4">
    <format dxfId="120">
      <pivotArea outline="0" collapsedLevelsAreSubtotals="1" fieldPosition="0"/>
    </format>
    <format dxfId="72">
      <pivotArea collapsedLevelsAreSubtotals="1" fieldPosition="0">
        <references count="2">
          <reference field="2" count="1">
            <x v="147"/>
          </reference>
          <reference field="22" count="1" selected="0">
            <x v="1"/>
          </reference>
        </references>
      </pivotArea>
    </format>
    <format dxfId="71">
      <pivotArea collapsedLevelsAreSubtotals="1" fieldPosition="0">
        <references count="2">
          <reference field="2" count="1">
            <x v="10"/>
          </reference>
          <reference field="22" count="1" selected="0">
            <x v="2"/>
          </reference>
        </references>
      </pivotArea>
    </format>
    <format dxfId="70">
      <pivotArea collapsedLevelsAreSubtotals="1" fieldPosition="0">
        <references count="2">
          <reference field="2" count="1">
            <x v="28"/>
          </reference>
          <reference field="22" count="1" selected="0">
            <x v="2"/>
          </reference>
        </references>
      </pivotArea>
    </format>
  </format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CC8DFF6-E21B-4DF8-B835-1C8932C78BA8}" name="TablaDinámica10" cacheId="41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N77" firstHeaderRow="1" firstDataRow="2" firstDataCol="1" rowPageCount="1" colPageCount="1"/>
  <pivotFields count="25">
    <pivotField showAll="0"/>
    <pivotField showAll="0"/>
    <pivotField axis="axisRow" showAll="0" sortType="descending">
      <items count="161">
        <item x="0"/>
        <item x="1"/>
        <item x="2"/>
        <item x="3"/>
        <item x="4"/>
        <item x="141"/>
        <item x="5"/>
        <item x="6"/>
        <item x="7"/>
        <item x="8"/>
        <item x="150"/>
        <item x="9"/>
        <item x="10"/>
        <item x="143"/>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144"/>
        <item x="47"/>
        <item x="48"/>
        <item x="49"/>
        <item x="149"/>
        <item x="50"/>
        <item x="51"/>
        <item x="52"/>
        <item x="53"/>
        <item x="54"/>
        <item x="55"/>
        <item x="56"/>
        <item x="57"/>
        <item x="58"/>
        <item x="59"/>
        <item x="60"/>
        <item x="61"/>
        <item x="62"/>
        <item x="63"/>
        <item x="64"/>
        <item x="65"/>
        <item x="148"/>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46"/>
        <item x="115"/>
        <item x="147"/>
        <item x="116"/>
        <item x="117"/>
        <item x="118"/>
        <item x="119"/>
        <item x="120"/>
        <item x="121"/>
        <item x="122"/>
        <item x="123"/>
        <item x="124"/>
        <item x="142"/>
        <item x="125"/>
        <item x="126"/>
        <item x="127"/>
        <item x="128"/>
        <item x="129"/>
        <item x="130"/>
        <item x="131"/>
        <item x="132"/>
        <item x="133"/>
        <item x="134"/>
        <item x="135"/>
        <item x="145"/>
        <item x="136"/>
        <item x="137"/>
        <item x="138"/>
        <item x="139"/>
        <item x="140"/>
        <item x="151"/>
        <item x="152"/>
        <item x="153"/>
        <item x="154"/>
        <item x="156"/>
        <item x="157"/>
        <item x="159"/>
        <item x="155"/>
        <item x="15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60">
        <item x="304"/>
        <item x="104"/>
        <item x="231"/>
        <item x="7"/>
        <item x="113"/>
        <item x="19"/>
        <item x="303"/>
        <item x="20"/>
        <item x="159"/>
        <item x="305"/>
        <item x="8"/>
        <item x="16"/>
        <item x="114"/>
        <item x="232"/>
        <item x="290"/>
        <item x="158"/>
        <item x="9"/>
        <item x="21"/>
        <item x="291"/>
        <item x="306"/>
        <item x="10"/>
        <item x="150"/>
        <item x="22"/>
        <item x="115"/>
        <item x="219"/>
        <item x="310"/>
        <item x="151"/>
        <item x="23"/>
        <item x="309"/>
        <item x="116"/>
        <item x="220"/>
        <item x="87"/>
        <item x="160"/>
        <item x="11"/>
        <item x="283"/>
        <item x="233"/>
        <item x="105"/>
        <item x="221"/>
        <item x="162"/>
        <item x="174"/>
        <item x="311"/>
        <item x="206"/>
        <item x="307"/>
        <item x="292"/>
        <item x="12"/>
        <item x="257"/>
        <item x="288"/>
        <item x="117"/>
        <item x="18"/>
        <item x="293"/>
        <item x="258"/>
        <item x="207"/>
        <item x="289"/>
        <item x="285"/>
        <item x="13"/>
        <item x="106"/>
        <item x="284"/>
        <item x="259"/>
        <item x="302"/>
        <item x="312"/>
        <item x="163"/>
        <item x="222"/>
        <item x="313"/>
        <item x="107"/>
        <item x="43"/>
        <item x="314"/>
        <item x="282"/>
        <item x="205"/>
        <item x="88"/>
        <item x="260"/>
        <item x="6"/>
        <item x="14"/>
        <item x="44"/>
        <item x="17"/>
        <item x="15"/>
        <item x="24"/>
        <item x="261"/>
        <item x="279"/>
        <item x="161"/>
        <item x="45"/>
        <item x="25"/>
        <item x="251"/>
        <item x="244"/>
        <item x="46"/>
        <item x="262"/>
        <item x="47"/>
        <item x="26"/>
        <item x="208"/>
        <item x="239"/>
        <item x="263"/>
        <item x="196"/>
        <item x="145"/>
        <item x="272"/>
        <item x="182"/>
        <item x="147"/>
        <item x="252"/>
        <item x="197"/>
        <item x="108"/>
        <item x="142"/>
        <item x="280"/>
        <item x="264"/>
        <item x="136"/>
        <item x="146"/>
        <item x="250"/>
        <item x="109"/>
        <item x="198"/>
        <item x="183"/>
        <item x="265"/>
        <item x="199"/>
        <item x="148"/>
        <item x="153"/>
        <item x="154"/>
        <item x="85"/>
        <item x="254"/>
        <item x="281"/>
        <item x="273"/>
        <item x="294"/>
        <item x="32"/>
        <item x="110"/>
        <item x="253"/>
        <item x="143"/>
        <item x="274"/>
        <item x="184"/>
        <item x="267"/>
        <item x="295"/>
        <item x="42"/>
        <item x="155"/>
        <item x="27"/>
        <item x="137"/>
        <item x="33"/>
        <item x="156"/>
        <item x="111"/>
        <item x="215"/>
        <item x="185"/>
        <item x="67"/>
        <item x="200"/>
        <item x="234"/>
        <item x="0"/>
        <item x="164"/>
        <item x="240"/>
        <item x="112"/>
        <item x="266"/>
        <item x="138"/>
        <item x="186"/>
        <item x="166"/>
        <item x="28"/>
        <item x="34"/>
        <item x="275"/>
        <item x="118"/>
        <item x="188"/>
        <item x="315"/>
        <item x="201"/>
        <item x="243"/>
        <item x="177"/>
        <item x="165"/>
        <item x="178"/>
        <item x="226"/>
        <item x="78"/>
        <item x="242"/>
        <item x="235"/>
        <item x="3"/>
        <item x="179"/>
        <item x="35"/>
        <item x="236"/>
        <item x="189"/>
        <item x="227"/>
        <item x="119"/>
        <item x="86"/>
        <item x="157"/>
        <item x="176"/>
        <item x="36"/>
        <item x="79"/>
        <item x="268"/>
        <item x="229"/>
        <item x="144"/>
        <item x="296"/>
        <item x="245"/>
        <item x="180"/>
        <item x="316"/>
        <item x="216"/>
        <item x="29"/>
        <item x="237"/>
        <item x="89"/>
        <item x="152"/>
        <item x="187"/>
        <item x="80"/>
        <item x="223"/>
        <item x="181"/>
        <item x="190"/>
        <item x="120"/>
        <item x="297"/>
        <item x="90"/>
        <item x="149"/>
        <item x="37"/>
        <item x="217"/>
        <item x="130"/>
        <item x="191"/>
        <item x="139"/>
        <item x="124"/>
        <item x="224"/>
        <item x="91"/>
        <item x="317"/>
        <item x="298"/>
        <item x="131"/>
        <item x="102"/>
        <item x="255"/>
        <item x="103"/>
        <item x="321"/>
        <item x="38"/>
        <item x="94"/>
        <item x="132"/>
        <item x="93"/>
        <item x="230"/>
        <item x="308"/>
        <item x="256"/>
        <item x="123"/>
        <item x="121"/>
        <item x="92"/>
        <item x="58"/>
        <item x="39"/>
        <item x="270"/>
        <item x="271"/>
        <item x="68"/>
        <item x="125"/>
        <item x="133"/>
        <item x="51"/>
        <item x="40"/>
        <item x="228"/>
        <item x="286"/>
        <item x="48"/>
        <item x="218"/>
        <item x="134"/>
        <item x="59"/>
        <item x="52"/>
        <item x="323"/>
        <item x="71"/>
        <item x="81"/>
        <item x="53"/>
        <item x="41"/>
        <item x="192"/>
        <item x="60"/>
        <item x="246"/>
        <item x="126"/>
        <item x="122"/>
        <item x="322"/>
        <item x="173"/>
        <item x="72"/>
        <item x="299"/>
        <item x="318"/>
        <item x="82"/>
        <item x="70"/>
        <item x="129"/>
        <item x="61"/>
        <item x="69"/>
        <item x="54"/>
        <item x="287"/>
        <item x="127"/>
        <item x="225"/>
        <item x="83"/>
        <item x="73"/>
        <item x="49"/>
        <item x="247"/>
        <item x="62"/>
        <item x="74"/>
        <item x="50"/>
        <item x="175"/>
        <item x="300"/>
        <item x="84"/>
        <item x="276"/>
        <item x="169"/>
        <item x="193"/>
        <item x="55"/>
        <item x="209"/>
        <item x="248"/>
        <item x="63"/>
        <item x="203"/>
        <item x="210"/>
        <item x="75"/>
        <item x="140"/>
        <item x="269"/>
        <item x="170"/>
        <item x="56"/>
        <item x="141"/>
        <item x="202"/>
        <item x="319"/>
        <item x="277"/>
        <item x="249"/>
        <item x="5"/>
        <item x="128"/>
        <item x="64"/>
        <item x="238"/>
        <item x="211"/>
        <item x="301"/>
        <item x="65"/>
        <item x="76"/>
        <item x="334"/>
        <item m="1" x="356"/>
        <item x="135"/>
        <item x="204"/>
        <item x="329"/>
        <item m="1" x="354"/>
        <item x="98"/>
        <item x="4"/>
        <item m="1" x="353"/>
        <item m="1" x="352"/>
        <item m="1" x="355"/>
        <item m="1" x="357"/>
        <item x="335"/>
        <item x="66"/>
        <item m="1" x="349"/>
        <item m="1" x="350"/>
        <item m="1" x="342"/>
        <item x="278"/>
        <item x="57"/>
        <item x="324"/>
        <item m="1" x="358"/>
        <item x="1"/>
        <item x="2"/>
        <item x="30"/>
        <item x="77"/>
        <item x="95"/>
        <item x="96"/>
        <item x="171"/>
        <item x="194"/>
        <item x="212"/>
        <item m="1" x="351"/>
        <item m="1" x="343"/>
        <item x="325"/>
        <item m="1" x="345"/>
        <item x="333"/>
        <item x="336"/>
        <item x="99"/>
        <item x="167"/>
        <item x="168"/>
        <item x="172"/>
        <item m="1" x="348"/>
        <item x="213"/>
        <item x="214"/>
        <item m="1" x="338"/>
        <item x="326"/>
        <item x="332"/>
        <item m="1" x="346"/>
        <item m="1" x="347"/>
        <item m="1" x="344"/>
        <item x="331"/>
        <item x="195"/>
        <item x="241"/>
        <item x="327"/>
        <item x="328"/>
        <item x="330"/>
        <item x="97"/>
        <item m="1" x="339"/>
        <item m="1" x="340"/>
        <item m="1" x="341"/>
        <item x="101"/>
        <item x="337"/>
        <item x="100"/>
        <item x="320"/>
        <item x="31"/>
        <item t="default"/>
      </items>
    </pivotField>
    <pivotField dataField="1" showAll="0"/>
    <pivotField showAll="0"/>
    <pivotField axis="axisCol"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x="5"/>
        <item t="default"/>
      </items>
    </pivotField>
    <pivotField axis="axisPage" multipleItemSelectionAllowed="1" showAll="0">
      <items count="8">
        <item h="1" sd="0" x="0"/>
        <item h="1" sd="0" x="1"/>
        <item h="1" sd="0" x="2"/>
        <item h="1" sd="0" x="3"/>
        <item sd="0" x="4"/>
        <item h="1" sd="0" x="5"/>
        <item h="1" x="6"/>
        <item t="default"/>
      </items>
    </pivotField>
  </pivotFields>
  <rowFields count="1">
    <field x="2"/>
  </rowFields>
  <rowItems count="73">
    <i>
      <x v="19"/>
    </i>
    <i>
      <x v="80"/>
    </i>
    <i>
      <x v="148"/>
    </i>
    <i>
      <x v="42"/>
    </i>
    <i>
      <x v="126"/>
    </i>
    <i>
      <x v="130"/>
    </i>
    <i>
      <x v="16"/>
    </i>
    <i>
      <x v="87"/>
    </i>
    <i>
      <x v="66"/>
    </i>
    <i>
      <x v="67"/>
    </i>
    <i>
      <x v="136"/>
    </i>
    <i>
      <x v="119"/>
    </i>
    <i>
      <x v="110"/>
    </i>
    <i>
      <x v="27"/>
    </i>
    <i>
      <x v="22"/>
    </i>
    <i>
      <x v="65"/>
    </i>
    <i>
      <x v="146"/>
    </i>
    <i>
      <x v="116"/>
    </i>
    <i>
      <x v="12"/>
    </i>
    <i>
      <x v="93"/>
    </i>
    <i>
      <x/>
    </i>
    <i>
      <x v="152"/>
    </i>
    <i>
      <x v="26"/>
    </i>
    <i>
      <x v="39"/>
    </i>
    <i>
      <x v="40"/>
    </i>
    <i>
      <x v="43"/>
    </i>
    <i>
      <x v="41"/>
    </i>
    <i>
      <x v="90"/>
    </i>
    <i>
      <x v="82"/>
    </i>
    <i>
      <x v="149"/>
    </i>
    <i>
      <x v="13"/>
    </i>
    <i>
      <x v="28"/>
    </i>
    <i>
      <x v="44"/>
    </i>
    <i>
      <x v="83"/>
    </i>
    <i>
      <x v="89"/>
    </i>
    <i>
      <x v="6"/>
    </i>
    <i>
      <x v="114"/>
    </i>
    <i>
      <x v="14"/>
    </i>
    <i>
      <x v="143"/>
    </i>
    <i>
      <x v="35"/>
    </i>
    <i>
      <x v="117"/>
    </i>
    <i>
      <x v="71"/>
    </i>
    <i>
      <x v="18"/>
    </i>
    <i>
      <x v="109"/>
    </i>
    <i>
      <x v="137"/>
    </i>
    <i>
      <x v="8"/>
    </i>
    <i>
      <x v="120"/>
    </i>
    <i>
      <x v="54"/>
    </i>
    <i>
      <x v="150"/>
    </i>
    <i>
      <x v="21"/>
    </i>
    <i>
      <x v="48"/>
    </i>
    <i>
      <x v="74"/>
    </i>
    <i>
      <x v="37"/>
    </i>
    <i>
      <x v="88"/>
    </i>
    <i>
      <x v="111"/>
    </i>
    <i>
      <x v="147"/>
    </i>
    <i>
      <x v="29"/>
    </i>
    <i>
      <x v="129"/>
    </i>
    <i>
      <x v="95"/>
    </i>
    <i>
      <x v="5"/>
    </i>
    <i>
      <x v="96"/>
    </i>
    <i>
      <x v="145"/>
    </i>
    <i>
      <x v="30"/>
    </i>
    <i>
      <x v="69"/>
    </i>
    <i>
      <x v="33"/>
    </i>
    <i>
      <x v="79"/>
    </i>
    <i>
      <x v="53"/>
    </i>
    <i>
      <x v="100"/>
    </i>
    <i>
      <x v="101"/>
    </i>
    <i>
      <x v="51"/>
    </i>
    <i>
      <x v="133"/>
    </i>
    <i>
      <x v="15"/>
    </i>
    <i t="grand">
      <x/>
    </i>
  </rowItems>
  <colFields count="1">
    <field x="22"/>
  </colFields>
  <colItems count="13">
    <i>
      <x v="1"/>
    </i>
    <i>
      <x v="2"/>
    </i>
    <i>
      <x v="3"/>
    </i>
    <i>
      <x v="4"/>
    </i>
    <i>
      <x v="5"/>
    </i>
    <i>
      <x v="6"/>
    </i>
    <i>
      <x v="7"/>
    </i>
    <i>
      <x v="8"/>
    </i>
    <i>
      <x v="9"/>
    </i>
    <i>
      <x v="10"/>
    </i>
    <i>
      <x v="11"/>
    </i>
    <i>
      <x v="12"/>
    </i>
    <i t="grand">
      <x/>
    </i>
  </colItems>
  <pageFields count="1">
    <pageField fld="24" hier="-1"/>
  </pageFields>
  <dataFields count="1">
    <dataField name="Suma de Ingresado USD" fld="20" baseField="0" baseItem="0" numFmtId="3"/>
  </dataFields>
  <formats count="1">
    <format dxfId="11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aís1" xr10:uid="{7AD6D18F-6BF6-439C-9EF6-FA1733C120D7}" sourceName="País">
  <extLst>
    <x:ext xmlns:x15="http://schemas.microsoft.com/office/spreadsheetml/2010/11/main" uri="{2F2917AC-EB37-4324-AD4E-5DD8C200BD13}">
      <x15:tableSlicerCache tableId="2" column="1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ís 1" xr10:uid="{BCCDEFF5-F015-4C90-B2E1-F7F81ED4D2F9}" cache="SegmentaciónDeDatos_País1" caption="País"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E1E88AF-8349-47FF-B483-46F150CEC6EE}" name="Tabla13" displayName="Tabla13" ref="A1:V622" headerRowDxfId="118" totalsRowDxfId="117">
  <autoFilter ref="A1:V622" xr:uid="{3E1E88AF-8349-47FF-B483-46F150CEC6EE}">
    <filterColumn colId="5">
      <filters>
        <filter val="Brasil"/>
      </filters>
    </filterColumn>
    <filterColumn colId="19">
      <filters>
        <dateGroupItem year="2026" month="1" dateTimeGrouping="month"/>
      </filters>
    </filterColumn>
  </autoFilter>
  <sortState xmlns:xlrd2="http://schemas.microsoft.com/office/spreadsheetml/2017/richdata2" ref="A2:V574">
    <sortCondition ref="C1:C574"/>
  </sortState>
  <tableColumns count="22">
    <tableColumn id="21" xr3:uid="{C89165EB-CCE2-4F70-83C5-590997BF7B09}" name="N" dataDxfId="116" totalsRowDxfId="115"/>
    <tableColumn id="22" xr3:uid="{E3513A6C-7B30-4539-A8A1-9BE59E723BA7}" name="Código" dataDxfId="114" totalsRowDxfId="113"/>
    <tableColumn id="20" xr3:uid="{00AD4225-B945-4A2D-8518-9FF0EDD3ECE2}" name="Nombre Teams" dataDxfId="112"/>
    <tableColumn id="1" xr3:uid="{CCA7AA1A-7368-4F1F-8CD5-BAF153894677}" name="Proyecto" totalsRowLabel="Total" dataDxfId="111" totalsRowDxfId="110"/>
    <tableColumn id="14" xr3:uid="{A30A450E-4B31-4DB5-BEE4-CD3D0DED464A}" name="Cliente" dataDxfId="109" totalsRowDxfId="108"/>
    <tableColumn id="12" xr3:uid="{B29A7546-CB51-4589-9222-775EC7C5CD26}" name="País" dataDxfId="107" totalsRowDxfId="106"/>
    <tableColumn id="13" xr3:uid="{94E29896-1AFD-4CD8-9D73-03CEBBF7BFD8}" name="Año" dataDxfId="105" totalsRowDxfId="104"/>
    <tableColumn id="3" xr3:uid="{D1B0591B-B4ED-400E-B9C3-8527E868C5F8}" name="Proyección" dataDxfId="76" totalsRowDxfId="103">
      <calculatedColumnFormula>+IF(Tabla13[[#This Row],[Proyectado USD]]&gt;0,1,-1)</calculatedColumnFormula>
    </tableColumn>
    <tableColumn id="2" xr3:uid="{F5149A99-AACB-48D8-92BD-5A81C68602EA}" name="Fecha Proyeccion" dataDxfId="102" totalsRowDxfId="101"/>
    <tableColumn id="4" xr3:uid="{C41AD79D-2D34-49AB-AAE6-432B8C50F64E}" name="Proyectado USD" dataDxfId="100" totalsRowDxfId="99" dataCellStyle="Millares [0]"/>
    <tableColumn id="5" xr3:uid="{5ADA1D0C-849A-44D6-B350-A7B91FC482EF}" name="Emisión" dataDxfId="75" totalsRowDxfId="98">
      <calculatedColumnFormula>+IF(Tabla13[[#This Row],[Emitido USD]]&gt;0,1,-1)</calculatedColumnFormula>
    </tableColumn>
    <tableColumn id="16" xr3:uid="{8BBD765E-B7BB-4512-8DCB-A2CC82D42BEB}" name="Fecha Emisión" dataDxfId="97" totalsRowDxfId="96"/>
    <tableColumn id="19" xr3:uid="{F22ACDEE-8A7F-42E1-BE9F-4D40873E3796}" name="N°EDP" dataDxfId="95" totalsRowDxfId="94"/>
    <tableColumn id="6" xr3:uid="{34020801-59AA-4C52-864A-FF97CE06DAC5}" name="Emitido USD" totalsRowFunction="custom" dataDxfId="93" totalsRowDxfId="92" dataCellStyle="Millares [0]">
      <totalsRowFormula>SUBTOTAL(9,N2:N622)</totalsRowFormula>
    </tableColumn>
    <tableColumn id="15" xr3:uid="{2CE0A7CD-B887-47B5-BFE2-FEB0DC37060F}" name="N° Factura" dataDxfId="91" totalsRowDxfId="90" dataCellStyle="Millares 2"/>
    <tableColumn id="17" xr3:uid="{3B3D5585-B8ED-4AEF-8C63-85A78755B33B}" name="Fecha Facturación" dataDxfId="89" totalsRowDxfId="88" dataCellStyle="Millares 2"/>
    <tableColumn id="7" xr3:uid="{DCD96F40-B9C2-4BC1-B493-9B850B1D2A67}" name="Facturación" dataDxfId="74" totalsRowDxfId="87">
      <calculatedColumnFormula>+IF(Tabla13[[#This Row],[Facturado USD]]&gt;0,1,-1)</calculatedColumnFormula>
    </tableColumn>
    <tableColumn id="8" xr3:uid="{F8BAC38F-89FF-48DA-A5EC-8FF627D16B23}" name="Facturado USD" totalsRowFunction="custom" dataDxfId="86" totalsRowDxfId="85" dataCellStyle="Millares [0]">
      <totalsRowFormula>SUBTOTAL(9,R2:R622)</totalsRowFormula>
    </tableColumn>
    <tableColumn id="9" xr3:uid="{AA713D16-6197-49CC-A84D-73DB72F95B90}" name="Pagado" dataDxfId="84" totalsRowDxfId="83"/>
    <tableColumn id="18" xr3:uid="{FA017657-2E01-483F-8B99-E9CB551097FB}" name="Fecha Ingreso" dataDxfId="82" totalsRowDxfId="81" dataCellStyle="Millares 2"/>
    <tableColumn id="10" xr3:uid="{BC87763D-4685-482E-9B45-F12578161ED2}" name="Ingresado USD" totalsRowFunction="custom" dataDxfId="80" totalsRowDxfId="79" dataCellStyle="Millares [0]">
      <totalsRowFormula>SUBTOTAL(9,U2:U622)</totalsRowFormula>
    </tableColumn>
    <tableColumn id="11" xr3:uid="{34456FBE-321F-4156-9B22-04F355F1B62B}" name="Observaciones " totalsRowFunction="count" dataDxfId="78" totalsRowDxfId="77"/>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N80" dT="2025-07-21T22:26:25.91" personId="{28CEEBB1-60EF-4165-B5DA-EB7EDDFCAE55}" id="{5D1227FE-70C8-422D-A081-CC1E0460CD26}">
    <text>Antes 23.599</text>
  </threadedComment>
  <threadedComment ref="N81" dT="2025-07-21T22:26:47.80" personId="{28CEEBB1-60EF-4165-B5DA-EB7EDDFCAE55}" id="{4F32C6B4-8B4B-4A2B-952C-3FFE32681257}">
    <text>Antes 30.544</text>
  </threadedComment>
  <threadedComment ref="O127" dT="2025-12-10T12:55:35.72" personId="{B9B3E79A-D3B9-4D12-A13F-F66C23798BDE}" id="{24255DD7-71F8-43EB-9BBC-050858707A10}">
    <text>Reemplazan facturas anteriores dado que cliente indica rechazo de ellas.</text>
  </threadedComment>
  <threadedComment ref="N278" dT="2025-08-11T14:35:45.00" personId="{B9B3E79A-D3B9-4D12-A13F-F66C23798BDE}" id="{1D4D5153-1D2C-448B-8E3E-158C05C788B9}">
    <text>Monto no está en POM2024, es una emisión de USA, desconozco a que corresponde</text>
  </threadedComment>
  <threadedComment ref="D406" dT="2023-12-29T15:51:28.52" personId="{945A8048-E5EC-4119-8684-D5F36964F1EB}" id="{63457111-D4DB-42CF-B002-9855C17CC2FC}">
    <text>@Eduardo Cuevas @Jessica Rojas es el nuevoe proyecto, cambiar el nombre lo cual se le considerará en el teams</text>
    <mentions>
      <mention mentionpersonId="{54CAB220-22A2-43B8-BD30-8213BDB88AA8}" mentionId="{D20DD84D-63A8-4C6E-B561-E4670E40EF95}" startIndex="0" length="15"/>
      <mention mentionpersonId="{C41F845C-172D-404C-B6F1-FCD6367C4B99}" mentionId="{5A53445C-DC1A-4A7F-9129-3F9251B2B4AD}" startIndex="16" length="14"/>
    </mentions>
  </threadedComment>
  <threadedComment ref="P462" dT="2025-08-20T20:33:49.55" personId="{B9B3E79A-D3B9-4D12-A13F-F66C23798BDE}" id="{7E5EB38F-396E-420C-B120-C10259B49A8E}">
    <text>Facturacion real el 22/07 pero no se habia reportado con ese nivel de detalle. EC con licencia, CF de vacaciones.</text>
  </threadedComment>
</ThreadedComments>
</file>

<file path=xl/threadedComments/threadedComment2.xml><?xml version="1.0" encoding="utf-8"?>
<ThreadedComments xmlns="http://schemas.microsoft.com/office/spreadsheetml/2018/threadedcomments" xmlns:x="http://schemas.openxmlformats.org/spreadsheetml/2006/main">
  <threadedComment ref="I16" dT="2025-01-20T13:49:52.70" personId="{B9B3E79A-D3B9-4D12-A13F-F66C23798BDE}" id="{53529F7A-6EA2-49A4-A5DF-46AC2F70FEB4}">
    <text>Monto contrato 67k + SDC 24 k</text>
  </threadedComment>
  <threadedComment ref="I16" dT="2025-01-24T17:22:32.94" personId="{28CEEBB1-60EF-4165-B5DA-EB7EDDFCAE55}" id="{D3BA27C0-C8D7-47FD-B872-3881244E762C}" parentId="{53529F7A-6EA2-49A4-A5DF-46AC2F70FEB4}">
    <text>Se actualiza monto a 48.710,16</text>
  </threadedComment>
  <threadedComment ref="Z16" dT="2025-08-18T14:17:02.40" personId="{B9B3E79A-D3B9-4D12-A13F-F66C23798BDE}" id="{D2E809E4-9A64-4C8C-B4A3-1FE6E88A727A}">
    <text>Cliente genera una nueva OC en julio 2025 para ejercicios adicionales al proyecto base. Parte de esos ejercicios habían sido cobrados en este EDP, pero en julio se emite el EDEP correspondiente.</text>
  </threadedComment>
  <threadedComment ref="I17" dT="2024-07-12T15:12:27.63" personId="{2AC11F32-ADA8-4E94-9055-6E8A2D2F00DF}" id="{7905E4E4-8189-4067-96F4-AB78364D79C8}">
    <text>21.289 UF</text>
  </threadedComment>
  <threadedComment ref="X21" dT="2025-06-26T15:47:07.06" personId="{B9B3E79A-D3B9-4D12-A13F-F66C23798BDE}" id="{11A73720-38DA-46D2-8DDC-BB25169E3EC5}">
    <text>Anterior 89.184 USD</text>
  </threadedComment>
  <threadedComment ref="I23" dT="2025-05-07T16:38:33.95" personId="{B9B3E79A-D3B9-4D12-A13F-F66C23798BDE}" id="{B1CE742E-AB40-4E8B-B187-F2852B0282F4}">
    <text>Se ajusta monto de contrato a PO oficializada por cliente. Monto responde a permisos MEIA V de Las Bambas</text>
  </threadedComment>
  <threadedComment ref="AH23" dT="2025-09-22T20:35:03.46" personId="{B9B3E79A-D3B9-4D12-A13F-F66C23798BDE}" id="{14C878DB-3C2F-4E89-974F-B4BA6AD809A8}">
    <text>EDP Inicial 200.336 USD</text>
  </threadedComment>
  <threadedComment ref="AB24" dT="2025-05-28T22:26:25.38" personId="{B9B3E79A-D3B9-4D12-A13F-F66C23798BDE}" id="{5C1A5565-1CD8-4A5D-B3F1-81EF635E2A0D}">
    <text>Considera 16.127 USD por concepto de adicional. OC recientemente aprobada.</text>
  </threadedComment>
  <threadedComment ref="AD24" dT="2025-08-20T19:00:10.20" personId="{B9B3E79A-D3B9-4D12-A13F-F66C23798BDE}" id="{9E0A40CD-F43A-4F80-97BA-1356F34F06FE}">
    <text>Inicialmente 4461 USD</text>
  </threadedComment>
  <threadedComment ref="AB25" dT="2025-05-30T16:22:38.68" personId="{B9B3E79A-D3B9-4D12-A13F-F66C23798BDE}" id="{211C436D-54DD-436E-8D5E-25E5744A84A9}">
    <text>Emitido el 05/05/25</text>
  </threadedComment>
  <threadedComment ref="AB28" dT="2025-06-23T13:47:42.58" personId="{B9B3E79A-D3B9-4D12-A13F-F66C23798BDE}" id="{E9FF0E66-3442-4950-8EAC-62855B7D88A2}">
    <text>Emitido fuera de plazo. Finalmente se consolida con el EDP de Junio</text>
  </threadedComment>
  <threadedComment ref="X35" dT="2025-04-29T23:05:49.28" personId="{B9B3E79A-D3B9-4D12-A13F-F66C23798BDE}" id="{2939204E-B996-4F5B-857C-66AD47A4804C}">
    <text>No se tenía registro de esta emisión</text>
  </threadedComment>
  <threadedComment ref="Z35" dT="2025-05-02T16:38:37.85" personId="{B9B3E79A-D3B9-4D12-A13F-F66C23798BDE}" id="{E45FF2D4-2FB0-45E6-9C90-95DEB42D5F80}">
    <text>101 kUSD fueron emitidos la primera semana de abril y corresponde al EDP de marzo</text>
  </threadedComment>
  <threadedComment ref="AF45" dT="2025-09-05T15:46:13.41" personId="{B9B3E79A-D3B9-4D12-A13F-F66C23798BDE}" id="{9C2CFE88-3454-4A2B-B7D1-0D47079401CE}">
    <text>Se habia emitido un EDP por 8710 USD pero no fue aceptado por cliente (contratos) dado que proyecto debió estar terminado. En septiembre se debe emitir al 100%</text>
  </threadedComment>
</ThreadedComment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17/10/relationships/threadedComment" Target="../threadedComments/threadedComment1.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microsoft.com/office/2007/relationships/slicer" Target="../slicers/slicer1.xml"/><Relationship Id="rId4"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6F89-5305-41FB-954B-96936F664AE9}">
  <sheetPr codeName="Hoja3">
    <tabColor theme="6"/>
  </sheetPr>
  <dimension ref="A1:X103"/>
  <sheetViews>
    <sheetView zoomScale="70" zoomScaleNormal="70" workbookViewId="0">
      <pane xSplit="4" ySplit="14" topLeftCell="P27" activePane="bottomRight" state="frozen"/>
      <selection pane="topRight" activeCell="D1" sqref="D1"/>
      <selection pane="bottomLeft" activeCell="A4" sqref="A4"/>
      <selection pane="bottomRight" activeCell="N109" sqref="N109"/>
    </sheetView>
  </sheetViews>
  <sheetFormatPr baseColWidth="10" defaultRowHeight="15" x14ac:dyDescent="0.25"/>
  <cols>
    <col min="1" max="1" width="31" customWidth="1"/>
    <col min="2" max="2" width="22.7109375" customWidth="1"/>
    <col min="3" max="3" width="6" bestFit="1" customWidth="1"/>
    <col min="4" max="4" width="93.42578125" bestFit="1" customWidth="1"/>
    <col min="5" max="5" width="12" customWidth="1"/>
    <col min="6" max="10" width="11.42578125" customWidth="1"/>
    <col min="11" max="11" width="12.5703125" customWidth="1"/>
    <col min="12" max="12" width="13" customWidth="1"/>
    <col min="13" max="15" width="13" bestFit="1" customWidth="1"/>
    <col min="16" max="16" width="12.7109375" bestFit="1" customWidth="1"/>
    <col min="17" max="17" width="14.42578125" bestFit="1" customWidth="1"/>
    <col min="19" max="19" width="23.42578125" bestFit="1" customWidth="1"/>
    <col min="20" max="20" width="23.5703125" bestFit="1" customWidth="1"/>
    <col min="21" max="21" width="14.42578125" bestFit="1" customWidth="1"/>
  </cols>
  <sheetData>
    <row r="1" spans="1:24" x14ac:dyDescent="0.25">
      <c r="A1" s="49" t="s">
        <v>193</v>
      </c>
      <c r="B1" s="49"/>
      <c r="C1" s="49"/>
      <c r="D1" s="49"/>
      <c r="E1" s="49"/>
      <c r="F1" s="49"/>
      <c r="G1" s="49"/>
      <c r="H1" s="49"/>
      <c r="I1" s="49"/>
      <c r="J1" s="49"/>
      <c r="K1" s="49"/>
      <c r="L1" s="49"/>
      <c r="M1" s="49"/>
      <c r="N1" s="49"/>
      <c r="O1" s="49"/>
      <c r="P1" s="49"/>
      <c r="Q1" s="49"/>
    </row>
    <row r="2" spans="1:24" x14ac:dyDescent="0.25">
      <c r="A2" s="49"/>
      <c r="B2" s="49"/>
      <c r="E2" s="48"/>
      <c r="F2" s="48"/>
      <c r="G2" s="48"/>
      <c r="H2" s="48"/>
      <c r="I2" s="48"/>
      <c r="J2" s="48"/>
      <c r="K2" s="48"/>
      <c r="L2" s="48"/>
      <c r="M2" s="48"/>
      <c r="N2" s="48"/>
      <c r="O2" s="48"/>
      <c r="P2" s="48"/>
      <c r="Q2" s="48"/>
    </row>
    <row r="3" spans="1:24" x14ac:dyDescent="0.25">
      <c r="A3" s="49"/>
      <c r="B3" s="49"/>
      <c r="D3" s="49" t="s">
        <v>3</v>
      </c>
      <c r="E3" s="53">
        <v>45687</v>
      </c>
      <c r="F3" s="53">
        <v>45716</v>
      </c>
      <c r="G3" s="53">
        <v>45746</v>
      </c>
      <c r="H3" s="53">
        <v>45777</v>
      </c>
      <c r="I3" s="53">
        <v>45807</v>
      </c>
      <c r="J3" s="53">
        <v>45838</v>
      </c>
      <c r="K3" s="53">
        <v>45868</v>
      </c>
      <c r="L3" s="53">
        <v>45899</v>
      </c>
      <c r="M3" s="53">
        <v>45930</v>
      </c>
      <c r="N3" s="53">
        <v>45960</v>
      </c>
      <c r="O3" s="53">
        <v>45991</v>
      </c>
      <c r="P3" s="53">
        <v>46021</v>
      </c>
      <c r="Q3" s="57" t="s">
        <v>189</v>
      </c>
      <c r="S3" s="54" t="s">
        <v>194</v>
      </c>
      <c r="T3" s="55" t="s">
        <v>195</v>
      </c>
      <c r="U3" s="56" t="s">
        <v>190</v>
      </c>
    </row>
    <row r="4" spans="1:24" x14ac:dyDescent="0.25">
      <c r="A4" s="49"/>
      <c r="B4" s="49"/>
      <c r="D4" t="s">
        <v>18</v>
      </c>
      <c r="E4" s="51">
        <f t="shared" ref="E4:P9" si="0">+SUMIF($C15:$C499,$D4,E15:E499)</f>
        <v>365145.14961000002</v>
      </c>
      <c r="F4" s="51">
        <f t="shared" ref="F4:P4" si="1">+SUMIF($C15:$C499,$D4,F15:F499)</f>
        <v>542704.46701300004</v>
      </c>
      <c r="G4" s="51">
        <f t="shared" si="1"/>
        <v>391381.61601105001</v>
      </c>
      <c r="H4" s="51">
        <f t="shared" si="1"/>
        <v>227307</v>
      </c>
      <c r="I4" s="51">
        <f t="shared" si="1"/>
        <v>271507.37180611526</v>
      </c>
      <c r="J4" s="51">
        <f t="shared" si="1"/>
        <v>270459.3</v>
      </c>
      <c r="K4" s="51">
        <f t="shared" si="1"/>
        <v>474118.7</v>
      </c>
      <c r="L4" s="51">
        <f t="shared" si="1"/>
        <v>147062</v>
      </c>
      <c r="M4" s="51">
        <f t="shared" si="1"/>
        <v>288671.44</v>
      </c>
      <c r="N4" s="51">
        <f t="shared" si="1"/>
        <v>159231</v>
      </c>
      <c r="O4" s="51">
        <f t="shared" si="1"/>
        <v>249675.25</v>
      </c>
      <c r="P4" s="51">
        <f t="shared" si="1"/>
        <v>151253</v>
      </c>
      <c r="Q4" s="48">
        <f>+SUM(E4:P4)</f>
        <v>3538516.2944401652</v>
      </c>
      <c r="S4" s="1">
        <f>+SUM(E4:P4)</f>
        <v>3538516.2944401652</v>
      </c>
      <c r="T4" s="1">
        <v>0</v>
      </c>
      <c r="U4" s="48">
        <f>+S4+T4</f>
        <v>3538516.2944401652</v>
      </c>
      <c r="V4" s="90">
        <f>+U4/$U$10</f>
        <v>0.39148065885252514</v>
      </c>
    </row>
    <row r="5" spans="1:24" x14ac:dyDescent="0.25">
      <c r="A5" s="49"/>
      <c r="B5" s="49"/>
      <c r="D5" t="s">
        <v>70</v>
      </c>
      <c r="E5" s="51">
        <f>+SUMIF($C15:$C499,$D5,E15:E499)</f>
        <v>128603</v>
      </c>
      <c r="F5" s="51">
        <f t="shared" ref="F5:P5" si="2">+SUMIF($C15:$C499,$D5,F15:F499)</f>
        <v>64852</v>
      </c>
      <c r="G5" s="51">
        <f t="shared" si="2"/>
        <v>109603</v>
      </c>
      <c r="H5" s="51">
        <f t="shared" si="2"/>
        <v>110077</v>
      </c>
      <c r="I5" s="51">
        <f t="shared" si="2"/>
        <v>131592</v>
      </c>
      <c r="J5" s="51">
        <f t="shared" si="2"/>
        <v>229587</v>
      </c>
      <c r="K5" s="51">
        <f t="shared" si="2"/>
        <v>250497</v>
      </c>
      <c r="L5" s="51">
        <f t="shared" si="2"/>
        <v>611702.53722264152</v>
      </c>
      <c r="M5" s="51">
        <f t="shared" si="2"/>
        <v>126887</v>
      </c>
      <c r="N5" s="51">
        <f t="shared" si="2"/>
        <v>260750</v>
      </c>
      <c r="O5" s="51">
        <f t="shared" si="2"/>
        <v>84433</v>
      </c>
      <c r="P5" s="51">
        <f t="shared" si="2"/>
        <v>263942.4339622641</v>
      </c>
      <c r="Q5" s="48">
        <f t="shared" ref="Q5:Q9" si="3">+SUM(E5:P5)</f>
        <v>2372525.9711849056</v>
      </c>
      <c r="S5" s="1">
        <f t="shared" ref="S5:S8" si="4">+SUM(E5:P5)</f>
        <v>2372525.9711849056</v>
      </c>
      <c r="T5" s="1">
        <v>0</v>
      </c>
      <c r="U5" s="48">
        <f t="shared" ref="U5:U9" si="5">+S5+T5</f>
        <v>2372525.9711849056</v>
      </c>
      <c r="V5" s="90">
        <f t="shared" ref="V5:V8" si="6">+U5/$U$10</f>
        <v>0.2624823380928194</v>
      </c>
    </row>
    <row r="6" spans="1:24" x14ac:dyDescent="0.25">
      <c r="A6" s="49"/>
      <c r="B6" s="49"/>
      <c r="D6" t="s">
        <v>6</v>
      </c>
      <c r="E6" s="51">
        <f>+SUMIF($C15:$C499,$D6,E15:E499)</f>
        <v>80518</v>
      </c>
      <c r="F6" s="51">
        <f t="shared" ref="F6:P6" si="7">+SUMIF($C15:$C499,$D6,F15:F499)</f>
        <v>59683</v>
      </c>
      <c r="G6" s="51">
        <f t="shared" si="7"/>
        <v>92087.260000000009</v>
      </c>
      <c r="H6" s="51">
        <f t="shared" si="7"/>
        <v>94342.57</v>
      </c>
      <c r="I6" s="51">
        <f t="shared" si="7"/>
        <v>37074</v>
      </c>
      <c r="J6" s="51">
        <f t="shared" si="7"/>
        <v>62579</v>
      </c>
      <c r="K6" s="51">
        <f t="shared" si="7"/>
        <v>102711</v>
      </c>
      <c r="L6" s="51">
        <f t="shared" si="7"/>
        <v>70633.179999999993</v>
      </c>
      <c r="M6" s="51">
        <f t="shared" si="7"/>
        <v>198133.81651376147</v>
      </c>
      <c r="N6" s="51">
        <f t="shared" si="7"/>
        <v>326646</v>
      </c>
      <c r="O6" s="51">
        <f t="shared" si="7"/>
        <v>239391.24566238531</v>
      </c>
      <c r="P6" s="51">
        <f t="shared" si="7"/>
        <v>220857</v>
      </c>
      <c r="Q6" s="48">
        <f t="shared" si="3"/>
        <v>1584656.0721761468</v>
      </c>
      <c r="S6" s="1">
        <f t="shared" si="4"/>
        <v>1584656.0721761468</v>
      </c>
      <c r="T6" s="1">
        <v>0</v>
      </c>
      <c r="U6" s="48">
        <f t="shared" si="5"/>
        <v>1584656.0721761468</v>
      </c>
      <c r="V6" s="90">
        <f t="shared" si="6"/>
        <v>0.1753170401291938</v>
      </c>
    </row>
    <row r="7" spans="1:24" x14ac:dyDescent="0.25">
      <c r="A7" s="49"/>
      <c r="B7" s="49"/>
      <c r="D7" t="s">
        <v>96</v>
      </c>
      <c r="E7" s="51">
        <f>+SUMIF($C15:$C499,$D7,E15:E499)</f>
        <v>150453</v>
      </c>
      <c r="F7" s="51">
        <f t="shared" ref="F7:P7" si="8">+SUMIF($C15:$C499,$D7,F15:F499)</f>
        <v>243489</v>
      </c>
      <c r="G7" s="51">
        <f t="shared" si="8"/>
        <v>141525</v>
      </c>
      <c r="H7" s="51">
        <f t="shared" si="8"/>
        <v>169200</v>
      </c>
      <c r="I7" s="51">
        <f t="shared" si="8"/>
        <v>195063</v>
      </c>
      <c r="J7" s="51">
        <f t="shared" si="8"/>
        <v>61795</v>
      </c>
      <c r="K7" s="51">
        <f t="shared" si="8"/>
        <v>0</v>
      </c>
      <c r="L7" s="51">
        <f t="shared" si="8"/>
        <v>20000</v>
      </c>
      <c r="M7" s="51">
        <f t="shared" si="8"/>
        <v>0</v>
      </c>
      <c r="N7" s="51">
        <f t="shared" si="8"/>
        <v>44465</v>
      </c>
      <c r="O7" s="51">
        <f t="shared" si="8"/>
        <v>0</v>
      </c>
      <c r="P7" s="51">
        <f t="shared" si="8"/>
        <v>178385</v>
      </c>
      <c r="Q7" s="48">
        <f t="shared" si="3"/>
        <v>1204375</v>
      </c>
      <c r="S7" s="1">
        <f t="shared" si="4"/>
        <v>1204375</v>
      </c>
      <c r="T7" s="1">
        <v>0</v>
      </c>
      <c r="U7" s="48">
        <f t="shared" si="5"/>
        <v>1204375</v>
      </c>
      <c r="V7" s="90">
        <f t="shared" si="6"/>
        <v>0.13324497593704174</v>
      </c>
    </row>
    <row r="8" spans="1:24" x14ac:dyDescent="0.25">
      <c r="A8" s="49"/>
      <c r="B8" s="49"/>
      <c r="D8" t="s">
        <v>62</v>
      </c>
      <c r="E8" s="51">
        <f>+SUMIF($C15:$C499,$D8,E15:E499)</f>
        <v>0</v>
      </c>
      <c r="F8" s="51">
        <f t="shared" ref="F8:P8" si="9">+SUMIF($C15:$C499,$D8,F15:F499)</f>
        <v>21682</v>
      </c>
      <c r="G8" s="51">
        <f t="shared" si="9"/>
        <v>45478</v>
      </c>
      <c r="H8" s="51">
        <f t="shared" si="9"/>
        <v>0</v>
      </c>
      <c r="I8" s="51">
        <f t="shared" si="9"/>
        <v>0</v>
      </c>
      <c r="J8" s="51">
        <f t="shared" si="9"/>
        <v>172045</v>
      </c>
      <c r="K8" s="51">
        <f t="shared" si="9"/>
        <v>0</v>
      </c>
      <c r="L8" s="51">
        <f t="shared" si="9"/>
        <v>99524</v>
      </c>
      <c r="M8" s="51">
        <f t="shared" si="9"/>
        <v>0</v>
      </c>
      <c r="N8" s="51">
        <f t="shared" si="9"/>
        <v>0</v>
      </c>
      <c r="O8" s="51">
        <f t="shared" si="9"/>
        <v>0</v>
      </c>
      <c r="P8" s="51">
        <f t="shared" si="9"/>
        <v>0</v>
      </c>
      <c r="Q8" s="48">
        <f t="shared" si="3"/>
        <v>338729</v>
      </c>
      <c r="S8" s="1">
        <f t="shared" si="4"/>
        <v>338729</v>
      </c>
      <c r="T8" s="1">
        <v>0</v>
      </c>
      <c r="U8" s="48">
        <f t="shared" si="5"/>
        <v>338729</v>
      </c>
      <c r="V8" s="90">
        <f t="shared" si="6"/>
        <v>3.7474986988419896E-2</v>
      </c>
    </row>
    <row r="9" spans="1:24" hidden="1" x14ac:dyDescent="0.25">
      <c r="A9" s="49"/>
      <c r="B9" s="49"/>
      <c r="D9" t="s">
        <v>94</v>
      </c>
      <c r="E9" s="51">
        <f t="shared" si="0"/>
        <v>0</v>
      </c>
      <c r="F9" s="51">
        <f t="shared" si="0"/>
        <v>0</v>
      </c>
      <c r="G9" s="51">
        <f t="shared" si="0"/>
        <v>0</v>
      </c>
      <c r="H9" s="51">
        <f t="shared" si="0"/>
        <v>0</v>
      </c>
      <c r="I9" s="51">
        <f t="shared" si="0"/>
        <v>0</v>
      </c>
      <c r="J9" s="51">
        <f t="shared" si="0"/>
        <v>0</v>
      </c>
      <c r="K9" s="51">
        <f t="shared" si="0"/>
        <v>0</v>
      </c>
      <c r="L9" s="51">
        <f t="shared" si="0"/>
        <v>0</v>
      </c>
      <c r="M9" s="51">
        <f t="shared" si="0"/>
        <v>0</v>
      </c>
      <c r="N9" s="44">
        <f t="shared" si="0"/>
        <v>0</v>
      </c>
      <c r="O9" s="44">
        <f t="shared" si="0"/>
        <v>0</v>
      </c>
      <c r="P9" s="44">
        <f t="shared" si="0"/>
        <v>0</v>
      </c>
      <c r="Q9" s="48">
        <f t="shared" si="3"/>
        <v>0</v>
      </c>
      <c r="S9" s="1">
        <f t="shared" ref="S9" si="10">+SUM(E9:M9)</f>
        <v>0</v>
      </c>
      <c r="T9" s="1">
        <f t="shared" ref="T9" si="11">+SUM(N9:P9)</f>
        <v>0</v>
      </c>
      <c r="U9" s="48">
        <f t="shared" si="5"/>
        <v>0</v>
      </c>
    </row>
    <row r="10" spans="1:24" x14ac:dyDescent="0.25">
      <c r="A10" s="49"/>
      <c r="B10" s="62">
        <f>+SUM(E10:M10)</f>
        <v>6859773.4081765683</v>
      </c>
      <c r="D10" s="49" t="s">
        <v>190</v>
      </c>
      <c r="E10" s="57">
        <f>+SUM(E4:E9)</f>
        <v>724719.14960999996</v>
      </c>
      <c r="F10" s="57">
        <f t="shared" ref="F10:P10" si="12">+SUM(F4:F9)</f>
        <v>932410.46701300004</v>
      </c>
      <c r="G10" s="57">
        <f t="shared" si="12"/>
        <v>780074.87601105007</v>
      </c>
      <c r="H10" s="57">
        <f t="shared" si="12"/>
        <v>600926.57000000007</v>
      </c>
      <c r="I10" s="57">
        <f t="shared" si="12"/>
        <v>635236.37180611526</v>
      </c>
      <c r="J10" s="57">
        <f t="shared" si="12"/>
        <v>796465.3</v>
      </c>
      <c r="K10" s="57">
        <f t="shared" si="12"/>
        <v>827326.7</v>
      </c>
      <c r="L10" s="57">
        <f t="shared" si="12"/>
        <v>948921.71722264146</v>
      </c>
      <c r="M10" s="57">
        <f t="shared" si="12"/>
        <v>613692.25651376147</v>
      </c>
      <c r="N10" s="57">
        <f t="shared" si="12"/>
        <v>791092</v>
      </c>
      <c r="O10" s="57">
        <f t="shared" si="12"/>
        <v>573499.49566238536</v>
      </c>
      <c r="P10" s="57">
        <f t="shared" si="12"/>
        <v>814437.4339622641</v>
      </c>
      <c r="Q10" s="57">
        <f>+SUM(E10:P10)</f>
        <v>9038802.337801218</v>
      </c>
      <c r="S10" s="48">
        <f>+SUM(S4:S9)</f>
        <v>9038802.337801218</v>
      </c>
      <c r="T10" s="48">
        <f>+SUM(T4:T9)</f>
        <v>0</v>
      </c>
      <c r="U10" s="48">
        <f>+SUM(U4:U9)</f>
        <v>9038802.337801218</v>
      </c>
    </row>
    <row r="11" spans="1:24" x14ac:dyDescent="0.25">
      <c r="A11" s="49"/>
      <c r="B11" s="62">
        <f>+SUM(E11:M11)</f>
        <v>6858420.4746723389</v>
      </c>
      <c r="D11" s="60" t="s">
        <v>196</v>
      </c>
      <c r="E11" s="61">
        <v>724719.14960999996</v>
      </c>
      <c r="F11" s="61">
        <v>937628.46701300004</v>
      </c>
      <c r="G11" s="61">
        <v>780074.87601105007</v>
      </c>
      <c r="H11" s="61">
        <v>600926.56999999995</v>
      </c>
      <c r="I11" s="61">
        <v>628176.30000000005</v>
      </c>
      <c r="J11" s="61">
        <v>796954.3</v>
      </c>
      <c r="K11" s="61">
        <v>827326.83830188669</v>
      </c>
      <c r="L11" s="61">
        <v>948921.71722264157</v>
      </c>
      <c r="M11" s="61">
        <v>613692.25651376147</v>
      </c>
      <c r="N11" s="61">
        <v>786140.91428571439</v>
      </c>
      <c r="O11" s="61">
        <v>573499.49566238536</v>
      </c>
      <c r="P11" s="61">
        <v>885028.4339622641</v>
      </c>
      <c r="Q11" s="104"/>
      <c r="S11" s="1"/>
      <c r="T11" s="1"/>
    </row>
    <row r="12" spans="1:24" x14ac:dyDescent="0.25">
      <c r="A12" s="49"/>
      <c r="B12" s="63">
        <f>+(B10-B11)/B11</f>
        <v>1.9726604824327979E-4</v>
      </c>
      <c r="D12" s="60"/>
      <c r="E12" s="106"/>
      <c r="F12" s="106"/>
      <c r="G12" s="106"/>
      <c r="H12" s="106"/>
      <c r="I12" s="106"/>
      <c r="J12" s="106"/>
      <c r="K12" s="106"/>
      <c r="L12" s="106"/>
      <c r="M12" s="106"/>
      <c r="N12" s="106"/>
      <c r="O12" s="106"/>
      <c r="P12" s="106"/>
      <c r="Q12" s="104"/>
    </row>
    <row r="13" spans="1:24" x14ac:dyDescent="0.25">
      <c r="E13" s="1"/>
      <c r="F13" s="1"/>
      <c r="G13" s="1"/>
      <c r="H13" s="1"/>
      <c r="I13" s="1"/>
      <c r="J13" s="1"/>
      <c r="K13" s="1"/>
      <c r="L13" s="1"/>
      <c r="M13" s="1"/>
      <c r="N13" s="1"/>
      <c r="O13" s="1"/>
      <c r="P13" s="1"/>
      <c r="Q13" s="48"/>
    </row>
    <row r="14" spans="1:24" x14ac:dyDescent="0.25">
      <c r="A14" s="49" t="s">
        <v>124</v>
      </c>
      <c r="B14" s="49" t="s">
        <v>127</v>
      </c>
      <c r="C14" s="49" t="s">
        <v>3</v>
      </c>
      <c r="D14" s="49" t="s">
        <v>109</v>
      </c>
      <c r="E14" s="53">
        <v>45687</v>
      </c>
      <c r="F14" s="53">
        <v>45716</v>
      </c>
      <c r="G14" s="53">
        <v>45746</v>
      </c>
      <c r="H14" s="53">
        <v>45777</v>
      </c>
      <c r="I14" s="53">
        <v>45807</v>
      </c>
      <c r="J14" s="53">
        <v>45838</v>
      </c>
      <c r="K14" s="53">
        <v>45868</v>
      </c>
      <c r="L14" s="53">
        <v>45899</v>
      </c>
      <c r="M14" s="53">
        <v>45930</v>
      </c>
      <c r="N14" s="53">
        <v>45960</v>
      </c>
      <c r="O14" s="53">
        <v>45991</v>
      </c>
      <c r="P14" s="53">
        <v>46021</v>
      </c>
      <c r="Q14" s="56">
        <v>2025</v>
      </c>
      <c r="S14" s="54" t="s">
        <v>194</v>
      </c>
      <c r="T14" s="55" t="s">
        <v>195</v>
      </c>
      <c r="U14" s="56" t="s">
        <v>190</v>
      </c>
    </row>
    <row r="15" spans="1:24" x14ac:dyDescent="0.25">
      <c r="A15" t="s">
        <v>32</v>
      </c>
      <c r="B15" t="s">
        <v>168</v>
      </c>
      <c r="C15" t="s">
        <v>18</v>
      </c>
      <c r="D15" s="43" t="s">
        <v>30</v>
      </c>
      <c r="E15" s="51"/>
      <c r="F15" s="51"/>
      <c r="G15" s="51">
        <v>216482.89860000001</v>
      </c>
      <c r="H15" s="51"/>
      <c r="I15" s="51">
        <v>90546.064237995408</v>
      </c>
      <c r="J15" s="51">
        <v>70761</v>
      </c>
      <c r="K15" s="51">
        <f>196358+137233</f>
        <v>333591</v>
      </c>
      <c r="L15" s="51"/>
      <c r="M15" s="51">
        <v>159375.44</v>
      </c>
      <c r="N15" s="71"/>
      <c r="O15" s="51">
        <v>43242</v>
      </c>
      <c r="P15" s="45"/>
      <c r="Q15" s="48">
        <f>+SUM(E15:P15)</f>
        <v>913998.40283799544</v>
      </c>
      <c r="S15" s="1">
        <f t="shared" ref="S15:S46" si="13">+SUM(E15:P15)</f>
        <v>913998.40283799544</v>
      </c>
      <c r="T15" s="1">
        <v>0</v>
      </c>
      <c r="U15" s="48">
        <f t="shared" ref="U15:U46" si="14">+S15+T15</f>
        <v>913998.40283799544</v>
      </c>
    </row>
    <row r="16" spans="1:24" x14ac:dyDescent="0.25">
      <c r="A16" t="s">
        <v>19</v>
      </c>
      <c r="B16" t="s">
        <v>168</v>
      </c>
      <c r="C16" t="s">
        <v>70</v>
      </c>
      <c r="D16" s="43" t="s">
        <v>74</v>
      </c>
      <c r="E16" s="51"/>
      <c r="F16" s="51"/>
      <c r="G16" s="51"/>
      <c r="H16" s="51"/>
      <c r="I16" s="51"/>
      <c r="J16" s="44"/>
      <c r="K16" s="51">
        <v>58150</v>
      </c>
      <c r="L16" s="51">
        <v>444151.6874113208</v>
      </c>
      <c r="M16" s="44"/>
      <c r="N16" s="51">
        <v>152335</v>
      </c>
      <c r="O16" s="73"/>
      <c r="P16" s="51">
        <f>+_xlfn.XLOOKUP($D16,'TD EDP 2025'!$A:$A,'TD EDP 2025'!$M:$M,0,0,1)</f>
        <v>200900.43396226413</v>
      </c>
      <c r="Q16" s="48">
        <f>+SUM(E16:P16)</f>
        <v>855537.12137358496</v>
      </c>
      <c r="S16" s="1">
        <f t="shared" si="13"/>
        <v>855537.12137358496</v>
      </c>
      <c r="T16" s="1">
        <v>0</v>
      </c>
      <c r="U16" s="48">
        <f t="shared" si="14"/>
        <v>855537.12137358496</v>
      </c>
      <c r="X16" s="1"/>
    </row>
    <row r="17" spans="1:24" s="83" customFormat="1" x14ac:dyDescent="0.25">
      <c r="A17" t="s">
        <v>105</v>
      </c>
      <c r="B17" t="s">
        <v>185</v>
      </c>
      <c r="C17" t="s">
        <v>96</v>
      </c>
      <c r="D17" s="43" t="s">
        <v>106</v>
      </c>
      <c r="E17" s="51">
        <v>112741</v>
      </c>
      <c r="F17" s="51">
        <v>80209</v>
      </c>
      <c r="G17" s="51">
        <v>112980</v>
      </c>
      <c r="H17" s="51"/>
      <c r="I17" s="51">
        <v>161588</v>
      </c>
      <c r="J17" s="51">
        <v>13995</v>
      </c>
      <c r="K17"/>
      <c r="L17" s="58"/>
      <c r="M17" s="45"/>
      <c r="N17" s="45"/>
      <c r="O17" s="45"/>
      <c r="P17" s="45"/>
      <c r="Q17" s="48">
        <f>+SUM(E17:P17)</f>
        <v>481513</v>
      </c>
      <c r="R17"/>
      <c r="S17" s="1">
        <f t="shared" si="13"/>
        <v>481513</v>
      </c>
      <c r="T17" s="1">
        <v>0</v>
      </c>
      <c r="U17" s="48">
        <f t="shared" si="14"/>
        <v>481513</v>
      </c>
      <c r="V17"/>
      <c r="W17"/>
      <c r="X17"/>
    </row>
    <row r="18" spans="1:24" x14ac:dyDescent="0.25">
      <c r="A18" t="s">
        <v>50</v>
      </c>
      <c r="B18" t="s">
        <v>168</v>
      </c>
      <c r="C18" t="s">
        <v>18</v>
      </c>
      <c r="D18" s="77" t="s">
        <v>51</v>
      </c>
      <c r="E18" s="51">
        <v>175056.87690000003</v>
      </c>
      <c r="F18" s="51">
        <v>127900.67580000001</v>
      </c>
      <c r="G18" s="51">
        <v>48236.446800000005</v>
      </c>
      <c r="H18" s="51">
        <v>41744</v>
      </c>
      <c r="I18" s="51"/>
      <c r="J18" s="51">
        <v>47495</v>
      </c>
      <c r="L18" s="59"/>
      <c r="M18" s="71"/>
      <c r="N18" s="71"/>
      <c r="O18" s="51">
        <v>21494</v>
      </c>
      <c r="P18" s="71"/>
      <c r="Q18" s="48">
        <f>+SUM(E18:P18)</f>
        <v>461926.99950000003</v>
      </c>
      <c r="S18" s="1">
        <f t="shared" si="13"/>
        <v>461926.99950000003</v>
      </c>
      <c r="T18" s="1">
        <v>0</v>
      </c>
      <c r="U18" s="48">
        <f t="shared" si="14"/>
        <v>461926.99950000003</v>
      </c>
    </row>
    <row r="19" spans="1:24" x14ac:dyDescent="0.25">
      <c r="A19" t="s">
        <v>85</v>
      </c>
      <c r="B19" t="s">
        <v>182</v>
      </c>
      <c r="C19" t="s">
        <v>70</v>
      </c>
      <c r="D19" s="43" t="s">
        <v>86</v>
      </c>
      <c r="E19" s="51"/>
      <c r="F19" s="51"/>
      <c r="G19" s="51"/>
      <c r="H19" s="51">
        <v>110077</v>
      </c>
      <c r="I19" s="51"/>
      <c r="J19" s="51">
        <v>110077</v>
      </c>
      <c r="K19" s="51">
        <v>52800</v>
      </c>
      <c r="L19" s="51">
        <v>67565</v>
      </c>
      <c r="M19" s="45"/>
      <c r="N19" s="45"/>
      <c r="O19" s="45"/>
      <c r="P19" s="45"/>
      <c r="Q19" s="48">
        <f>+SUM(E19:P19)</f>
        <v>340519</v>
      </c>
      <c r="S19" s="1">
        <f t="shared" si="13"/>
        <v>340519</v>
      </c>
      <c r="T19" s="1">
        <v>0</v>
      </c>
      <c r="U19" s="48">
        <f t="shared" si="14"/>
        <v>340519</v>
      </c>
    </row>
    <row r="20" spans="1:24" x14ac:dyDescent="0.25">
      <c r="A20" t="s">
        <v>89</v>
      </c>
      <c r="B20" t="s">
        <v>170</v>
      </c>
      <c r="C20" t="s">
        <v>70</v>
      </c>
      <c r="D20" s="43" t="s">
        <v>90</v>
      </c>
      <c r="E20" s="51"/>
      <c r="F20" s="51">
        <v>36175</v>
      </c>
      <c r="G20" s="51">
        <v>49640</v>
      </c>
      <c r="H20" s="51"/>
      <c r="I20" s="51">
        <v>58049</v>
      </c>
      <c r="J20" s="51">
        <v>57648</v>
      </c>
      <c r="K20" s="51">
        <v>57921</v>
      </c>
      <c r="L20" s="51">
        <v>28722.396226415094</v>
      </c>
      <c r="M20" s="71"/>
      <c r="N20" s="51">
        <v>5300</v>
      </c>
      <c r="O20" s="51">
        <v>40785</v>
      </c>
      <c r="Q20" s="48">
        <f>+SUM(E20:O20)</f>
        <v>334240.39622641512</v>
      </c>
      <c r="S20" s="1">
        <f t="shared" si="13"/>
        <v>334240.39622641512</v>
      </c>
      <c r="T20" s="1">
        <v>0</v>
      </c>
      <c r="U20" s="48">
        <f t="shared" si="14"/>
        <v>334240.39622641512</v>
      </c>
    </row>
    <row r="21" spans="1:24" x14ac:dyDescent="0.25">
      <c r="A21" t="s">
        <v>4</v>
      </c>
      <c r="B21" t="s">
        <v>170</v>
      </c>
      <c r="C21" t="s">
        <v>6</v>
      </c>
      <c r="D21" s="43" t="s">
        <v>5</v>
      </c>
      <c r="E21" s="51"/>
      <c r="F21" s="51"/>
      <c r="G21" s="51">
        <v>52931.26</v>
      </c>
      <c r="H21" s="51">
        <v>54268</v>
      </c>
      <c r="I21" s="51">
        <v>28982</v>
      </c>
      <c r="J21" s="51">
        <v>41295</v>
      </c>
      <c r="K21" s="51">
        <v>47227</v>
      </c>
      <c r="L21" s="51"/>
      <c r="M21" s="51">
        <v>28549</v>
      </c>
      <c r="N21" s="51">
        <v>19014</v>
      </c>
      <c r="O21" s="51">
        <v>16041</v>
      </c>
      <c r="P21" s="51">
        <f>+_xlfn.XLOOKUP($D21,'TD EDP 2025'!$A:$A,'TD EDP 2025'!$M:$M,0,0,1)</f>
        <v>9828</v>
      </c>
      <c r="Q21" s="48">
        <f t="shared" ref="Q21:Q52" si="15">+SUM(E21:P21)</f>
        <v>298135.26</v>
      </c>
      <c r="S21" s="1">
        <f t="shared" si="13"/>
        <v>298135.26</v>
      </c>
      <c r="T21" s="1">
        <v>0</v>
      </c>
      <c r="U21" s="48">
        <f t="shared" si="14"/>
        <v>298135.26</v>
      </c>
    </row>
    <row r="22" spans="1:24" x14ac:dyDescent="0.25">
      <c r="A22" t="s">
        <v>19</v>
      </c>
      <c r="B22" t="s">
        <v>165</v>
      </c>
      <c r="C22" t="s">
        <v>18</v>
      </c>
      <c r="D22" s="43" t="s">
        <v>187</v>
      </c>
      <c r="E22" s="51"/>
      <c r="F22" s="51"/>
      <c r="G22" s="51"/>
      <c r="H22" s="51"/>
      <c r="I22" s="51"/>
      <c r="J22" s="44"/>
      <c r="K22" s="44"/>
      <c r="L22" s="51">
        <v>54620</v>
      </c>
      <c r="M22" s="51">
        <v>70025</v>
      </c>
      <c r="N22" s="51">
        <v>70020</v>
      </c>
      <c r="O22" s="51">
        <v>53961</v>
      </c>
      <c r="P22" s="51">
        <f>+_xlfn.XLOOKUP($D22,'TD EDP 2025'!$A:$A,'TD EDP 2025'!$M:$M,0,0,1)</f>
        <v>31113</v>
      </c>
      <c r="Q22" s="48">
        <f t="shared" si="15"/>
        <v>279739</v>
      </c>
      <c r="S22" s="1">
        <f t="shared" si="13"/>
        <v>279739</v>
      </c>
      <c r="T22" s="1">
        <v>0</v>
      </c>
      <c r="U22" s="48">
        <f t="shared" si="14"/>
        <v>279739</v>
      </c>
    </row>
    <row r="23" spans="1:24" x14ac:dyDescent="0.25">
      <c r="A23" t="s">
        <v>19</v>
      </c>
      <c r="B23" t="s">
        <v>170</v>
      </c>
      <c r="C23" t="s">
        <v>6</v>
      </c>
      <c r="D23" s="43" t="s">
        <v>186</v>
      </c>
      <c r="E23" s="51"/>
      <c r="F23" s="51"/>
      <c r="G23" s="51"/>
      <c r="H23" s="51"/>
      <c r="I23" s="51"/>
      <c r="J23" s="44"/>
      <c r="K23" s="51">
        <v>50063</v>
      </c>
      <c r="L23" s="51">
        <v>19610.669999999998</v>
      </c>
      <c r="M23" s="51">
        <v>61585</v>
      </c>
      <c r="N23" s="51">
        <v>58240</v>
      </c>
      <c r="O23" s="51">
        <v>32689</v>
      </c>
      <c r="P23" s="51">
        <f>+_xlfn.XLOOKUP($D23,'TD EDP 2025'!$A:$A,'TD EDP 2025'!$M:$M,0,0,1)</f>
        <v>51794</v>
      </c>
      <c r="Q23" s="48">
        <f t="shared" si="15"/>
        <v>273981.67</v>
      </c>
      <c r="S23" s="1">
        <f t="shared" si="13"/>
        <v>273981.67</v>
      </c>
      <c r="T23" s="1">
        <v>0</v>
      </c>
      <c r="U23" s="48">
        <f t="shared" si="14"/>
        <v>273981.67</v>
      </c>
    </row>
    <row r="24" spans="1:24" x14ac:dyDescent="0.25">
      <c r="A24" t="s">
        <v>60</v>
      </c>
      <c r="B24" t="s">
        <v>191</v>
      </c>
      <c r="C24" t="s">
        <v>62</v>
      </c>
      <c r="D24" s="43" t="s">
        <v>61</v>
      </c>
      <c r="E24" s="51"/>
      <c r="F24" s="51"/>
      <c r="G24" s="51"/>
      <c r="H24" s="51"/>
      <c r="J24" s="51">
        <v>172045</v>
      </c>
      <c r="K24" s="46"/>
      <c r="L24" s="51">
        <v>99524</v>
      </c>
      <c r="M24" s="47"/>
      <c r="N24" s="47"/>
      <c r="O24" s="47"/>
      <c r="P24" s="47"/>
      <c r="Q24" s="48">
        <f t="shared" si="15"/>
        <v>271569</v>
      </c>
      <c r="S24" s="1">
        <f t="shared" si="13"/>
        <v>271569</v>
      </c>
      <c r="T24" s="1">
        <v>0</v>
      </c>
      <c r="U24" s="48">
        <f t="shared" si="14"/>
        <v>271569</v>
      </c>
    </row>
    <row r="25" spans="1:24" x14ac:dyDescent="0.25">
      <c r="A25" t="s">
        <v>99</v>
      </c>
      <c r="B25" t="s">
        <v>184</v>
      </c>
      <c r="C25" t="s">
        <v>96</v>
      </c>
      <c r="D25" s="43" t="s">
        <v>100</v>
      </c>
      <c r="E25" s="51">
        <v>37712</v>
      </c>
      <c r="F25" s="51">
        <v>96628</v>
      </c>
      <c r="G25" s="51"/>
      <c r="H25" s="51">
        <v>84975</v>
      </c>
      <c r="I25" s="51">
        <v>33475</v>
      </c>
      <c r="J25" s="45"/>
      <c r="K25" s="47"/>
      <c r="L25" s="70"/>
      <c r="M25" s="47"/>
      <c r="N25" s="47"/>
      <c r="O25" s="47"/>
      <c r="P25" s="47"/>
      <c r="Q25" s="48">
        <f t="shared" si="15"/>
        <v>252790</v>
      </c>
      <c r="S25" s="1">
        <f t="shared" si="13"/>
        <v>252790</v>
      </c>
      <c r="T25" s="1">
        <v>0</v>
      </c>
      <c r="U25" s="48">
        <f t="shared" si="14"/>
        <v>252790</v>
      </c>
    </row>
    <row r="26" spans="1:24" x14ac:dyDescent="0.25">
      <c r="A26" t="s">
        <v>14</v>
      </c>
      <c r="B26" t="s">
        <v>192</v>
      </c>
      <c r="C26" t="s">
        <v>6</v>
      </c>
      <c r="D26" s="43" t="s">
        <v>15</v>
      </c>
      <c r="E26" s="51"/>
      <c r="F26" s="51">
        <v>24924</v>
      </c>
      <c r="G26" s="51">
        <v>15695</v>
      </c>
      <c r="H26" s="51">
        <v>18747.16</v>
      </c>
      <c r="I26" s="51"/>
      <c r="J26" s="51">
        <v>9499</v>
      </c>
      <c r="K26" s="51">
        <v>5421</v>
      </c>
      <c r="L26" s="51">
        <v>11024.51</v>
      </c>
      <c r="M26" s="51">
        <v>33778.899082568809</v>
      </c>
      <c r="N26" s="51">
        <v>53458</v>
      </c>
      <c r="O26" s="51">
        <v>24115</v>
      </c>
      <c r="P26" s="51">
        <f>+_xlfn.XLOOKUP($D26,'TD EDP 2025'!$A:$A,'TD EDP 2025'!$M:$M,0,0,1)</f>
        <v>28287</v>
      </c>
      <c r="Q26" s="48">
        <f t="shared" si="15"/>
        <v>224949.56908256881</v>
      </c>
      <c r="S26" s="1">
        <f t="shared" si="13"/>
        <v>224949.56908256881</v>
      </c>
      <c r="T26" s="1">
        <v>0</v>
      </c>
      <c r="U26" s="48">
        <f t="shared" si="14"/>
        <v>224949.56908256881</v>
      </c>
    </row>
    <row r="27" spans="1:24" x14ac:dyDescent="0.25">
      <c r="A27" t="s">
        <v>19</v>
      </c>
      <c r="B27" t="s">
        <v>168</v>
      </c>
      <c r="C27" t="s">
        <v>70</v>
      </c>
      <c r="D27" s="43" t="s">
        <v>112</v>
      </c>
      <c r="E27" s="51"/>
      <c r="F27" s="51"/>
      <c r="G27" s="51"/>
      <c r="H27" s="51"/>
      <c r="I27" s="51"/>
      <c r="J27" s="44"/>
      <c r="K27" s="51">
        <v>76361</v>
      </c>
      <c r="L27" s="51"/>
      <c r="M27" s="51">
        <v>112344</v>
      </c>
      <c r="N27" s="51">
        <v>23019</v>
      </c>
      <c r="P27" s="76"/>
      <c r="Q27" s="48">
        <f t="shared" si="15"/>
        <v>211724</v>
      </c>
      <c r="S27" s="1">
        <f t="shared" si="13"/>
        <v>211724</v>
      </c>
      <c r="T27" s="1">
        <v>0</v>
      </c>
      <c r="U27" s="48">
        <f t="shared" si="14"/>
        <v>211724</v>
      </c>
    </row>
    <row r="28" spans="1:24" x14ac:dyDescent="0.25">
      <c r="A28" t="s">
        <v>36</v>
      </c>
      <c r="B28" t="s">
        <v>191</v>
      </c>
      <c r="C28" t="s">
        <v>18</v>
      </c>
      <c r="D28" s="43" t="s">
        <v>39</v>
      </c>
      <c r="E28" s="51"/>
      <c r="F28" s="51">
        <v>172342.2537</v>
      </c>
      <c r="G28" s="51"/>
      <c r="H28" s="51"/>
      <c r="I28" s="51">
        <v>36922.888440808354</v>
      </c>
      <c r="J28" s="45"/>
      <c r="K28" s="45"/>
      <c r="L28" s="58"/>
      <c r="M28" s="45"/>
      <c r="N28" s="45"/>
      <c r="O28" s="45"/>
      <c r="P28" s="45"/>
      <c r="Q28" s="48">
        <f t="shared" si="15"/>
        <v>209265.14214080834</v>
      </c>
      <c r="S28" s="1">
        <f t="shared" si="13"/>
        <v>209265.14214080834</v>
      </c>
      <c r="T28" s="1">
        <v>0</v>
      </c>
      <c r="U28" s="48">
        <f t="shared" si="14"/>
        <v>209265.14214080834</v>
      </c>
    </row>
    <row r="29" spans="1:24" x14ac:dyDescent="0.25">
      <c r="A29" t="s">
        <v>34</v>
      </c>
      <c r="B29" t="s">
        <v>184</v>
      </c>
      <c r="C29" t="s">
        <v>18</v>
      </c>
      <c r="D29" s="43" t="s">
        <v>35</v>
      </c>
      <c r="E29" s="51"/>
      <c r="F29" s="51"/>
      <c r="G29" s="51"/>
      <c r="H29" s="51"/>
      <c r="I29" s="51">
        <v>86510.832278816029</v>
      </c>
      <c r="J29" s="51">
        <v>32748</v>
      </c>
      <c r="K29" s="51">
        <v>40426</v>
      </c>
      <c r="L29" s="51">
        <v>30025</v>
      </c>
      <c r="M29" s="51">
        <v>11895</v>
      </c>
      <c r="N29" s="72"/>
      <c r="O29" s="72"/>
      <c r="P29" s="72"/>
      <c r="Q29" s="48">
        <f t="shared" si="15"/>
        <v>201604.83227881603</v>
      </c>
      <c r="S29" s="1">
        <f t="shared" si="13"/>
        <v>201604.83227881603</v>
      </c>
      <c r="T29" s="1">
        <v>0</v>
      </c>
      <c r="U29" s="48">
        <f t="shared" si="14"/>
        <v>201604.83227881603</v>
      </c>
    </row>
    <row r="30" spans="1:24" x14ac:dyDescent="0.25">
      <c r="A30" t="s">
        <v>19</v>
      </c>
      <c r="B30" s="52" t="s">
        <v>216</v>
      </c>
      <c r="C30" s="52" t="s">
        <v>6</v>
      </c>
      <c r="D30" s="67" t="s">
        <v>213</v>
      </c>
      <c r="E30" s="59"/>
      <c r="F30" s="59"/>
      <c r="G30" s="59"/>
      <c r="H30" s="59"/>
      <c r="I30" s="59"/>
      <c r="M30" s="65" t="s">
        <v>218</v>
      </c>
      <c r="N30" s="71"/>
      <c r="O30" s="51">
        <v>60155.245662385321</v>
      </c>
      <c r="P30" s="51">
        <f>+_xlfn.XLOOKUP($D30,'TD EDP 2025'!$A:$A,'TD EDP 2025'!$M:$M,0,0,1)</f>
        <v>130948</v>
      </c>
      <c r="Q30" s="69">
        <f t="shared" si="15"/>
        <v>191103.24566238531</v>
      </c>
      <c r="S30" s="1">
        <f t="shared" si="13"/>
        <v>191103.24566238531</v>
      </c>
      <c r="T30" s="1">
        <v>0</v>
      </c>
      <c r="U30" s="48">
        <f t="shared" si="14"/>
        <v>191103.24566238531</v>
      </c>
    </row>
    <row r="31" spans="1:24" x14ac:dyDescent="0.25">
      <c r="A31" t="s">
        <v>19</v>
      </c>
      <c r="B31" s="52" t="s">
        <v>182</v>
      </c>
      <c r="C31" s="52" t="s">
        <v>6</v>
      </c>
      <c r="D31" s="43" t="s">
        <v>202</v>
      </c>
      <c r="E31" s="52"/>
      <c r="F31" s="52"/>
      <c r="G31" s="52"/>
      <c r="H31" s="52"/>
      <c r="I31" s="52"/>
      <c r="J31" s="68"/>
      <c r="K31" s="68"/>
      <c r="L31" s="51">
        <v>39998</v>
      </c>
      <c r="M31" s="73"/>
      <c r="N31" s="51">
        <v>102865</v>
      </c>
      <c r="O31" s="51">
        <v>27834</v>
      </c>
      <c r="P31" s="45"/>
      <c r="Q31" s="69">
        <f t="shared" si="15"/>
        <v>170697</v>
      </c>
      <c r="S31" s="1">
        <f t="shared" si="13"/>
        <v>170697</v>
      </c>
      <c r="T31" s="1">
        <v>0</v>
      </c>
      <c r="U31" s="48">
        <f t="shared" si="14"/>
        <v>170697</v>
      </c>
    </row>
    <row r="32" spans="1:24" x14ac:dyDescent="0.25">
      <c r="A32" t="s">
        <v>19</v>
      </c>
      <c r="B32" t="s">
        <v>170</v>
      </c>
      <c r="C32" t="s">
        <v>6</v>
      </c>
      <c r="D32" s="43" t="s">
        <v>11</v>
      </c>
      <c r="E32" s="51"/>
      <c r="F32" s="51"/>
      <c r="G32" s="51"/>
      <c r="H32" s="51"/>
      <c r="I32" s="51"/>
      <c r="J32" s="44"/>
      <c r="K32" s="44"/>
      <c r="L32" s="51"/>
      <c r="M32" s="51">
        <v>74220.917431192647</v>
      </c>
      <c r="N32" s="51">
        <v>59536</v>
      </c>
      <c r="O32" s="51">
        <v>14517</v>
      </c>
      <c r="P32" s="45"/>
      <c r="Q32" s="48">
        <f t="shared" si="15"/>
        <v>148273.91743119265</v>
      </c>
      <c r="R32" s="52"/>
      <c r="S32" s="1">
        <f t="shared" si="13"/>
        <v>148273.91743119265</v>
      </c>
      <c r="T32" s="1">
        <v>0</v>
      </c>
      <c r="U32" s="69">
        <f t="shared" si="14"/>
        <v>148273.91743119265</v>
      </c>
      <c r="V32" s="52"/>
      <c r="W32" s="52"/>
      <c r="X32" s="52"/>
    </row>
    <row r="33" spans="1:21" x14ac:dyDescent="0.25">
      <c r="A33" t="s">
        <v>22</v>
      </c>
      <c r="B33" t="s">
        <v>165</v>
      </c>
      <c r="C33" t="s">
        <v>18</v>
      </c>
      <c r="D33" s="43" t="s">
        <v>23</v>
      </c>
      <c r="E33" s="51"/>
      <c r="F33" s="51"/>
      <c r="G33" s="51">
        <v>33087.0645</v>
      </c>
      <c r="H33" s="51">
        <v>63253</v>
      </c>
      <c r="I33" s="51"/>
      <c r="J33" s="44"/>
      <c r="K33" s="51">
        <v>39293</v>
      </c>
      <c r="L33" s="58"/>
      <c r="M33" s="45"/>
      <c r="N33" s="45"/>
      <c r="O33" s="45"/>
      <c r="P33" s="45"/>
      <c r="Q33" s="48">
        <f t="shared" si="15"/>
        <v>135633.06450000001</v>
      </c>
      <c r="S33" s="1">
        <f t="shared" si="13"/>
        <v>135633.06450000001</v>
      </c>
      <c r="T33" s="1">
        <v>0</v>
      </c>
      <c r="U33" s="48">
        <f t="shared" si="14"/>
        <v>135633.06450000001</v>
      </c>
    </row>
    <row r="34" spans="1:21" x14ac:dyDescent="0.25">
      <c r="A34" t="s">
        <v>77</v>
      </c>
      <c r="B34" t="s">
        <v>182</v>
      </c>
      <c r="C34" t="s">
        <v>70</v>
      </c>
      <c r="D34" s="43" t="s">
        <v>78</v>
      </c>
      <c r="E34" s="51">
        <v>42403</v>
      </c>
      <c r="F34" s="51"/>
      <c r="G34" s="51">
        <v>59963</v>
      </c>
      <c r="H34" s="51"/>
      <c r="I34" s="51">
        <v>24935</v>
      </c>
      <c r="J34" s="44"/>
      <c r="K34" s="51">
        <v>5265</v>
      </c>
      <c r="L34" s="58"/>
      <c r="M34" s="45"/>
      <c r="N34" s="45"/>
      <c r="O34" s="45"/>
      <c r="P34" s="45"/>
      <c r="Q34" s="48">
        <f t="shared" si="15"/>
        <v>132566</v>
      </c>
      <c r="S34" s="1">
        <f t="shared" si="13"/>
        <v>132566</v>
      </c>
      <c r="T34" s="1">
        <v>0</v>
      </c>
      <c r="U34" s="48">
        <f t="shared" si="14"/>
        <v>132566</v>
      </c>
    </row>
    <row r="35" spans="1:21" x14ac:dyDescent="0.25">
      <c r="B35" s="64"/>
      <c r="C35" s="52" t="s">
        <v>18</v>
      </c>
      <c r="D35" s="64">
        <v>0</v>
      </c>
      <c r="E35" s="65"/>
      <c r="F35" s="65"/>
      <c r="G35" s="65"/>
      <c r="H35" s="65"/>
      <c r="I35" s="65"/>
      <c r="J35" s="65"/>
      <c r="K35" s="65"/>
      <c r="L35" s="65"/>
      <c r="M35" s="65"/>
      <c r="N35" s="51">
        <v>56620</v>
      </c>
      <c r="O35" s="51">
        <v>72828</v>
      </c>
      <c r="P35" s="76"/>
      <c r="Q35" s="69">
        <f t="shared" si="15"/>
        <v>129448</v>
      </c>
      <c r="S35" s="1">
        <f t="shared" si="13"/>
        <v>129448</v>
      </c>
      <c r="T35" s="1">
        <v>0</v>
      </c>
      <c r="U35" s="48">
        <f t="shared" si="14"/>
        <v>129448</v>
      </c>
    </row>
    <row r="36" spans="1:21" x14ac:dyDescent="0.25">
      <c r="A36" t="s">
        <v>19</v>
      </c>
      <c r="B36" s="52" t="s">
        <v>184</v>
      </c>
      <c r="C36" s="52" t="s">
        <v>96</v>
      </c>
      <c r="D36" s="67" t="s">
        <v>221</v>
      </c>
      <c r="E36" s="65"/>
      <c r="F36" s="65"/>
      <c r="G36" s="65"/>
      <c r="H36" s="65"/>
      <c r="I36" s="65"/>
      <c r="J36" s="65"/>
      <c r="K36" s="65"/>
      <c r="L36" s="65"/>
      <c r="M36" s="65"/>
      <c r="N36" s="65"/>
      <c r="O36" s="71"/>
      <c r="P36" s="51">
        <f>+_xlfn.XLOOKUP($D36,'TD EDP 2025'!$A:$A,'TD EDP 2025'!$M:$M,0,0,1)</f>
        <v>126310</v>
      </c>
      <c r="Q36" s="69">
        <f t="shared" si="15"/>
        <v>126310</v>
      </c>
      <c r="S36" s="1">
        <f t="shared" si="13"/>
        <v>126310</v>
      </c>
      <c r="T36" s="1">
        <v>0</v>
      </c>
      <c r="U36" s="48">
        <f t="shared" si="14"/>
        <v>126310</v>
      </c>
    </row>
    <row r="37" spans="1:21" x14ac:dyDescent="0.25">
      <c r="A37" t="s">
        <v>48</v>
      </c>
      <c r="B37" t="s">
        <v>165</v>
      </c>
      <c r="C37" t="s">
        <v>18</v>
      </c>
      <c r="D37" s="43" t="s">
        <v>45</v>
      </c>
      <c r="E37" s="51">
        <v>45558.454410000006</v>
      </c>
      <c r="F37" s="51">
        <v>9714.2210099999993</v>
      </c>
      <c r="G37" s="51">
        <v>16208.444911049999</v>
      </c>
      <c r="H37" s="51"/>
      <c r="I37" s="51">
        <v>11041.85</v>
      </c>
      <c r="J37" s="44"/>
      <c r="K37" s="51">
        <v>31139</v>
      </c>
      <c r="L37" s="58"/>
      <c r="M37" s="45"/>
      <c r="N37" s="45"/>
      <c r="O37" s="45"/>
      <c r="P37" s="45"/>
      <c r="Q37" s="48">
        <f t="shared" si="15"/>
        <v>113661.97033105002</v>
      </c>
      <c r="S37" s="1">
        <f t="shared" si="13"/>
        <v>113661.97033105002</v>
      </c>
      <c r="T37" s="1">
        <v>0</v>
      </c>
      <c r="U37" s="48">
        <f t="shared" si="14"/>
        <v>113661.97033105002</v>
      </c>
    </row>
    <row r="38" spans="1:21" x14ac:dyDescent="0.25">
      <c r="A38" t="s">
        <v>46</v>
      </c>
      <c r="B38" t="s">
        <v>165</v>
      </c>
      <c r="C38" t="s">
        <v>18</v>
      </c>
      <c r="D38" s="43" t="s">
        <v>47</v>
      </c>
      <c r="E38" s="51"/>
      <c r="F38" s="51"/>
      <c r="G38" s="51"/>
      <c r="H38" s="51"/>
      <c r="I38" s="51"/>
      <c r="J38" s="51">
        <v>101815.29999999999</v>
      </c>
      <c r="K38" s="45"/>
      <c r="L38" s="58"/>
      <c r="M38" s="45"/>
      <c r="N38" s="45"/>
      <c r="O38" s="45"/>
      <c r="P38" s="45"/>
      <c r="Q38" s="48">
        <f t="shared" si="15"/>
        <v>101815.29999999999</v>
      </c>
      <c r="S38" s="1">
        <f t="shared" si="13"/>
        <v>101815.29999999999</v>
      </c>
      <c r="T38" s="1">
        <v>0</v>
      </c>
      <c r="U38" s="48">
        <f t="shared" si="14"/>
        <v>101815.29999999999</v>
      </c>
    </row>
    <row r="39" spans="1:21" x14ac:dyDescent="0.25">
      <c r="A39" t="s">
        <v>40</v>
      </c>
      <c r="B39" t="s">
        <v>170</v>
      </c>
      <c r="C39" t="s">
        <v>18</v>
      </c>
      <c r="D39" s="43" t="s">
        <v>110</v>
      </c>
      <c r="E39" s="51">
        <v>92574.254700000005</v>
      </c>
      <c r="F39" s="58"/>
      <c r="G39" s="58"/>
      <c r="H39" s="58"/>
      <c r="I39" s="58"/>
      <c r="J39" s="45"/>
      <c r="K39" s="45"/>
      <c r="L39" s="58"/>
      <c r="M39" s="45"/>
      <c r="N39" s="45"/>
      <c r="O39" s="45"/>
      <c r="P39" s="45"/>
      <c r="Q39" s="48">
        <f t="shared" si="15"/>
        <v>92574.254700000005</v>
      </c>
      <c r="S39" s="1">
        <f t="shared" si="13"/>
        <v>92574.254700000005</v>
      </c>
      <c r="T39" s="1">
        <v>0</v>
      </c>
      <c r="U39" s="48">
        <f t="shared" si="14"/>
        <v>92574.254700000005</v>
      </c>
    </row>
    <row r="40" spans="1:21" x14ac:dyDescent="0.25">
      <c r="A40" t="s">
        <v>69</v>
      </c>
      <c r="B40" t="s">
        <v>165</v>
      </c>
      <c r="C40" t="s">
        <v>18</v>
      </c>
      <c r="D40" s="43" t="s">
        <v>49</v>
      </c>
      <c r="E40" s="51"/>
      <c r="F40" s="51">
        <v>34239.326580000001</v>
      </c>
      <c r="G40" s="51"/>
      <c r="H40" s="51"/>
      <c r="I40" s="51">
        <v>11728.699999999999</v>
      </c>
      <c r="J40" s="44"/>
      <c r="K40" s="51">
        <v>14008.699999999999</v>
      </c>
      <c r="L40" s="51"/>
      <c r="M40" s="71"/>
      <c r="N40" s="51">
        <v>32591</v>
      </c>
      <c r="O40" s="72"/>
      <c r="P40" s="72"/>
      <c r="Q40" s="48">
        <f t="shared" si="15"/>
        <v>92567.726579999988</v>
      </c>
      <c r="S40" s="1">
        <f t="shared" si="13"/>
        <v>92567.726579999988</v>
      </c>
      <c r="T40" s="1">
        <v>0</v>
      </c>
      <c r="U40" s="48">
        <f t="shared" si="14"/>
        <v>92567.726579999988</v>
      </c>
    </row>
    <row r="41" spans="1:21" x14ac:dyDescent="0.25">
      <c r="A41" t="s">
        <v>65</v>
      </c>
      <c r="B41" s="52" t="s">
        <v>19</v>
      </c>
      <c r="C41" t="s">
        <v>18</v>
      </c>
      <c r="D41" s="43" t="s">
        <v>66</v>
      </c>
      <c r="E41" s="51"/>
      <c r="F41" s="51"/>
      <c r="G41" s="51"/>
      <c r="H41" s="51">
        <v>87432</v>
      </c>
      <c r="I41" s="58"/>
      <c r="J41" s="45"/>
      <c r="K41" s="45"/>
      <c r="L41" s="58"/>
      <c r="M41" s="45"/>
      <c r="N41" s="45"/>
      <c r="O41" s="45"/>
      <c r="P41" s="45"/>
      <c r="Q41" s="48">
        <f t="shared" si="15"/>
        <v>87432</v>
      </c>
      <c r="S41" s="1">
        <f t="shared" si="13"/>
        <v>87432</v>
      </c>
      <c r="T41" s="1">
        <v>0</v>
      </c>
      <c r="U41" s="48">
        <f t="shared" si="14"/>
        <v>87432</v>
      </c>
    </row>
    <row r="42" spans="1:21" x14ac:dyDescent="0.25">
      <c r="A42" t="s">
        <v>75</v>
      </c>
      <c r="B42" t="s">
        <v>168</v>
      </c>
      <c r="C42" t="s">
        <v>70</v>
      </c>
      <c r="D42" s="43" t="s">
        <v>76</v>
      </c>
      <c r="E42" s="51"/>
      <c r="F42" s="51"/>
      <c r="G42" s="51"/>
      <c r="H42" s="51"/>
      <c r="I42" s="51"/>
      <c r="J42" s="51">
        <v>37715</v>
      </c>
      <c r="L42" s="51">
        <v>34543.453584905656</v>
      </c>
      <c r="M42" s="51">
        <v>14543</v>
      </c>
      <c r="N42" s="45"/>
      <c r="O42" s="45"/>
      <c r="P42" s="45"/>
      <c r="Q42" s="48">
        <f t="shared" si="15"/>
        <v>86801.453584905656</v>
      </c>
      <c r="S42" s="1">
        <f t="shared" si="13"/>
        <v>86801.453584905656</v>
      </c>
      <c r="T42" s="1">
        <v>0</v>
      </c>
      <c r="U42" s="48">
        <f t="shared" si="14"/>
        <v>86801.453584905656</v>
      </c>
    </row>
    <row r="43" spans="1:21" x14ac:dyDescent="0.25">
      <c r="A43" t="s">
        <v>107</v>
      </c>
      <c r="B43" t="s">
        <v>185</v>
      </c>
      <c r="C43" t="s">
        <v>96</v>
      </c>
      <c r="D43" s="43" t="s">
        <v>108</v>
      </c>
      <c r="E43" s="51"/>
      <c r="F43" s="51"/>
      <c r="G43" s="51"/>
      <c r="H43" s="51">
        <v>84225</v>
      </c>
      <c r="I43" s="58"/>
      <c r="J43" s="45"/>
      <c r="K43" s="47"/>
      <c r="L43" s="70"/>
      <c r="M43" s="47"/>
      <c r="N43" s="47"/>
      <c r="O43" s="47"/>
      <c r="P43" s="47"/>
      <c r="Q43" s="48">
        <f t="shared" si="15"/>
        <v>84225</v>
      </c>
      <c r="S43" s="1">
        <f t="shared" si="13"/>
        <v>84225</v>
      </c>
      <c r="T43" s="1">
        <v>0</v>
      </c>
      <c r="U43" s="48">
        <f t="shared" si="14"/>
        <v>84225</v>
      </c>
    </row>
    <row r="44" spans="1:21" x14ac:dyDescent="0.25">
      <c r="A44" t="s">
        <v>19</v>
      </c>
      <c r="B44" s="52" t="s">
        <v>191</v>
      </c>
      <c r="C44" s="52" t="s">
        <v>18</v>
      </c>
      <c r="D44" s="67" t="s">
        <v>220</v>
      </c>
      <c r="E44" s="65"/>
      <c r="F44" s="65"/>
      <c r="G44" s="65"/>
      <c r="H44" s="65"/>
      <c r="I44" s="65"/>
      <c r="J44" s="65"/>
      <c r="K44" s="65"/>
      <c r="L44" s="65"/>
      <c r="M44" s="65"/>
      <c r="N44" s="65"/>
      <c r="O44" s="73"/>
      <c r="P44" s="51">
        <f>+_xlfn.XLOOKUP($D44,'TD EDP 2025'!$A:$A,'TD EDP 2025'!$M:$M,0,0,1)</f>
        <v>78930</v>
      </c>
      <c r="Q44" s="69">
        <f t="shared" si="15"/>
        <v>78930</v>
      </c>
      <c r="S44" s="1">
        <f t="shared" si="13"/>
        <v>78930</v>
      </c>
      <c r="T44" s="1">
        <v>0</v>
      </c>
      <c r="U44" s="48">
        <f t="shared" si="14"/>
        <v>78930</v>
      </c>
    </row>
    <row r="45" spans="1:21" x14ac:dyDescent="0.25">
      <c r="A45" t="s">
        <v>58</v>
      </c>
      <c r="B45" s="50" t="s">
        <v>178</v>
      </c>
      <c r="C45" t="s">
        <v>18</v>
      </c>
      <c r="D45" s="43" t="s">
        <v>53</v>
      </c>
      <c r="E45" s="51"/>
      <c r="F45" s="51">
        <v>32910.655500000001</v>
      </c>
      <c r="G45" s="51"/>
      <c r="H45" s="51"/>
      <c r="I45" s="51"/>
      <c r="J45" s="44"/>
      <c r="K45" s="44"/>
      <c r="L45" s="59"/>
      <c r="M45" s="51">
        <v>40113</v>
      </c>
      <c r="N45" s="72"/>
      <c r="O45" s="72"/>
      <c r="P45" s="72"/>
      <c r="Q45" s="48">
        <f t="shared" si="15"/>
        <v>73023.655499999993</v>
      </c>
      <c r="S45" s="1">
        <f t="shared" si="13"/>
        <v>73023.655499999993</v>
      </c>
      <c r="T45" s="1">
        <v>0</v>
      </c>
      <c r="U45" s="48">
        <f t="shared" si="14"/>
        <v>73023.655499999993</v>
      </c>
    </row>
    <row r="46" spans="1:21" x14ac:dyDescent="0.25">
      <c r="A46" t="s">
        <v>19</v>
      </c>
      <c r="B46" s="52" t="s">
        <v>184</v>
      </c>
      <c r="C46" s="52" t="s">
        <v>6</v>
      </c>
      <c r="D46" s="43" t="s">
        <v>204</v>
      </c>
      <c r="L46" s="59"/>
      <c r="N46" s="51">
        <v>33533</v>
      </c>
      <c r="O46" s="51">
        <v>36818</v>
      </c>
      <c r="P46" s="76"/>
      <c r="Q46" s="69">
        <f t="shared" si="15"/>
        <v>70351</v>
      </c>
      <c r="S46" s="1">
        <f t="shared" si="13"/>
        <v>70351</v>
      </c>
      <c r="T46" s="1">
        <v>0</v>
      </c>
      <c r="U46" s="69">
        <f t="shared" si="14"/>
        <v>70351</v>
      </c>
    </row>
    <row r="47" spans="1:21" x14ac:dyDescent="0.25">
      <c r="A47" t="s">
        <v>36</v>
      </c>
      <c r="B47" t="s">
        <v>191</v>
      </c>
      <c r="C47" t="s">
        <v>62</v>
      </c>
      <c r="D47" s="43" t="s">
        <v>37</v>
      </c>
      <c r="E47" s="51"/>
      <c r="F47" s="51">
        <v>21682</v>
      </c>
      <c r="G47" s="51">
        <v>45478</v>
      </c>
      <c r="H47" s="58"/>
      <c r="I47" s="58"/>
      <c r="J47" s="45"/>
      <c r="K47" s="47"/>
      <c r="L47" s="70"/>
      <c r="M47" s="47"/>
      <c r="N47" s="47"/>
      <c r="O47" s="47"/>
      <c r="P47" s="47"/>
      <c r="Q47" s="48">
        <f t="shared" si="15"/>
        <v>67160</v>
      </c>
      <c r="S47" s="1">
        <f t="shared" ref="S47:S78" si="16">+SUM(E47:P47)</f>
        <v>67160</v>
      </c>
      <c r="T47" s="1">
        <v>0</v>
      </c>
      <c r="U47" s="48">
        <f t="shared" ref="U47:U78" si="17">+S47+T47</f>
        <v>67160</v>
      </c>
    </row>
    <row r="48" spans="1:21" x14ac:dyDescent="0.25">
      <c r="A48" t="s">
        <v>97</v>
      </c>
      <c r="B48" t="s">
        <v>185</v>
      </c>
      <c r="C48" t="s">
        <v>96</v>
      </c>
      <c r="D48" s="43" t="s">
        <v>98</v>
      </c>
      <c r="E48" s="51"/>
      <c r="F48" s="51">
        <v>66652</v>
      </c>
      <c r="G48" s="58"/>
      <c r="H48" s="58"/>
      <c r="I48" s="58"/>
      <c r="J48" s="45"/>
      <c r="K48" s="47"/>
      <c r="L48" s="70"/>
      <c r="M48" s="47"/>
      <c r="N48" s="47"/>
      <c r="O48" s="47"/>
      <c r="P48" s="47"/>
      <c r="Q48" s="48">
        <f t="shared" si="15"/>
        <v>66652</v>
      </c>
      <c r="S48" s="1">
        <f t="shared" si="16"/>
        <v>66652</v>
      </c>
      <c r="T48" s="1">
        <v>0</v>
      </c>
      <c r="U48" s="48">
        <f t="shared" si="17"/>
        <v>66652</v>
      </c>
    </row>
    <row r="49" spans="1:24" x14ac:dyDescent="0.25">
      <c r="A49" t="s">
        <v>19</v>
      </c>
      <c r="B49" s="52" t="s">
        <v>192</v>
      </c>
      <c r="C49" s="52" t="s">
        <v>70</v>
      </c>
      <c r="D49" s="67" t="s">
        <v>199</v>
      </c>
      <c r="E49" s="52"/>
      <c r="F49" s="52"/>
      <c r="G49" s="52"/>
      <c r="H49" s="52"/>
      <c r="I49" s="52"/>
      <c r="J49" s="68"/>
      <c r="K49" s="44"/>
      <c r="L49" s="51"/>
      <c r="M49" s="73" t="s">
        <v>218</v>
      </c>
      <c r="N49" s="73"/>
      <c r="O49" s="73"/>
      <c r="P49" s="51">
        <f>+_xlfn.XLOOKUP($D49,'TD EDP 2025'!$A:$A,'TD EDP 2025'!$M:$M,0,0,1)</f>
        <v>63042</v>
      </c>
      <c r="Q49" s="69">
        <f t="shared" si="15"/>
        <v>63042</v>
      </c>
      <c r="R49" s="52"/>
      <c r="S49" s="1">
        <f t="shared" si="16"/>
        <v>63042</v>
      </c>
      <c r="T49" s="1">
        <v>0</v>
      </c>
      <c r="U49" s="69">
        <f t="shared" si="17"/>
        <v>63042</v>
      </c>
      <c r="V49" s="52"/>
      <c r="W49" s="52"/>
      <c r="X49" s="52"/>
    </row>
    <row r="50" spans="1:24" x14ac:dyDescent="0.25">
      <c r="A50" t="s">
        <v>9</v>
      </c>
      <c r="B50" t="s">
        <v>192</v>
      </c>
      <c r="C50" t="s">
        <v>6</v>
      </c>
      <c r="D50" s="43" t="s">
        <v>10</v>
      </c>
      <c r="E50" s="51">
        <v>28019</v>
      </c>
      <c r="F50" s="51">
        <v>34759</v>
      </c>
      <c r="G50" s="58"/>
      <c r="H50" s="58"/>
      <c r="I50" s="58"/>
      <c r="J50" s="45"/>
      <c r="K50" s="45"/>
      <c r="L50" s="58"/>
      <c r="M50" s="45"/>
      <c r="N50" s="45"/>
      <c r="O50" s="45"/>
      <c r="P50" s="45"/>
      <c r="Q50" s="48">
        <f t="shared" si="15"/>
        <v>62778</v>
      </c>
      <c r="S50" s="1">
        <f t="shared" si="16"/>
        <v>62778</v>
      </c>
      <c r="T50" s="1">
        <v>0</v>
      </c>
      <c r="U50" s="48">
        <f t="shared" si="17"/>
        <v>62778</v>
      </c>
    </row>
    <row r="51" spans="1:24" x14ac:dyDescent="0.25">
      <c r="A51" t="s">
        <v>19</v>
      </c>
      <c r="B51" t="s">
        <v>165</v>
      </c>
      <c r="C51" t="s">
        <v>18</v>
      </c>
      <c r="D51" s="43" t="s">
        <v>24</v>
      </c>
      <c r="E51" s="51"/>
      <c r="F51" s="51"/>
      <c r="G51" s="51"/>
      <c r="H51" s="51"/>
      <c r="I51" s="51"/>
      <c r="J51" s="44"/>
      <c r="K51" s="44"/>
      <c r="L51" s="51">
        <v>62417</v>
      </c>
      <c r="M51" s="45"/>
      <c r="N51" s="45"/>
      <c r="O51" s="45"/>
      <c r="P51" s="45"/>
      <c r="Q51" s="48">
        <f t="shared" si="15"/>
        <v>62417</v>
      </c>
      <c r="S51" s="1">
        <f t="shared" si="16"/>
        <v>62417</v>
      </c>
      <c r="T51" s="1">
        <v>0</v>
      </c>
      <c r="U51" s="48">
        <f t="shared" si="17"/>
        <v>62417</v>
      </c>
    </row>
    <row r="52" spans="1:24" x14ac:dyDescent="0.25">
      <c r="A52" t="s">
        <v>92</v>
      </c>
      <c r="B52" t="s">
        <v>19</v>
      </c>
      <c r="C52" t="s">
        <v>70</v>
      </c>
      <c r="D52" s="43" t="s">
        <v>93</v>
      </c>
      <c r="E52" s="51">
        <v>34109</v>
      </c>
      <c r="F52" s="51"/>
      <c r="G52" s="51"/>
      <c r="H52" s="51"/>
      <c r="I52" s="51"/>
      <c r="J52" s="51">
        <v>24147</v>
      </c>
      <c r="K52" s="45"/>
      <c r="L52" s="58"/>
      <c r="M52" s="45"/>
      <c r="N52" s="45"/>
      <c r="O52" s="45"/>
      <c r="P52" s="45"/>
      <c r="Q52" s="48">
        <f t="shared" si="15"/>
        <v>58256</v>
      </c>
      <c r="S52" s="1">
        <f t="shared" si="16"/>
        <v>58256</v>
      </c>
      <c r="T52" s="1">
        <v>0</v>
      </c>
      <c r="U52" s="48">
        <f t="shared" si="17"/>
        <v>58256</v>
      </c>
    </row>
    <row r="53" spans="1:24" x14ac:dyDescent="0.25">
      <c r="A53" t="s">
        <v>44</v>
      </c>
      <c r="B53" t="s">
        <v>168</v>
      </c>
      <c r="C53" t="s">
        <v>18</v>
      </c>
      <c r="D53" s="43" t="s">
        <v>41</v>
      </c>
      <c r="E53" s="51"/>
      <c r="F53" s="51">
        <v>36195.183539999998</v>
      </c>
      <c r="G53" s="51"/>
      <c r="H53" s="51"/>
      <c r="I53" s="51">
        <v>21246.75</v>
      </c>
      <c r="J53" s="45"/>
      <c r="K53" s="45"/>
      <c r="L53" s="58"/>
      <c r="M53" s="45"/>
      <c r="N53" s="45"/>
      <c r="O53" s="45"/>
      <c r="P53" s="45"/>
      <c r="Q53" s="48">
        <f t="shared" ref="Q53:Q75" si="18">+SUM(E53:P53)</f>
        <v>57441.933539999998</v>
      </c>
      <c r="S53" s="1">
        <f t="shared" si="16"/>
        <v>57441.933539999998</v>
      </c>
      <c r="T53" s="1">
        <v>0</v>
      </c>
      <c r="U53" s="48">
        <f t="shared" si="17"/>
        <v>57441.933539999998</v>
      </c>
    </row>
    <row r="54" spans="1:24" x14ac:dyDescent="0.25">
      <c r="A54" t="s">
        <v>12</v>
      </c>
      <c r="B54" t="s">
        <v>170</v>
      </c>
      <c r="C54" t="s">
        <v>6</v>
      </c>
      <c r="D54" s="43" t="s">
        <v>13</v>
      </c>
      <c r="E54" s="51"/>
      <c r="F54" s="51"/>
      <c r="G54" s="51">
        <v>23461</v>
      </c>
      <c r="H54" s="51">
        <v>21327.41</v>
      </c>
      <c r="I54" s="51"/>
      <c r="J54" s="51">
        <v>11785</v>
      </c>
      <c r="K54" s="45"/>
      <c r="L54" s="58"/>
      <c r="M54" s="45"/>
      <c r="N54" s="45"/>
      <c r="O54" s="45"/>
      <c r="P54" s="45"/>
      <c r="Q54" s="48">
        <f t="shared" si="18"/>
        <v>56573.41</v>
      </c>
      <c r="S54" s="1">
        <f t="shared" si="16"/>
        <v>56573.41</v>
      </c>
      <c r="T54" s="1">
        <v>0</v>
      </c>
      <c r="U54" s="48">
        <f t="shared" si="17"/>
        <v>56573.41</v>
      </c>
    </row>
    <row r="55" spans="1:24" x14ac:dyDescent="0.25">
      <c r="A55" t="s">
        <v>19</v>
      </c>
      <c r="B55" s="52" t="s">
        <v>19</v>
      </c>
      <c r="C55" s="52" t="s">
        <v>96</v>
      </c>
      <c r="D55" s="67" t="s">
        <v>214</v>
      </c>
      <c r="E55" s="65"/>
      <c r="F55" s="65"/>
      <c r="G55" s="65"/>
      <c r="H55" s="65"/>
      <c r="I55" s="65"/>
      <c r="J55" s="65"/>
      <c r="K55" s="65"/>
      <c r="L55" s="65"/>
      <c r="M55" t="s">
        <v>218</v>
      </c>
      <c r="N55" s="73" t="s">
        <v>218</v>
      </c>
      <c r="O55" s="73"/>
      <c r="P55" s="51">
        <f>+_xlfn.XLOOKUP($D55,'TD EDP 2025'!$A:$A,'TD EDP 2025'!$M:$M,0,0,1)</f>
        <v>52075</v>
      </c>
      <c r="Q55" s="69">
        <f t="shared" si="18"/>
        <v>52075</v>
      </c>
      <c r="S55" s="1">
        <f t="shared" si="16"/>
        <v>52075</v>
      </c>
      <c r="T55" s="1">
        <v>0</v>
      </c>
      <c r="U55" s="48">
        <f t="shared" si="17"/>
        <v>52075</v>
      </c>
    </row>
    <row r="56" spans="1:24" x14ac:dyDescent="0.25">
      <c r="A56" t="s">
        <v>38</v>
      </c>
      <c r="B56" t="s">
        <v>191</v>
      </c>
      <c r="C56" t="s">
        <v>18</v>
      </c>
      <c r="D56" s="43" t="s">
        <v>37</v>
      </c>
      <c r="E56" s="51">
        <v>51955.563600000001</v>
      </c>
      <c r="F56" s="58"/>
      <c r="G56" s="58"/>
      <c r="H56" s="58"/>
      <c r="I56" s="58"/>
      <c r="J56" s="45"/>
      <c r="K56" s="45"/>
      <c r="L56" s="58"/>
      <c r="M56" s="45"/>
      <c r="N56" s="45"/>
      <c r="O56" s="45"/>
      <c r="P56" s="45"/>
      <c r="Q56" s="48">
        <f t="shared" si="18"/>
        <v>51955.563600000001</v>
      </c>
      <c r="S56" s="1">
        <f t="shared" si="16"/>
        <v>51955.563600000001</v>
      </c>
      <c r="T56" s="1">
        <v>0</v>
      </c>
      <c r="U56" s="48">
        <f t="shared" si="17"/>
        <v>51955.563600000001</v>
      </c>
    </row>
    <row r="57" spans="1:24" x14ac:dyDescent="0.25">
      <c r="A57" t="s">
        <v>29</v>
      </c>
      <c r="B57" t="s">
        <v>165</v>
      </c>
      <c r="C57" t="s">
        <v>18</v>
      </c>
      <c r="D57" s="43" t="s">
        <v>28</v>
      </c>
      <c r="E57" s="51"/>
      <c r="F57" s="51"/>
      <c r="G57" s="51">
        <v>31079.115000000002</v>
      </c>
      <c r="H57" s="51"/>
      <c r="I57" s="51"/>
      <c r="J57" s="51">
        <v>17640</v>
      </c>
      <c r="K57" s="45"/>
      <c r="L57" s="58"/>
      <c r="M57" s="45"/>
      <c r="N57" s="45"/>
      <c r="O57" s="45"/>
      <c r="P57" s="45"/>
      <c r="Q57" s="48">
        <f t="shared" si="18"/>
        <v>48719.115000000005</v>
      </c>
      <c r="S57" s="1">
        <f t="shared" si="16"/>
        <v>48719.115000000005</v>
      </c>
      <c r="T57" s="1">
        <v>0</v>
      </c>
      <c r="U57" s="48">
        <f t="shared" si="17"/>
        <v>48719.115000000005</v>
      </c>
    </row>
    <row r="58" spans="1:24" x14ac:dyDescent="0.25">
      <c r="A58" t="s">
        <v>84</v>
      </c>
      <c r="B58" t="s">
        <v>182</v>
      </c>
      <c r="C58" t="s">
        <v>70</v>
      </c>
      <c r="D58" s="43" t="s">
        <v>111</v>
      </c>
      <c r="E58" s="51"/>
      <c r="F58" s="51"/>
      <c r="G58" s="51"/>
      <c r="H58" s="51"/>
      <c r="I58" s="51">
        <v>48608</v>
      </c>
      <c r="J58" s="45"/>
      <c r="K58" s="45"/>
      <c r="L58" s="58"/>
      <c r="M58" s="45"/>
      <c r="N58" s="45"/>
      <c r="O58" s="45"/>
      <c r="P58" s="45"/>
      <c r="Q58" s="48">
        <f t="shared" si="18"/>
        <v>48608</v>
      </c>
      <c r="S58" s="1">
        <f t="shared" si="16"/>
        <v>48608</v>
      </c>
      <c r="T58" s="1">
        <v>0</v>
      </c>
      <c r="U58" s="48">
        <f t="shared" si="17"/>
        <v>48608</v>
      </c>
    </row>
    <row r="59" spans="1:24" x14ac:dyDescent="0.25">
      <c r="A59" t="s">
        <v>101</v>
      </c>
      <c r="B59" t="s">
        <v>184</v>
      </c>
      <c r="C59" t="s">
        <v>96</v>
      </c>
      <c r="D59" s="43" t="s">
        <v>102</v>
      </c>
      <c r="E59" s="51"/>
      <c r="F59" s="51"/>
      <c r="G59" s="51"/>
      <c r="H59" s="51"/>
      <c r="I59" s="51"/>
      <c r="J59" s="51">
        <v>47800</v>
      </c>
      <c r="K59" s="47"/>
      <c r="L59" s="70"/>
      <c r="M59" s="47"/>
      <c r="N59" s="47"/>
      <c r="O59" s="47"/>
      <c r="P59" s="47"/>
      <c r="Q59" s="48">
        <f t="shared" si="18"/>
        <v>47800</v>
      </c>
      <c r="S59" s="1">
        <f t="shared" si="16"/>
        <v>47800</v>
      </c>
      <c r="T59" s="1">
        <v>0</v>
      </c>
      <c r="U59" s="48">
        <f t="shared" si="17"/>
        <v>47800</v>
      </c>
    </row>
    <row r="60" spans="1:24" x14ac:dyDescent="0.25">
      <c r="A60" t="s">
        <v>25</v>
      </c>
      <c r="B60" t="s">
        <v>165</v>
      </c>
      <c r="C60" t="s">
        <v>18</v>
      </c>
      <c r="D60" s="43" t="s">
        <v>21</v>
      </c>
      <c r="E60" s="51"/>
      <c r="F60" s="51">
        <v>12823</v>
      </c>
      <c r="G60" s="51">
        <v>8110.6632000000009</v>
      </c>
      <c r="H60" s="51">
        <v>11158</v>
      </c>
      <c r="I60" s="51">
        <v>13510.286848495462</v>
      </c>
      <c r="J60" s="45"/>
      <c r="K60" s="45"/>
      <c r="L60" s="58"/>
      <c r="M60" s="45"/>
      <c r="N60" s="45"/>
      <c r="O60" s="45"/>
      <c r="P60" s="45"/>
      <c r="Q60" s="48">
        <f t="shared" si="18"/>
        <v>45601.950048495462</v>
      </c>
      <c r="S60" s="1">
        <f t="shared" si="16"/>
        <v>45601.950048495462</v>
      </c>
      <c r="T60" s="1">
        <v>0</v>
      </c>
      <c r="U60" s="48">
        <f t="shared" si="17"/>
        <v>45601.950048495462</v>
      </c>
    </row>
    <row r="61" spans="1:24" x14ac:dyDescent="0.25">
      <c r="A61" t="s">
        <v>19</v>
      </c>
      <c r="B61" s="52" t="s">
        <v>185</v>
      </c>
      <c r="C61" s="52" t="s">
        <v>96</v>
      </c>
      <c r="D61" s="43" t="s">
        <v>219</v>
      </c>
      <c r="E61" s="65"/>
      <c r="F61" s="65"/>
      <c r="G61" s="65"/>
      <c r="H61" s="65"/>
      <c r="I61" s="65"/>
      <c r="J61" s="65"/>
      <c r="K61" s="65"/>
      <c r="L61" s="65"/>
      <c r="N61" s="51">
        <v>44465</v>
      </c>
      <c r="O61" s="45"/>
      <c r="P61" s="45"/>
      <c r="Q61" s="69">
        <f t="shared" si="18"/>
        <v>44465</v>
      </c>
      <c r="S61" s="1">
        <f t="shared" si="16"/>
        <v>44465</v>
      </c>
      <c r="T61" s="1">
        <v>0</v>
      </c>
      <c r="U61" s="48">
        <f t="shared" si="17"/>
        <v>44465</v>
      </c>
    </row>
    <row r="62" spans="1:24" x14ac:dyDescent="0.25">
      <c r="A62" t="s">
        <v>16</v>
      </c>
      <c r="B62" t="s">
        <v>192</v>
      </c>
      <c r="C62" t="s">
        <v>6</v>
      </c>
      <c r="D62" s="43" t="s">
        <v>17</v>
      </c>
      <c r="E62" s="51">
        <v>43045</v>
      </c>
      <c r="F62" s="58"/>
      <c r="G62" s="58"/>
      <c r="H62" s="58"/>
      <c r="I62" s="58"/>
      <c r="J62" s="45"/>
      <c r="K62" s="45"/>
      <c r="L62" s="58"/>
      <c r="M62" s="45"/>
      <c r="N62" s="45"/>
      <c r="O62" s="45"/>
      <c r="P62" s="45"/>
      <c r="Q62" s="48">
        <f t="shared" si="18"/>
        <v>43045</v>
      </c>
      <c r="S62" s="1">
        <f t="shared" si="16"/>
        <v>43045</v>
      </c>
      <c r="T62" s="1">
        <v>0</v>
      </c>
      <c r="U62" s="48">
        <f t="shared" si="17"/>
        <v>43045</v>
      </c>
    </row>
    <row r="63" spans="1:24" x14ac:dyDescent="0.25">
      <c r="A63" t="s">
        <v>19</v>
      </c>
      <c r="B63" s="52" t="s">
        <v>165</v>
      </c>
      <c r="C63" s="52" t="s">
        <v>18</v>
      </c>
      <c r="D63" s="67" t="s">
        <v>222</v>
      </c>
      <c r="E63" s="65"/>
      <c r="F63" s="65"/>
      <c r="G63" s="65"/>
      <c r="H63" s="65"/>
      <c r="I63" s="65"/>
      <c r="J63" s="65"/>
      <c r="K63" s="65"/>
      <c r="L63" s="65"/>
      <c r="N63" s="65"/>
      <c r="O63" s="51">
        <v>33407</v>
      </c>
      <c r="P63" s="51">
        <f>+_xlfn.XLOOKUP($D63,'TD EDP 2025'!$A:$A,'TD EDP 2025'!$M:$M,0,0,1)</f>
        <v>7660</v>
      </c>
      <c r="Q63" s="69">
        <f t="shared" si="18"/>
        <v>41067</v>
      </c>
      <c r="S63" s="1">
        <f t="shared" si="16"/>
        <v>41067</v>
      </c>
      <c r="T63" s="1">
        <v>0</v>
      </c>
      <c r="U63" s="48">
        <f t="shared" si="17"/>
        <v>41067</v>
      </c>
    </row>
    <row r="64" spans="1:24" x14ac:dyDescent="0.25">
      <c r="A64" t="s">
        <v>27</v>
      </c>
      <c r="B64" t="s">
        <v>165</v>
      </c>
      <c r="C64" t="s">
        <v>18</v>
      </c>
      <c r="D64" s="43" t="s">
        <v>33</v>
      </c>
      <c r="E64" s="51"/>
      <c r="F64" s="51"/>
      <c r="G64" s="51">
        <v>38176.983</v>
      </c>
      <c r="H64" s="58"/>
      <c r="I64" s="58"/>
      <c r="J64" s="45"/>
      <c r="K64" s="45"/>
      <c r="L64" s="58"/>
      <c r="M64" s="45"/>
      <c r="N64" s="45"/>
      <c r="O64" s="45"/>
      <c r="P64" s="45"/>
      <c r="Q64" s="48">
        <f t="shared" si="18"/>
        <v>38176.983</v>
      </c>
      <c r="S64" s="1">
        <f t="shared" si="16"/>
        <v>38176.983</v>
      </c>
      <c r="T64" s="1">
        <v>0</v>
      </c>
      <c r="U64" s="48">
        <f t="shared" si="17"/>
        <v>38176.983</v>
      </c>
    </row>
    <row r="65" spans="1:24" x14ac:dyDescent="0.25">
      <c r="A65" t="s">
        <v>54</v>
      </c>
      <c r="B65" s="50" t="s">
        <v>178</v>
      </c>
      <c r="C65" t="s">
        <v>18</v>
      </c>
      <c r="D65" s="43" t="s">
        <v>55</v>
      </c>
      <c r="E65" s="51"/>
      <c r="F65" s="51">
        <v>30254.143500000002</v>
      </c>
      <c r="G65" s="51"/>
      <c r="H65" s="51"/>
      <c r="I65" s="51"/>
      <c r="J65" s="44"/>
      <c r="K65" s="44"/>
      <c r="L65" s="59"/>
      <c r="M65" s="51">
        <v>7263</v>
      </c>
      <c r="N65" s="72"/>
      <c r="O65" s="72"/>
      <c r="P65" s="72"/>
      <c r="Q65" s="48">
        <f t="shared" si="18"/>
        <v>37517.143500000006</v>
      </c>
      <c r="S65" s="1">
        <f t="shared" si="16"/>
        <v>37517.143500000006</v>
      </c>
      <c r="T65" s="1">
        <v>0</v>
      </c>
      <c r="U65" s="48">
        <f t="shared" si="17"/>
        <v>37517.143500000006</v>
      </c>
    </row>
    <row r="66" spans="1:24" x14ac:dyDescent="0.25">
      <c r="A66" t="s">
        <v>19</v>
      </c>
      <c r="B66" t="s">
        <v>192</v>
      </c>
      <c r="C66" t="s">
        <v>70</v>
      </c>
      <c r="D66" s="43" t="s">
        <v>73</v>
      </c>
      <c r="E66" s="51"/>
      <c r="F66" s="51"/>
      <c r="G66" s="51"/>
      <c r="H66" s="51"/>
      <c r="I66" s="51"/>
      <c r="J66" s="44"/>
      <c r="L66" s="51">
        <v>36720</v>
      </c>
      <c r="M66" s="45"/>
      <c r="N66" s="45"/>
      <c r="O66" s="45"/>
      <c r="P66" s="45"/>
      <c r="Q66" s="48">
        <f t="shared" si="18"/>
        <v>36720</v>
      </c>
      <c r="S66" s="1">
        <f t="shared" si="16"/>
        <v>36720</v>
      </c>
      <c r="T66" s="1">
        <v>0</v>
      </c>
      <c r="U66" s="48">
        <f t="shared" si="17"/>
        <v>36720</v>
      </c>
    </row>
    <row r="67" spans="1:24" x14ac:dyDescent="0.25">
      <c r="A67" t="s">
        <v>42</v>
      </c>
      <c r="B67" t="s">
        <v>165</v>
      </c>
      <c r="C67" t="s">
        <v>18</v>
      </c>
      <c r="D67" s="43" t="s">
        <v>43</v>
      </c>
      <c r="E67" s="51"/>
      <c r="F67" s="51">
        <v>36147.023883000002</v>
      </c>
      <c r="G67" s="58"/>
      <c r="H67" s="58"/>
      <c r="I67" s="58"/>
      <c r="J67" s="45"/>
      <c r="K67" s="45"/>
      <c r="L67" s="58"/>
      <c r="M67" s="45"/>
      <c r="N67" s="45"/>
      <c r="O67" s="45"/>
      <c r="P67" s="45"/>
      <c r="Q67" s="48">
        <f t="shared" si="18"/>
        <v>36147.023883000002</v>
      </c>
      <c r="S67" s="1">
        <f t="shared" si="16"/>
        <v>36147.023883000002</v>
      </c>
      <c r="T67" s="1">
        <v>0</v>
      </c>
      <c r="U67" s="48">
        <f t="shared" si="17"/>
        <v>36147.023883000002</v>
      </c>
    </row>
    <row r="68" spans="1:24" x14ac:dyDescent="0.25">
      <c r="A68" t="s">
        <v>63</v>
      </c>
      <c r="B68" s="50" t="s">
        <v>178</v>
      </c>
      <c r="C68" t="s">
        <v>18</v>
      </c>
      <c r="D68" s="43" t="s">
        <v>64</v>
      </c>
      <c r="E68" s="51"/>
      <c r="F68" s="51">
        <v>35295.290100000006</v>
      </c>
      <c r="G68" s="58"/>
      <c r="H68" s="58"/>
      <c r="I68" s="58"/>
      <c r="J68" s="45"/>
      <c r="K68" s="45"/>
      <c r="L68" s="58"/>
      <c r="M68" s="45"/>
      <c r="N68" s="45"/>
      <c r="O68" s="45"/>
      <c r="P68" s="45"/>
      <c r="Q68" s="48">
        <f t="shared" si="18"/>
        <v>35295.290100000006</v>
      </c>
      <c r="S68" s="1">
        <f t="shared" si="16"/>
        <v>35295.290100000006</v>
      </c>
      <c r="T68" s="1">
        <v>0</v>
      </c>
      <c r="U68" s="48">
        <f t="shared" si="17"/>
        <v>35295.290100000006</v>
      </c>
    </row>
    <row r="69" spans="1:24" x14ac:dyDescent="0.25">
      <c r="A69" t="s">
        <v>19</v>
      </c>
      <c r="B69" s="52" t="s">
        <v>192</v>
      </c>
      <c r="C69" s="52" t="s">
        <v>70</v>
      </c>
      <c r="D69" s="43" t="s">
        <v>207</v>
      </c>
      <c r="L69" s="59"/>
      <c r="M69" t="s">
        <v>218</v>
      </c>
      <c r="N69" s="51">
        <v>34388</v>
      </c>
      <c r="O69" s="73"/>
      <c r="P69" s="71"/>
      <c r="Q69" s="69">
        <f t="shared" si="18"/>
        <v>34388</v>
      </c>
      <c r="S69" s="1">
        <f t="shared" si="16"/>
        <v>34388</v>
      </c>
      <c r="T69" s="1">
        <v>0</v>
      </c>
      <c r="U69" s="69">
        <f t="shared" si="17"/>
        <v>34388</v>
      </c>
    </row>
    <row r="70" spans="1:24" x14ac:dyDescent="0.25">
      <c r="A70" t="s">
        <v>19</v>
      </c>
      <c r="B70" t="s">
        <v>19</v>
      </c>
      <c r="C70" s="52" t="s">
        <v>70</v>
      </c>
      <c r="D70" s="43" t="s">
        <v>197</v>
      </c>
      <c r="E70" s="68"/>
      <c r="F70" s="68"/>
      <c r="G70" s="68"/>
      <c r="H70" s="68"/>
      <c r="I70" s="68"/>
      <c r="J70" s="68"/>
      <c r="K70" s="68"/>
      <c r="L70" s="51"/>
      <c r="M70" s="46" t="s">
        <v>218</v>
      </c>
      <c r="N70" s="51">
        <v>33708</v>
      </c>
      <c r="O70" s="86"/>
      <c r="P70" s="87"/>
      <c r="Q70" s="69">
        <f t="shared" si="18"/>
        <v>33708</v>
      </c>
      <c r="R70" s="52"/>
      <c r="S70" s="1">
        <f t="shared" si="16"/>
        <v>33708</v>
      </c>
      <c r="T70" s="1">
        <v>0</v>
      </c>
      <c r="U70" s="69">
        <f t="shared" si="17"/>
        <v>33708</v>
      </c>
      <c r="V70" s="52"/>
      <c r="W70" s="52"/>
      <c r="X70" s="52"/>
    </row>
    <row r="71" spans="1:24" x14ac:dyDescent="0.25">
      <c r="A71" t="s">
        <v>19</v>
      </c>
      <c r="B71" s="52" t="s">
        <v>191</v>
      </c>
      <c r="C71" s="52" t="s">
        <v>18</v>
      </c>
      <c r="D71" s="67" t="s">
        <v>203</v>
      </c>
      <c r="L71" s="59"/>
      <c r="M71" t="s">
        <v>218</v>
      </c>
      <c r="N71" s="73"/>
      <c r="O71" s="73"/>
      <c r="P71" s="51">
        <f>+_xlfn.XLOOKUP($D71,'TD EDP 2025'!$A:$A,'TD EDP 2025'!$M:$M,0,0,1)</f>
        <v>33550</v>
      </c>
      <c r="Q71" s="69">
        <f t="shared" si="18"/>
        <v>33550</v>
      </c>
      <c r="S71" s="1">
        <f t="shared" si="16"/>
        <v>33550</v>
      </c>
      <c r="T71" s="1">
        <v>0</v>
      </c>
      <c r="U71" s="69">
        <f t="shared" si="17"/>
        <v>33550</v>
      </c>
    </row>
    <row r="72" spans="1:24" s="52" customFormat="1" x14ac:dyDescent="0.25">
      <c r="A72" t="s">
        <v>103</v>
      </c>
      <c r="B72" t="s">
        <v>182</v>
      </c>
      <c r="C72" t="s">
        <v>96</v>
      </c>
      <c r="D72" s="43" t="s">
        <v>104</v>
      </c>
      <c r="E72" s="51"/>
      <c r="F72" s="51"/>
      <c r="G72" s="51">
        <v>28545</v>
      </c>
      <c r="H72" s="51"/>
      <c r="I72" s="51"/>
      <c r="J72" s="44"/>
      <c r="K72" s="44"/>
      <c r="L72" s="51"/>
      <c r="M72" s="73"/>
      <c r="N72" s="73"/>
      <c r="O72" s="73"/>
      <c r="P72" s="71"/>
      <c r="Q72" s="48">
        <f t="shared" si="18"/>
        <v>28545</v>
      </c>
      <c r="R72"/>
      <c r="S72" s="1">
        <f t="shared" si="16"/>
        <v>28545</v>
      </c>
      <c r="T72" s="1">
        <v>0</v>
      </c>
      <c r="U72" s="48">
        <f t="shared" si="17"/>
        <v>28545</v>
      </c>
      <c r="V72"/>
      <c r="W72"/>
      <c r="X72"/>
    </row>
    <row r="73" spans="1:24" s="52" customFormat="1" x14ac:dyDescent="0.25">
      <c r="A73" t="s">
        <v>19</v>
      </c>
      <c r="B73" s="52" t="s">
        <v>170</v>
      </c>
      <c r="C73" s="52" t="s">
        <v>6</v>
      </c>
      <c r="D73" s="67" t="s">
        <v>205</v>
      </c>
      <c r="E73"/>
      <c r="F73"/>
      <c r="G73"/>
      <c r="H73"/>
      <c r="I73"/>
      <c r="J73"/>
      <c r="K73"/>
      <c r="L73" s="59"/>
      <c r="M73" t="s">
        <v>218</v>
      </c>
      <c r="N73" s="73"/>
      <c r="O73" s="51">
        <v>27222</v>
      </c>
      <c r="P73" s="73"/>
      <c r="Q73" s="69">
        <f t="shared" si="18"/>
        <v>27222</v>
      </c>
      <c r="R73"/>
      <c r="S73" s="1">
        <f t="shared" si="16"/>
        <v>27222</v>
      </c>
      <c r="T73" s="1">
        <v>0</v>
      </c>
      <c r="U73" s="69">
        <f t="shared" si="17"/>
        <v>27222</v>
      </c>
      <c r="V73"/>
      <c r="W73"/>
      <c r="X73"/>
    </row>
    <row r="74" spans="1:24" s="52" customFormat="1" x14ac:dyDescent="0.25">
      <c r="A74" t="s">
        <v>87</v>
      </c>
      <c r="B74" t="s">
        <v>170</v>
      </c>
      <c r="C74" t="s">
        <v>70</v>
      </c>
      <c r="D74" s="43" t="s">
        <v>88</v>
      </c>
      <c r="E74" s="51">
        <v>17812</v>
      </c>
      <c r="F74" s="51">
        <v>6266</v>
      </c>
      <c r="G74" s="58"/>
      <c r="H74" s="58"/>
      <c r="I74" s="58"/>
      <c r="J74" s="45"/>
      <c r="K74" s="45"/>
      <c r="L74" s="58"/>
      <c r="M74" s="45"/>
      <c r="N74" s="45"/>
      <c r="O74" s="45"/>
      <c r="P74" s="45"/>
      <c r="Q74" s="48">
        <f t="shared" si="18"/>
        <v>24078</v>
      </c>
      <c r="R74"/>
      <c r="S74" s="1">
        <f t="shared" si="16"/>
        <v>24078</v>
      </c>
      <c r="T74" s="1">
        <v>0</v>
      </c>
      <c r="U74" s="48">
        <f t="shared" si="17"/>
        <v>24078</v>
      </c>
      <c r="V74"/>
      <c r="W74"/>
      <c r="X74"/>
    </row>
    <row r="75" spans="1:24" s="52" customFormat="1" x14ac:dyDescent="0.25">
      <c r="A75" t="s">
        <v>67</v>
      </c>
      <c r="B75" t="s">
        <v>165</v>
      </c>
      <c r="C75" t="s">
        <v>18</v>
      </c>
      <c r="D75" s="43" t="s">
        <v>68</v>
      </c>
      <c r="E75" s="51"/>
      <c r="F75" s="51"/>
      <c r="G75" s="51"/>
      <c r="H75" s="51">
        <v>23720</v>
      </c>
      <c r="I75" s="58"/>
      <c r="J75" s="45"/>
      <c r="K75" s="45"/>
      <c r="L75" s="58"/>
      <c r="M75" s="45"/>
      <c r="N75" s="45"/>
      <c r="O75" s="45"/>
      <c r="P75" s="45"/>
      <c r="Q75" s="48">
        <f t="shared" si="18"/>
        <v>23720</v>
      </c>
      <c r="R75"/>
      <c r="S75" s="1">
        <f t="shared" si="16"/>
        <v>23720</v>
      </c>
      <c r="T75" s="1">
        <v>0</v>
      </c>
      <c r="U75" s="48">
        <f t="shared" si="17"/>
        <v>23720</v>
      </c>
      <c r="V75"/>
      <c r="W75"/>
      <c r="X75"/>
    </row>
    <row r="76" spans="1:24" s="52" customFormat="1" x14ac:dyDescent="0.25">
      <c r="A76" t="s">
        <v>19</v>
      </c>
      <c r="B76" s="52" t="s">
        <v>192</v>
      </c>
      <c r="C76" s="52" t="s">
        <v>70</v>
      </c>
      <c r="D76" s="67" t="s">
        <v>200</v>
      </c>
      <c r="J76" s="68"/>
      <c r="K76" s="68"/>
      <c r="L76" s="51"/>
      <c r="M76" s="52" t="s">
        <v>218</v>
      </c>
      <c r="N76" s="73" t="s">
        <v>218</v>
      </c>
      <c r="O76" s="51">
        <v>22807</v>
      </c>
      <c r="P76"/>
      <c r="Q76" s="69">
        <f>+SUM(E76:O76)</f>
        <v>22807</v>
      </c>
      <c r="R76"/>
      <c r="S76" s="1">
        <f t="shared" si="16"/>
        <v>22807</v>
      </c>
      <c r="T76" s="1">
        <v>0</v>
      </c>
      <c r="U76" s="69">
        <f t="shared" si="17"/>
        <v>22807</v>
      </c>
      <c r="V76"/>
      <c r="W76"/>
      <c r="X76"/>
    </row>
    <row r="77" spans="1:24" x14ac:dyDescent="0.25">
      <c r="A77" t="s">
        <v>79</v>
      </c>
      <c r="B77" s="50" t="s">
        <v>19</v>
      </c>
      <c r="C77" t="s">
        <v>70</v>
      </c>
      <c r="D77" s="43" t="s">
        <v>80</v>
      </c>
      <c r="E77" s="51"/>
      <c r="F77" s="51">
        <v>22411</v>
      </c>
      <c r="G77" s="58"/>
      <c r="H77" s="58"/>
      <c r="I77" s="58"/>
      <c r="J77" s="45"/>
      <c r="K77" s="45"/>
      <c r="L77" s="58"/>
      <c r="M77" s="45"/>
      <c r="N77" s="45"/>
      <c r="O77" s="45"/>
      <c r="P77" s="45"/>
      <c r="Q77" s="48">
        <f t="shared" ref="Q77:Q92" si="19">+SUM(E77:P77)</f>
        <v>22411</v>
      </c>
      <c r="S77" s="1">
        <f t="shared" si="16"/>
        <v>22411</v>
      </c>
      <c r="T77" s="1">
        <v>0</v>
      </c>
      <c r="U77" s="48">
        <f t="shared" si="17"/>
        <v>22411</v>
      </c>
    </row>
    <row r="78" spans="1:24" x14ac:dyDescent="0.25">
      <c r="A78" t="s">
        <v>19</v>
      </c>
      <c r="B78" t="s">
        <v>19</v>
      </c>
      <c r="C78" s="52" t="s">
        <v>70</v>
      </c>
      <c r="D78" s="75" t="s">
        <v>198</v>
      </c>
      <c r="E78" s="52"/>
      <c r="F78" s="52"/>
      <c r="G78" s="52"/>
      <c r="H78" s="52"/>
      <c r="I78" s="52"/>
      <c r="J78" s="68"/>
      <c r="K78" s="68"/>
      <c r="L78" s="51"/>
      <c r="M78" s="44" t="s">
        <v>218</v>
      </c>
      <c r="N78" s="73" t="s">
        <v>218</v>
      </c>
      <c r="O78" s="51">
        <v>20841</v>
      </c>
      <c r="P78" s="76"/>
      <c r="Q78" s="69">
        <f t="shared" si="19"/>
        <v>20841</v>
      </c>
      <c r="R78" s="52"/>
      <c r="S78" s="1">
        <f t="shared" si="16"/>
        <v>20841</v>
      </c>
      <c r="T78" s="1">
        <v>0</v>
      </c>
      <c r="U78" s="69">
        <f t="shared" si="17"/>
        <v>20841</v>
      </c>
      <c r="V78" s="52"/>
      <c r="W78" s="52"/>
      <c r="X78" s="52"/>
    </row>
    <row r="79" spans="1:24" x14ac:dyDescent="0.25">
      <c r="A79" t="s">
        <v>71</v>
      </c>
      <c r="B79" s="50" t="s">
        <v>19</v>
      </c>
      <c r="C79" t="s">
        <v>70</v>
      </c>
      <c r="D79" s="43" t="s">
        <v>72</v>
      </c>
      <c r="E79" s="51">
        <v>20456</v>
      </c>
      <c r="F79" s="58"/>
      <c r="G79" s="58"/>
      <c r="H79" s="58"/>
      <c r="I79" s="58"/>
      <c r="J79" s="45"/>
      <c r="K79" s="45"/>
      <c r="L79" s="58"/>
      <c r="M79" s="45"/>
      <c r="N79" s="45"/>
      <c r="O79" s="45"/>
      <c r="P79" s="45"/>
      <c r="Q79" s="48">
        <f t="shared" si="19"/>
        <v>20456</v>
      </c>
      <c r="S79" s="1">
        <f t="shared" ref="S79:S96" si="20">+SUM(E79:P79)</f>
        <v>20456</v>
      </c>
      <c r="T79" s="1">
        <v>0</v>
      </c>
      <c r="U79" s="48">
        <f t="shared" ref="U79:U96" si="21">+S79+T79</f>
        <v>20456</v>
      </c>
    </row>
    <row r="80" spans="1:24" x14ac:dyDescent="0.25">
      <c r="B80" s="52" t="s">
        <v>185</v>
      </c>
      <c r="C80" s="52" t="s">
        <v>96</v>
      </c>
      <c r="D80" s="43" t="s">
        <v>95</v>
      </c>
      <c r="L80" s="51">
        <v>20000</v>
      </c>
      <c r="M80" s="45"/>
      <c r="N80" s="45"/>
      <c r="O80" s="45"/>
      <c r="P80" s="45"/>
      <c r="Q80" s="69">
        <f t="shared" si="19"/>
        <v>20000</v>
      </c>
      <c r="S80" s="1">
        <f t="shared" si="20"/>
        <v>20000</v>
      </c>
      <c r="T80" s="1">
        <v>0</v>
      </c>
      <c r="U80" s="48">
        <f t="shared" si="21"/>
        <v>20000</v>
      </c>
    </row>
    <row r="81" spans="1:24" x14ac:dyDescent="0.25">
      <c r="A81" t="s">
        <v>19</v>
      </c>
      <c r="B81" t="s">
        <v>165</v>
      </c>
      <c r="C81" t="s">
        <v>18</v>
      </c>
      <c r="D81" s="43" t="s">
        <v>201</v>
      </c>
      <c r="K81" s="51">
        <v>5398</v>
      </c>
      <c r="L81" s="51"/>
      <c r="M81" s="44"/>
      <c r="N81" s="73"/>
      <c r="O81" s="51">
        <v>14568.25</v>
      </c>
      <c r="P81" s="74"/>
      <c r="Q81" s="48">
        <f t="shared" si="19"/>
        <v>19966.25</v>
      </c>
      <c r="S81" s="1">
        <f t="shared" si="20"/>
        <v>19966.25</v>
      </c>
      <c r="T81" s="1">
        <v>0</v>
      </c>
      <c r="U81" s="48">
        <f t="shared" si="21"/>
        <v>19966.25</v>
      </c>
    </row>
    <row r="82" spans="1:24" x14ac:dyDescent="0.25">
      <c r="A82" t="s">
        <v>7</v>
      </c>
      <c r="B82" t="s">
        <v>192</v>
      </c>
      <c r="C82" t="s">
        <v>6</v>
      </c>
      <c r="D82" s="43" t="s">
        <v>8</v>
      </c>
      <c r="E82" s="51">
        <v>9454</v>
      </c>
      <c r="F82" s="51"/>
      <c r="G82" s="51"/>
      <c r="H82" s="51"/>
      <c r="I82" s="51">
        <v>8092</v>
      </c>
      <c r="J82" s="45"/>
      <c r="K82" s="45"/>
      <c r="L82" s="58"/>
      <c r="M82" s="74"/>
      <c r="N82" s="74"/>
      <c r="O82" s="74"/>
      <c r="P82" s="45"/>
      <c r="Q82" s="48">
        <f t="shared" si="19"/>
        <v>17546</v>
      </c>
      <c r="S82" s="1">
        <f t="shared" si="20"/>
        <v>17546</v>
      </c>
      <c r="T82" s="1">
        <v>0</v>
      </c>
      <c r="U82" s="48">
        <f t="shared" si="21"/>
        <v>17546</v>
      </c>
    </row>
    <row r="83" spans="1:24" x14ac:dyDescent="0.25">
      <c r="A83" t="s">
        <v>52</v>
      </c>
      <c r="B83" s="50" t="s">
        <v>178</v>
      </c>
      <c r="C83" t="s">
        <v>18</v>
      </c>
      <c r="D83" s="43" t="s">
        <v>59</v>
      </c>
      <c r="E83" s="51"/>
      <c r="F83" s="51">
        <v>14882.6934</v>
      </c>
      <c r="G83" s="58"/>
      <c r="H83" s="58"/>
      <c r="I83" s="58"/>
      <c r="J83" s="45"/>
      <c r="K83" s="45"/>
      <c r="L83" s="58"/>
      <c r="M83" s="45"/>
      <c r="N83" s="45"/>
      <c r="O83" s="45"/>
      <c r="P83" s="45"/>
      <c r="Q83" s="48">
        <f t="shared" si="19"/>
        <v>14882.6934</v>
      </c>
      <c r="S83" s="1">
        <f t="shared" si="20"/>
        <v>14882.6934</v>
      </c>
      <c r="T83" s="1">
        <v>0</v>
      </c>
      <c r="U83" s="48">
        <f t="shared" si="21"/>
        <v>14882.6934</v>
      </c>
    </row>
    <row r="84" spans="1:24" x14ac:dyDescent="0.25">
      <c r="A84" t="s">
        <v>81</v>
      </c>
      <c r="B84" t="s">
        <v>182</v>
      </c>
      <c r="C84" t="s">
        <v>70</v>
      </c>
      <c r="D84" s="43" t="s">
        <v>82</v>
      </c>
      <c r="E84" s="51">
        <v>13823</v>
      </c>
      <c r="F84" s="58"/>
      <c r="G84" s="58"/>
      <c r="H84" s="58"/>
      <c r="I84" s="58"/>
      <c r="J84" s="45"/>
      <c r="K84" s="45"/>
      <c r="L84" s="58"/>
      <c r="M84" s="45"/>
      <c r="N84" s="45"/>
      <c r="O84" s="45"/>
      <c r="P84" s="45"/>
      <c r="Q84" s="48">
        <f t="shared" si="19"/>
        <v>13823</v>
      </c>
      <c r="S84" s="1">
        <f t="shared" si="20"/>
        <v>13823</v>
      </c>
      <c r="T84" s="1">
        <v>0</v>
      </c>
      <c r="U84" s="48">
        <f t="shared" si="21"/>
        <v>13823</v>
      </c>
    </row>
    <row r="85" spans="1:24" x14ac:dyDescent="0.25">
      <c r="A85" t="s">
        <v>19</v>
      </c>
      <c r="B85" s="52" t="s">
        <v>19</v>
      </c>
      <c r="C85" s="52" t="s">
        <v>70</v>
      </c>
      <c r="D85" s="43" t="s">
        <v>217</v>
      </c>
      <c r="E85" s="65"/>
      <c r="F85" s="65"/>
      <c r="G85" s="65"/>
      <c r="H85" s="65"/>
      <c r="I85" s="65"/>
      <c r="J85" s="65"/>
      <c r="K85" s="65"/>
      <c r="L85" s="65"/>
      <c r="M85" s="65" t="s">
        <v>218</v>
      </c>
      <c r="N85" s="51">
        <v>12000</v>
      </c>
      <c r="O85" s="74"/>
      <c r="P85" s="45"/>
      <c r="Q85" s="69">
        <f t="shared" si="19"/>
        <v>12000</v>
      </c>
      <c r="S85" s="1">
        <f t="shared" si="20"/>
        <v>12000</v>
      </c>
      <c r="T85" s="1">
        <v>0</v>
      </c>
      <c r="U85" s="48">
        <f t="shared" si="21"/>
        <v>12000</v>
      </c>
    </row>
    <row r="86" spans="1:24" x14ac:dyDescent="0.25">
      <c r="A86" t="s">
        <v>56</v>
      </c>
      <c r="B86" s="50" t="s">
        <v>178</v>
      </c>
      <c r="C86" t="s">
        <v>18</v>
      </c>
      <c r="D86" s="43" t="s">
        <v>57</v>
      </c>
      <c r="E86" s="51"/>
      <c r="F86" s="51"/>
      <c r="G86" s="51"/>
      <c r="H86" s="51"/>
      <c r="I86" s="51"/>
      <c r="J86" s="44"/>
      <c r="K86" s="51">
        <v>10263</v>
      </c>
      <c r="L86" s="58"/>
      <c r="M86" s="45"/>
      <c r="N86" s="45"/>
      <c r="O86" s="45"/>
      <c r="P86" s="45"/>
      <c r="Q86" s="48">
        <f t="shared" si="19"/>
        <v>10263</v>
      </c>
      <c r="S86" s="1">
        <f t="shared" si="20"/>
        <v>10263</v>
      </c>
      <c r="T86" s="1">
        <v>0</v>
      </c>
      <c r="U86" s="48">
        <f t="shared" si="21"/>
        <v>10263</v>
      </c>
    </row>
    <row r="87" spans="1:24" x14ac:dyDescent="0.25">
      <c r="A87" t="s">
        <v>19</v>
      </c>
      <c r="B87" s="52" t="s">
        <v>165</v>
      </c>
      <c r="C87" s="52" t="s">
        <v>18</v>
      </c>
      <c r="D87" s="67" t="s">
        <v>211</v>
      </c>
      <c r="L87" s="59"/>
      <c r="M87" t="s">
        <v>218</v>
      </c>
      <c r="N87" t="s">
        <v>218</v>
      </c>
      <c r="O87" s="51">
        <v>10175</v>
      </c>
      <c r="P87" s="72"/>
      <c r="Q87" s="69">
        <f t="shared" si="19"/>
        <v>10175</v>
      </c>
      <c r="S87" s="1">
        <f t="shared" si="20"/>
        <v>10175</v>
      </c>
      <c r="T87" s="1">
        <v>0</v>
      </c>
      <c r="U87" s="69">
        <f t="shared" si="21"/>
        <v>10175</v>
      </c>
    </row>
    <row r="88" spans="1:24" x14ac:dyDescent="0.25">
      <c r="A88" s="83" t="s">
        <v>20</v>
      </c>
      <c r="B88" s="83" t="s">
        <v>168</v>
      </c>
      <c r="C88" s="83" t="s">
        <v>18</v>
      </c>
      <c r="D88" s="88" t="s">
        <v>26</v>
      </c>
      <c r="E88" s="89"/>
      <c r="F88" s="89"/>
      <c r="G88" s="89"/>
      <c r="H88" s="89"/>
      <c r="I88" s="89"/>
      <c r="J88" s="91"/>
      <c r="K88" s="89"/>
      <c r="L88" s="89"/>
      <c r="M88" s="89"/>
      <c r="N88" s="89"/>
      <c r="O88" s="89"/>
      <c r="P88" s="89"/>
      <c r="Q88" s="85">
        <f t="shared" si="19"/>
        <v>0</v>
      </c>
      <c r="R88" s="83"/>
      <c r="S88" s="1">
        <f t="shared" si="20"/>
        <v>0</v>
      </c>
      <c r="T88" s="1">
        <v>0</v>
      </c>
      <c r="U88" s="85">
        <f t="shared" si="21"/>
        <v>0</v>
      </c>
      <c r="V88" s="83"/>
      <c r="W88" s="83"/>
      <c r="X88" s="83"/>
    </row>
    <row r="89" spans="1:24" x14ac:dyDescent="0.25">
      <c r="A89" t="s">
        <v>91</v>
      </c>
      <c r="B89" t="s">
        <v>19</v>
      </c>
      <c r="C89" t="s">
        <v>70</v>
      </c>
      <c r="D89" s="43" t="s">
        <v>113</v>
      </c>
      <c r="E89" s="51"/>
      <c r="F89" s="51"/>
      <c r="G89" s="51"/>
      <c r="H89" s="51"/>
      <c r="I89" s="51"/>
      <c r="L89" s="51"/>
      <c r="M89" s="51"/>
      <c r="N89" s="51"/>
      <c r="O89" s="71"/>
      <c r="P89" s="44"/>
      <c r="Q89" s="48">
        <f t="shared" si="19"/>
        <v>0</v>
      </c>
      <c r="S89" s="1">
        <f t="shared" si="20"/>
        <v>0</v>
      </c>
      <c r="T89" s="1">
        <v>0</v>
      </c>
      <c r="U89" s="48">
        <f t="shared" si="21"/>
        <v>0</v>
      </c>
    </row>
    <row r="90" spans="1:24" s="83" customFormat="1" x14ac:dyDescent="0.25">
      <c r="A90" t="s">
        <v>19</v>
      </c>
      <c r="B90" t="s">
        <v>19</v>
      </c>
      <c r="C90" t="s">
        <v>70</v>
      </c>
      <c r="D90" s="75" t="s">
        <v>83</v>
      </c>
      <c r="E90" s="51"/>
      <c r="F90" s="51"/>
      <c r="G90" s="51"/>
      <c r="H90" s="51"/>
      <c r="I90" s="51"/>
      <c r="J90" s="44"/>
      <c r="K90" s="44"/>
      <c r="L90" s="59"/>
      <c r="M90" t="s">
        <v>218</v>
      </c>
      <c r="N90" s="73"/>
      <c r="O90" s="73"/>
      <c r="P90" s="76"/>
      <c r="Q90" s="48">
        <f t="shared" si="19"/>
        <v>0</v>
      </c>
      <c r="R90" s="52"/>
      <c r="S90" s="1">
        <f t="shared" si="20"/>
        <v>0</v>
      </c>
      <c r="T90" s="1">
        <v>0</v>
      </c>
      <c r="U90" s="69">
        <f t="shared" si="21"/>
        <v>0</v>
      </c>
      <c r="V90" s="52"/>
      <c r="W90" s="52"/>
      <c r="X90" s="52"/>
    </row>
    <row r="91" spans="1:24" x14ac:dyDescent="0.25">
      <c r="A91" t="s">
        <v>19</v>
      </c>
      <c r="B91" s="52" t="s">
        <v>165</v>
      </c>
      <c r="C91" s="52" t="s">
        <v>18</v>
      </c>
      <c r="D91" s="75" t="s">
        <v>206</v>
      </c>
      <c r="L91" s="59"/>
      <c r="M91" t="s">
        <v>218</v>
      </c>
      <c r="N91" s="73" t="s">
        <v>218</v>
      </c>
      <c r="O91" s="73"/>
      <c r="P91" s="76"/>
      <c r="Q91" s="69">
        <f t="shared" si="19"/>
        <v>0</v>
      </c>
      <c r="S91" s="1">
        <f t="shared" si="20"/>
        <v>0</v>
      </c>
      <c r="T91" s="1">
        <v>0</v>
      </c>
      <c r="U91" s="69">
        <f t="shared" si="21"/>
        <v>0</v>
      </c>
    </row>
    <row r="92" spans="1:24" x14ac:dyDescent="0.25">
      <c r="A92" t="s">
        <v>19</v>
      </c>
      <c r="B92" s="52" t="s">
        <v>192</v>
      </c>
      <c r="C92" s="52" t="s">
        <v>70</v>
      </c>
      <c r="D92" s="75" t="s">
        <v>208</v>
      </c>
      <c r="L92" s="59"/>
      <c r="M92" t="s">
        <v>218</v>
      </c>
      <c r="N92" s="73" t="s">
        <v>218</v>
      </c>
      <c r="O92" s="73"/>
      <c r="P92" s="76"/>
      <c r="Q92" s="69">
        <f t="shared" si="19"/>
        <v>0</v>
      </c>
      <c r="S92" s="1">
        <f t="shared" si="20"/>
        <v>0</v>
      </c>
      <c r="T92" s="1">
        <v>0</v>
      </c>
      <c r="U92" s="69">
        <f t="shared" si="21"/>
        <v>0</v>
      </c>
    </row>
    <row r="93" spans="1:24" x14ac:dyDescent="0.25">
      <c r="A93" t="s">
        <v>19</v>
      </c>
      <c r="B93" s="52" t="s">
        <v>192</v>
      </c>
      <c r="C93" s="52" t="s">
        <v>70</v>
      </c>
      <c r="D93" s="67" t="s">
        <v>209</v>
      </c>
      <c r="L93" s="59"/>
      <c r="M93" t="s">
        <v>218</v>
      </c>
      <c r="N93" t="s">
        <v>218</v>
      </c>
      <c r="O93" s="71"/>
      <c r="Q93" s="69">
        <f>+SUM(E93:O93)</f>
        <v>0</v>
      </c>
      <c r="S93" s="1">
        <f t="shared" si="20"/>
        <v>0</v>
      </c>
      <c r="T93" s="1">
        <v>0</v>
      </c>
      <c r="U93" s="69">
        <f t="shared" si="21"/>
        <v>0</v>
      </c>
    </row>
    <row r="94" spans="1:24" x14ac:dyDescent="0.25">
      <c r="A94" t="s">
        <v>19</v>
      </c>
      <c r="B94" s="52" t="s">
        <v>184</v>
      </c>
      <c r="C94" s="52" t="s">
        <v>18</v>
      </c>
      <c r="D94" s="75" t="s">
        <v>210</v>
      </c>
      <c r="L94" s="59"/>
      <c r="M94" t="s">
        <v>218</v>
      </c>
      <c r="N94" s="73" t="s">
        <v>218</v>
      </c>
      <c r="O94" s="73"/>
      <c r="P94" s="76"/>
      <c r="Q94" s="69">
        <f>+SUM(E94:P94)</f>
        <v>0</v>
      </c>
      <c r="S94" s="1">
        <f t="shared" si="20"/>
        <v>0</v>
      </c>
      <c r="T94" s="1">
        <v>0</v>
      </c>
      <c r="U94" s="69">
        <f t="shared" si="21"/>
        <v>0</v>
      </c>
    </row>
    <row r="95" spans="1:24" x14ac:dyDescent="0.25">
      <c r="A95" t="s">
        <v>19</v>
      </c>
      <c r="B95" s="52" t="s">
        <v>19</v>
      </c>
      <c r="C95" s="52" t="s">
        <v>18</v>
      </c>
      <c r="D95" s="67" t="s">
        <v>212</v>
      </c>
      <c r="E95" s="59"/>
      <c r="F95" s="59"/>
      <c r="G95" s="59"/>
      <c r="H95" s="59"/>
      <c r="I95" s="59"/>
      <c r="J95" s="44"/>
      <c r="K95" s="44"/>
      <c r="L95" s="65"/>
      <c r="M95" s="65" t="s">
        <v>218</v>
      </c>
      <c r="N95" s="65" t="s">
        <v>218</v>
      </c>
      <c r="O95" s="73"/>
      <c r="P95" s="76"/>
      <c r="Q95" s="69">
        <f>+SUM(E95:P95)</f>
        <v>0</v>
      </c>
      <c r="S95" s="1">
        <f t="shared" si="20"/>
        <v>0</v>
      </c>
      <c r="T95" s="1">
        <v>0</v>
      </c>
      <c r="U95" s="69">
        <f t="shared" si="21"/>
        <v>0</v>
      </c>
    </row>
    <row r="96" spans="1:24" x14ac:dyDescent="0.25">
      <c r="A96" s="83" t="s">
        <v>19</v>
      </c>
      <c r="B96" s="83" t="s">
        <v>165</v>
      </c>
      <c r="C96" s="83" t="s">
        <v>18</v>
      </c>
      <c r="D96" s="84" t="s">
        <v>215</v>
      </c>
      <c r="E96" s="89"/>
      <c r="F96" s="89"/>
      <c r="G96" s="89"/>
      <c r="H96" s="89"/>
      <c r="I96" s="89"/>
      <c r="J96" s="89"/>
      <c r="K96" s="89"/>
      <c r="L96" s="89"/>
      <c r="M96" s="91" t="s">
        <v>218</v>
      </c>
      <c r="N96" s="89" t="s">
        <v>218</v>
      </c>
      <c r="O96" s="89"/>
      <c r="P96" s="92"/>
      <c r="Q96" s="85">
        <f>+SUM(E96:P96)</f>
        <v>0</v>
      </c>
      <c r="R96" s="83"/>
      <c r="S96" s="1">
        <f t="shared" si="20"/>
        <v>0</v>
      </c>
      <c r="T96" s="1">
        <v>0</v>
      </c>
      <c r="U96" s="85">
        <f t="shared" si="21"/>
        <v>0</v>
      </c>
      <c r="V96" s="83"/>
      <c r="W96" s="83"/>
      <c r="X96" s="83"/>
    </row>
    <row r="97" spans="2:21" x14ac:dyDescent="0.25">
      <c r="B97" s="64"/>
      <c r="C97" s="52"/>
      <c r="D97" s="64"/>
      <c r="E97" s="65"/>
      <c r="F97" s="65"/>
      <c r="G97" s="65"/>
      <c r="H97" s="65"/>
      <c r="I97" s="65"/>
      <c r="J97" s="65"/>
      <c r="K97" s="65"/>
      <c r="L97" s="65"/>
      <c r="M97" s="65"/>
      <c r="N97" s="65"/>
      <c r="O97" s="71"/>
      <c r="P97" s="76"/>
      <c r="Q97" s="69"/>
      <c r="S97" s="1"/>
      <c r="T97" s="1"/>
      <c r="U97" s="48">
        <f t="shared" ref="U97" si="22">+S97+T97</f>
        <v>0</v>
      </c>
    </row>
    <row r="98" spans="2:21" x14ac:dyDescent="0.25">
      <c r="B98" s="64"/>
      <c r="C98" s="64"/>
      <c r="D98" s="64"/>
      <c r="E98" s="65"/>
      <c r="F98" s="65"/>
      <c r="G98" s="65"/>
      <c r="H98" s="65"/>
      <c r="I98" s="65"/>
      <c r="J98" s="65"/>
      <c r="K98" s="65"/>
      <c r="L98" s="65"/>
      <c r="M98" s="65"/>
      <c r="N98" s="65"/>
      <c r="O98" s="65"/>
      <c r="P98" s="65"/>
      <c r="Q98" s="66"/>
      <c r="S98" s="1"/>
      <c r="T98" s="1"/>
      <c r="U98" s="48">
        <f t="shared" ref="U98:U103" si="23">+S98+T98</f>
        <v>0</v>
      </c>
    </row>
    <row r="99" spans="2:21" x14ac:dyDescent="0.25">
      <c r="B99" s="64"/>
      <c r="C99" s="64"/>
      <c r="D99" s="64"/>
      <c r="E99" s="65"/>
      <c r="F99" s="65"/>
      <c r="G99" s="65"/>
      <c r="H99" s="65"/>
      <c r="I99" s="65"/>
      <c r="J99" s="65"/>
      <c r="K99" s="65"/>
      <c r="L99" s="65"/>
      <c r="N99" s="65"/>
      <c r="O99" s="65"/>
      <c r="P99" s="65"/>
      <c r="Q99" s="66"/>
      <c r="S99" s="1"/>
      <c r="T99" s="1"/>
      <c r="U99" s="48">
        <f t="shared" si="23"/>
        <v>0</v>
      </c>
    </row>
    <row r="100" spans="2:21" x14ac:dyDescent="0.25">
      <c r="B100" s="64"/>
      <c r="C100" s="64"/>
      <c r="D100" s="64"/>
      <c r="E100" s="65"/>
      <c r="F100" s="65"/>
      <c r="G100" s="65"/>
      <c r="H100" s="65"/>
      <c r="I100" s="65"/>
      <c r="J100" s="65"/>
      <c r="K100" s="65"/>
      <c r="L100" s="65"/>
      <c r="M100" s="65"/>
      <c r="N100" s="65"/>
      <c r="O100" s="65"/>
      <c r="P100" s="65"/>
      <c r="Q100" s="66"/>
      <c r="S100" s="1"/>
      <c r="T100" s="1"/>
      <c r="U100" s="48">
        <f t="shared" si="23"/>
        <v>0</v>
      </c>
    </row>
    <row r="101" spans="2:21" x14ac:dyDescent="0.25">
      <c r="B101" s="64"/>
      <c r="C101" s="64"/>
      <c r="D101" s="64"/>
      <c r="E101" s="65"/>
      <c r="F101" s="65"/>
      <c r="G101" s="65"/>
      <c r="H101" s="65"/>
      <c r="I101" s="65"/>
      <c r="J101" s="65"/>
      <c r="K101" s="65"/>
      <c r="L101" s="65"/>
      <c r="N101" s="65"/>
      <c r="O101" s="65"/>
      <c r="P101" s="65"/>
      <c r="Q101" s="66"/>
      <c r="S101" s="1"/>
      <c r="T101" s="1"/>
      <c r="U101" s="48">
        <f t="shared" si="23"/>
        <v>0</v>
      </c>
    </row>
    <row r="102" spans="2:21" x14ac:dyDescent="0.25">
      <c r="B102" s="64"/>
      <c r="C102" s="64"/>
      <c r="D102" s="64"/>
      <c r="E102" s="65"/>
      <c r="F102" s="65"/>
      <c r="G102" s="65"/>
      <c r="H102" s="65"/>
      <c r="I102" s="65"/>
      <c r="J102" s="65"/>
      <c r="K102" s="65"/>
      <c r="L102" s="65"/>
      <c r="M102" s="65"/>
      <c r="N102" s="65"/>
      <c r="O102" s="65"/>
      <c r="P102" s="65"/>
      <c r="Q102" s="66"/>
      <c r="S102" s="1"/>
      <c r="T102" s="1"/>
      <c r="U102" s="48">
        <f t="shared" si="23"/>
        <v>0</v>
      </c>
    </row>
    <row r="103" spans="2:21" x14ac:dyDescent="0.25">
      <c r="B103" s="64"/>
      <c r="C103" s="64"/>
      <c r="D103" s="64"/>
      <c r="E103" s="65"/>
      <c r="F103" s="65"/>
      <c r="G103" s="65"/>
      <c r="H103" s="65"/>
      <c r="I103" s="65"/>
      <c r="J103" s="65"/>
      <c r="K103" s="65"/>
      <c r="L103" s="65"/>
      <c r="M103" s="65"/>
      <c r="N103" s="65"/>
      <c r="O103" s="65"/>
      <c r="P103" s="65"/>
      <c r="Q103" s="66"/>
      <c r="S103" s="1"/>
      <c r="T103" s="1"/>
      <c r="U103" s="48">
        <f t="shared" si="23"/>
        <v>0</v>
      </c>
    </row>
  </sheetData>
  <autoFilter ref="A14:X14" xr:uid="{A51B6F89-5305-41FB-954B-96936F664AE9}">
    <sortState xmlns:xlrd2="http://schemas.microsoft.com/office/spreadsheetml/2017/richdata2" ref="A15:X96">
      <sortCondition descending="1" ref="Q14"/>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134F6-BCB7-4DC6-BDF9-036D6CAF06E5}">
  <dimension ref="A1:K82"/>
  <sheetViews>
    <sheetView tabSelected="1" zoomScale="80" zoomScaleNormal="80" workbookViewId="0">
      <selection activeCell="D22" sqref="D22"/>
    </sheetView>
  </sheetViews>
  <sheetFormatPr baseColWidth="10" defaultColWidth="11.42578125" defaultRowHeight="15" x14ac:dyDescent="0.25"/>
  <cols>
    <col min="1" max="1" width="39.42578125" bestFit="1" customWidth="1"/>
    <col min="2" max="2" width="22.85546875" bestFit="1" customWidth="1"/>
    <col min="3" max="4" width="8.140625" bestFit="1" customWidth="1"/>
    <col min="5" max="5" width="12.42578125" bestFit="1" customWidth="1"/>
    <col min="6" max="7" width="8.140625" bestFit="1" customWidth="1"/>
    <col min="8" max="8" width="7.140625" bestFit="1" customWidth="1"/>
    <col min="9" max="9" width="10.5703125" bestFit="1" customWidth="1"/>
    <col min="10" max="12" width="8.140625" bestFit="1" customWidth="1"/>
    <col min="13" max="13" width="9.85546875" bestFit="1" customWidth="1"/>
    <col min="14" max="14" width="8.140625" bestFit="1" customWidth="1"/>
    <col min="15" max="15" width="7.140625" bestFit="1" customWidth="1"/>
    <col min="16" max="16" width="9.28515625" bestFit="1" customWidth="1"/>
    <col min="17" max="17" width="12.42578125" bestFit="1" customWidth="1"/>
    <col min="18" max="19" width="12" bestFit="1" customWidth="1"/>
    <col min="20" max="20" width="11" bestFit="1" customWidth="1"/>
    <col min="21" max="21" width="10.28515625" bestFit="1" customWidth="1"/>
    <col min="22" max="22" width="12" bestFit="1" customWidth="1"/>
    <col min="23" max="23" width="10.28515625" bestFit="1" customWidth="1"/>
    <col min="24" max="25" width="12" bestFit="1" customWidth="1"/>
    <col min="26" max="28" width="10.28515625" bestFit="1" customWidth="1"/>
    <col min="29" max="30" width="11" bestFit="1" customWidth="1"/>
    <col min="31" max="34" width="10.28515625" bestFit="1" customWidth="1"/>
    <col min="35" max="35" width="12" bestFit="1" customWidth="1"/>
    <col min="36" max="37" width="10.28515625" bestFit="1" customWidth="1"/>
    <col min="38" max="38" width="12" bestFit="1" customWidth="1"/>
    <col min="39" max="45" width="10.28515625" bestFit="1" customWidth="1"/>
    <col min="46" max="46" width="11" bestFit="1" customWidth="1"/>
    <col min="47" max="74" width="10.28515625" bestFit="1" customWidth="1"/>
    <col min="75" max="75" width="12" bestFit="1" customWidth="1"/>
    <col min="76" max="83" width="10.28515625" bestFit="1" customWidth="1"/>
    <col min="84" max="84" width="12" bestFit="1" customWidth="1"/>
    <col min="85" max="102" width="10.28515625" bestFit="1" customWidth="1"/>
    <col min="103" max="103" width="12" bestFit="1" customWidth="1"/>
    <col min="104" max="138" width="10.28515625" bestFit="1" customWidth="1"/>
    <col min="139" max="139" width="12" bestFit="1" customWidth="1"/>
    <col min="140" max="147" width="10.28515625" bestFit="1" customWidth="1"/>
    <col min="148" max="148" width="12" bestFit="1" customWidth="1"/>
    <col min="149" max="150" width="10.28515625" bestFit="1" customWidth="1"/>
    <col min="151" max="151" width="11" bestFit="1" customWidth="1"/>
    <col min="152" max="164" width="10.28515625" bestFit="1" customWidth="1"/>
    <col min="165" max="165" width="11" bestFit="1" customWidth="1"/>
    <col min="166" max="196" width="10.28515625" bestFit="1" customWidth="1"/>
    <col min="197" max="197" width="12" bestFit="1" customWidth="1"/>
    <col min="198" max="198" width="10.28515625" bestFit="1" customWidth="1"/>
    <col min="199" max="199" width="11" bestFit="1" customWidth="1"/>
    <col min="200" max="200" width="12" bestFit="1" customWidth="1"/>
    <col min="201" max="201" width="10.28515625" bestFit="1" customWidth="1"/>
    <col min="202" max="202" width="11" bestFit="1" customWidth="1"/>
    <col min="203" max="204" width="10.28515625" bestFit="1" customWidth="1"/>
    <col min="205" max="205" width="11" bestFit="1" customWidth="1"/>
    <col min="206" max="209" width="10.28515625" bestFit="1" customWidth="1"/>
    <col min="210" max="210" width="11" bestFit="1" customWidth="1"/>
    <col min="211" max="212" width="12" bestFit="1" customWidth="1"/>
    <col min="213" max="216" width="10.28515625" bestFit="1" customWidth="1"/>
    <col min="217" max="218" width="12" bestFit="1" customWidth="1"/>
    <col min="219" max="220" width="10.28515625" bestFit="1" customWidth="1"/>
    <col min="221" max="221" width="11" bestFit="1" customWidth="1"/>
    <col min="222" max="223" width="10.28515625" bestFit="1" customWidth="1"/>
    <col min="224" max="226" width="12" bestFit="1" customWidth="1"/>
    <col min="227" max="258" width="10.28515625" bestFit="1" customWidth="1"/>
    <col min="259" max="259" width="11" bestFit="1" customWidth="1"/>
    <col min="260" max="267" width="10.28515625" bestFit="1" customWidth="1"/>
    <col min="268" max="268" width="12" bestFit="1" customWidth="1"/>
    <col min="269" max="271" width="10.28515625" bestFit="1" customWidth="1"/>
    <col min="272" max="272" width="11" bestFit="1" customWidth="1"/>
    <col min="273" max="280" width="10.28515625" bestFit="1" customWidth="1"/>
    <col min="281" max="281" width="12" bestFit="1" customWidth="1"/>
    <col min="282" max="287" width="10.28515625" bestFit="1" customWidth="1"/>
    <col min="288" max="288" width="12" bestFit="1" customWidth="1"/>
    <col min="289" max="314" width="10.28515625" bestFit="1" customWidth="1"/>
    <col min="315" max="315" width="10.7109375" bestFit="1" customWidth="1"/>
    <col min="316" max="316" width="12.28515625" bestFit="1" customWidth="1"/>
  </cols>
  <sheetData>
    <row r="1" spans="1:5" x14ac:dyDescent="0.25">
      <c r="A1" s="102" t="s">
        <v>3</v>
      </c>
      <c r="B1" t="s">
        <v>70</v>
      </c>
    </row>
    <row r="2" spans="1:5" x14ac:dyDescent="0.25">
      <c r="A2" s="102" t="s">
        <v>116</v>
      </c>
      <c r="B2" t="s">
        <v>704</v>
      </c>
    </row>
    <row r="4" spans="1:5" x14ac:dyDescent="0.25">
      <c r="A4" s="102" t="s">
        <v>123</v>
      </c>
      <c r="B4" s="102" t="s">
        <v>669</v>
      </c>
    </row>
    <row r="5" spans="1:5" x14ac:dyDescent="0.25">
      <c r="A5" s="102" t="s">
        <v>109</v>
      </c>
      <c r="B5" t="s">
        <v>117</v>
      </c>
      <c r="C5" t="s">
        <v>118</v>
      </c>
      <c r="D5" t="s">
        <v>119</v>
      </c>
      <c r="E5" t="s">
        <v>114</v>
      </c>
    </row>
    <row r="6" spans="1:5" x14ac:dyDescent="0.25">
      <c r="A6" s="103" t="s">
        <v>74</v>
      </c>
      <c r="B6" s="1">
        <v>119590</v>
      </c>
      <c r="C6" s="1"/>
      <c r="D6" s="1"/>
      <c r="E6" s="1">
        <v>119590</v>
      </c>
    </row>
    <row r="7" spans="1:5" x14ac:dyDescent="0.25">
      <c r="A7" s="103" t="s">
        <v>199</v>
      </c>
      <c r="B7" s="1"/>
      <c r="C7" s="1"/>
      <c r="D7" s="1">
        <v>103398</v>
      </c>
      <c r="E7" s="1">
        <v>103398</v>
      </c>
    </row>
    <row r="8" spans="1:5" x14ac:dyDescent="0.25">
      <c r="A8" s="103" t="s">
        <v>699</v>
      </c>
      <c r="B8" s="1">
        <v>20102</v>
      </c>
      <c r="C8" s="1"/>
      <c r="D8" s="1">
        <v>71844</v>
      </c>
      <c r="E8" s="1">
        <v>91946</v>
      </c>
    </row>
    <row r="9" spans="1:5" x14ac:dyDescent="0.25">
      <c r="A9" s="103" t="s">
        <v>208</v>
      </c>
      <c r="B9" s="1"/>
      <c r="C9" s="1">
        <v>63559</v>
      </c>
      <c r="D9" s="1">
        <v>16723</v>
      </c>
      <c r="E9" s="1">
        <v>80282</v>
      </c>
    </row>
    <row r="10" spans="1:5" x14ac:dyDescent="0.25">
      <c r="A10" s="103" t="s">
        <v>198</v>
      </c>
      <c r="B10" s="1">
        <v>39809</v>
      </c>
      <c r="C10" s="1">
        <v>33598</v>
      </c>
      <c r="D10" s="1"/>
      <c r="E10" s="1">
        <v>73407</v>
      </c>
    </row>
    <row r="11" spans="1:5" x14ac:dyDescent="0.25">
      <c r="A11" s="103" t="s">
        <v>714</v>
      </c>
      <c r="B11" s="1"/>
      <c r="C11" s="1">
        <v>51680</v>
      </c>
      <c r="D11" s="1"/>
      <c r="E11" s="1">
        <v>51680</v>
      </c>
    </row>
    <row r="12" spans="1:5" x14ac:dyDescent="0.25">
      <c r="A12" s="103" t="s">
        <v>83</v>
      </c>
      <c r="B12" s="1"/>
      <c r="C12" s="1"/>
      <c r="D12" s="1">
        <v>33892</v>
      </c>
      <c r="E12" s="1">
        <v>33892</v>
      </c>
    </row>
    <row r="13" spans="1:5" x14ac:dyDescent="0.25">
      <c r="A13" s="103" t="s">
        <v>209</v>
      </c>
      <c r="B13" s="1">
        <v>29716</v>
      </c>
      <c r="C13" s="1"/>
      <c r="D13" s="1"/>
      <c r="E13" s="1">
        <v>29716</v>
      </c>
    </row>
    <row r="14" spans="1:5" x14ac:dyDescent="0.25">
      <c r="A14" s="103" t="s">
        <v>749</v>
      </c>
      <c r="B14" s="1"/>
      <c r="C14" s="1"/>
      <c r="D14" s="1">
        <v>20200</v>
      </c>
      <c r="E14" s="1">
        <v>20200</v>
      </c>
    </row>
    <row r="15" spans="1:5" x14ac:dyDescent="0.25">
      <c r="A15" s="103" t="s">
        <v>713</v>
      </c>
      <c r="B15" s="1"/>
      <c r="C15" s="1"/>
      <c r="D15" s="1">
        <v>9596</v>
      </c>
      <c r="E15" s="1">
        <v>9596</v>
      </c>
    </row>
    <row r="16" spans="1:5" x14ac:dyDescent="0.25">
      <c r="A16" s="103" t="s">
        <v>114</v>
      </c>
      <c r="B16" s="1">
        <v>209217</v>
      </c>
      <c r="C16" s="1">
        <v>148837</v>
      </c>
      <c r="D16" s="1">
        <v>255653</v>
      </c>
      <c r="E16" s="1">
        <v>613707</v>
      </c>
    </row>
    <row r="45" spans="1:5" x14ac:dyDescent="0.25">
      <c r="A45" s="102" t="s">
        <v>116</v>
      </c>
      <c r="B45" t="s">
        <v>704</v>
      </c>
    </row>
    <row r="47" spans="1:5" x14ac:dyDescent="0.25">
      <c r="A47" s="102" t="s">
        <v>123</v>
      </c>
      <c r="B47" s="102" t="s">
        <v>669</v>
      </c>
    </row>
    <row r="48" spans="1:5" x14ac:dyDescent="0.25">
      <c r="A48" s="102" t="s">
        <v>109</v>
      </c>
      <c r="B48" t="s">
        <v>117</v>
      </c>
      <c r="C48" t="s">
        <v>118</v>
      </c>
      <c r="D48" t="s">
        <v>119</v>
      </c>
      <c r="E48" t="s">
        <v>114</v>
      </c>
    </row>
    <row r="49" spans="1:5" x14ac:dyDescent="0.25">
      <c r="A49" s="103" t="s">
        <v>96</v>
      </c>
      <c r="B49" s="1">
        <v>674011</v>
      </c>
      <c r="C49" s="1">
        <v>18737</v>
      </c>
      <c r="D49" s="1"/>
      <c r="E49" s="1">
        <v>692748</v>
      </c>
    </row>
    <row r="50" spans="1:5" x14ac:dyDescent="0.25">
      <c r="A50" s="103" t="s">
        <v>70</v>
      </c>
      <c r="B50" s="1">
        <v>209217</v>
      </c>
      <c r="C50" s="1">
        <v>148837</v>
      </c>
      <c r="D50" s="1">
        <v>255653</v>
      </c>
      <c r="E50" s="1">
        <v>613707</v>
      </c>
    </row>
    <row r="51" spans="1:5" x14ac:dyDescent="0.25">
      <c r="A51" s="103" t="s">
        <v>18</v>
      </c>
      <c r="B51" s="1">
        <v>478175</v>
      </c>
      <c r="C51" s="1">
        <v>109297.75199999999</v>
      </c>
      <c r="D51" s="1">
        <v>13260</v>
      </c>
      <c r="E51" s="1">
        <v>600732.75199999998</v>
      </c>
    </row>
    <row r="52" spans="1:5" x14ac:dyDescent="0.25">
      <c r="A52" s="103" t="s">
        <v>6</v>
      </c>
      <c r="B52" s="1">
        <v>249759</v>
      </c>
      <c r="C52" s="1">
        <v>65037</v>
      </c>
      <c r="D52" s="1">
        <v>62521.96737044146</v>
      </c>
      <c r="E52" s="1">
        <v>377317.96737044147</v>
      </c>
    </row>
    <row r="53" spans="1:5" x14ac:dyDescent="0.25">
      <c r="A53" s="103" t="s">
        <v>114</v>
      </c>
      <c r="B53" s="1">
        <v>1611162</v>
      </c>
      <c r="C53" s="1">
        <v>341908.75199999998</v>
      </c>
      <c r="D53" s="1">
        <v>331434.96737044147</v>
      </c>
      <c r="E53" s="1">
        <v>2284505.7193704415</v>
      </c>
    </row>
    <row r="82" spans="11:11" x14ac:dyDescent="0.25">
      <c r="K82"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2BC61-2B36-4CAF-BED6-0179BE6687FA}">
  <sheetPr codeName="Hoja4"/>
  <dimension ref="A1:N82"/>
  <sheetViews>
    <sheetView topLeftCell="A34" zoomScale="80" zoomScaleNormal="80" workbookViewId="0">
      <selection activeCell="Q36" sqref="Q36"/>
    </sheetView>
  </sheetViews>
  <sheetFormatPr baseColWidth="10" defaultRowHeight="15" x14ac:dyDescent="0.25"/>
  <cols>
    <col min="1" max="1" width="49" bestFit="1" customWidth="1"/>
    <col min="2" max="2" width="23.140625" bestFit="1" customWidth="1"/>
    <col min="3" max="13" width="8.140625" bestFit="1" customWidth="1"/>
    <col min="14" max="14" width="12.5703125" bestFit="1" customWidth="1"/>
    <col min="15" max="15" width="12.28515625" bestFit="1" customWidth="1"/>
    <col min="16" max="16" width="10.28515625" bestFit="1" customWidth="1"/>
    <col min="17" max="17" width="11" bestFit="1" customWidth="1"/>
    <col min="18" max="19" width="12" bestFit="1" customWidth="1"/>
    <col min="20" max="20" width="11" bestFit="1" customWidth="1"/>
    <col min="21" max="21" width="10.28515625" bestFit="1" customWidth="1"/>
    <col min="22" max="22" width="12" bestFit="1" customWidth="1"/>
    <col min="23" max="23" width="10.28515625" bestFit="1" customWidth="1"/>
    <col min="24" max="25" width="12" bestFit="1" customWidth="1"/>
    <col min="26" max="28" width="10.28515625" bestFit="1" customWidth="1"/>
    <col min="29" max="30" width="11" bestFit="1" customWidth="1"/>
    <col min="31" max="34" width="10.28515625" bestFit="1" customWidth="1"/>
    <col min="35" max="35" width="12" bestFit="1" customWidth="1"/>
    <col min="36" max="37" width="10.28515625" bestFit="1" customWidth="1"/>
    <col min="38" max="38" width="12" bestFit="1" customWidth="1"/>
    <col min="39" max="45" width="10.28515625" bestFit="1" customWidth="1"/>
    <col min="46" max="46" width="11" bestFit="1" customWidth="1"/>
    <col min="47" max="74" width="10.28515625" bestFit="1" customWidth="1"/>
    <col min="75" max="75" width="12" bestFit="1" customWidth="1"/>
    <col min="76" max="83" width="10.28515625" bestFit="1" customWidth="1"/>
    <col min="84" max="84" width="12" bestFit="1" customWidth="1"/>
    <col min="85" max="102" width="10.28515625" bestFit="1" customWidth="1"/>
    <col min="103" max="103" width="12" bestFit="1" customWidth="1"/>
    <col min="104" max="138" width="10.28515625" bestFit="1" customWidth="1"/>
    <col min="139" max="139" width="12" bestFit="1" customWidth="1"/>
    <col min="140" max="147" width="10.28515625" bestFit="1" customWidth="1"/>
    <col min="148" max="148" width="12" bestFit="1" customWidth="1"/>
    <col min="149" max="150" width="10.28515625" bestFit="1" customWidth="1"/>
    <col min="151" max="151" width="11" bestFit="1" customWidth="1"/>
    <col min="152" max="164" width="10.28515625" bestFit="1" customWidth="1"/>
    <col min="165" max="165" width="11" bestFit="1" customWidth="1"/>
    <col min="166" max="196" width="10.28515625" bestFit="1" customWidth="1"/>
    <col min="197" max="197" width="12" bestFit="1" customWidth="1"/>
    <col min="198" max="198" width="10.28515625" bestFit="1" customWidth="1"/>
    <col min="199" max="199" width="11" bestFit="1" customWidth="1"/>
    <col min="200" max="200" width="12" bestFit="1" customWidth="1"/>
    <col min="201" max="201" width="10.28515625" bestFit="1" customWidth="1"/>
    <col min="202" max="202" width="11" bestFit="1" customWidth="1"/>
    <col min="203" max="204" width="10.28515625" bestFit="1" customWidth="1"/>
    <col min="205" max="205" width="11" bestFit="1" customWidth="1"/>
    <col min="206" max="209" width="10.28515625" bestFit="1" customWidth="1"/>
    <col min="210" max="210" width="11" bestFit="1" customWidth="1"/>
    <col min="211" max="212" width="12" bestFit="1" customWidth="1"/>
    <col min="213" max="216" width="10.28515625" bestFit="1" customWidth="1"/>
    <col min="217" max="218" width="12" bestFit="1" customWidth="1"/>
    <col min="219" max="220" width="10.28515625" bestFit="1" customWidth="1"/>
    <col min="221" max="221" width="11" bestFit="1" customWidth="1"/>
    <col min="222" max="223" width="10.28515625" bestFit="1" customWidth="1"/>
    <col min="224" max="226" width="12" bestFit="1" customWidth="1"/>
    <col min="227" max="258" width="10.28515625" bestFit="1" customWidth="1"/>
    <col min="259" max="259" width="11" bestFit="1" customWidth="1"/>
    <col min="260" max="267" width="10.28515625" bestFit="1" customWidth="1"/>
    <col min="268" max="268" width="12" bestFit="1" customWidth="1"/>
    <col min="269" max="271" width="10.28515625" bestFit="1" customWidth="1"/>
    <col min="272" max="272" width="11" bestFit="1" customWidth="1"/>
    <col min="273" max="280" width="10.28515625" bestFit="1" customWidth="1"/>
    <col min="281" max="281" width="12" bestFit="1" customWidth="1"/>
    <col min="282" max="287" width="10.28515625" bestFit="1" customWidth="1"/>
    <col min="288" max="288" width="12" bestFit="1" customWidth="1"/>
    <col min="289" max="314" width="10.28515625" bestFit="1" customWidth="1"/>
    <col min="315" max="315" width="10.7109375" bestFit="1" customWidth="1"/>
    <col min="316" max="316" width="12.28515625" bestFit="1" customWidth="1"/>
  </cols>
  <sheetData>
    <row r="1" spans="1:14" x14ac:dyDescent="0.25">
      <c r="A1" s="102" t="s">
        <v>116</v>
      </c>
      <c r="B1" t="s">
        <v>115</v>
      </c>
    </row>
    <row r="3" spans="1:14" x14ac:dyDescent="0.25">
      <c r="A3" s="102" t="s">
        <v>123</v>
      </c>
      <c r="B3" s="102" t="s">
        <v>669</v>
      </c>
    </row>
    <row r="4" spans="1:14" x14ac:dyDescent="0.25">
      <c r="A4" s="102" t="s">
        <v>109</v>
      </c>
      <c r="B4" t="s">
        <v>117</v>
      </c>
      <c r="C4" t="s">
        <v>118</v>
      </c>
      <c r="D4" t="s">
        <v>119</v>
      </c>
      <c r="E4" t="s">
        <v>120</v>
      </c>
      <c r="F4" t="s">
        <v>121</v>
      </c>
      <c r="G4" t="s">
        <v>122</v>
      </c>
      <c r="H4" t="s">
        <v>223</v>
      </c>
      <c r="I4" t="s">
        <v>224</v>
      </c>
      <c r="J4" t="s">
        <v>225</v>
      </c>
      <c r="K4" t="s">
        <v>226</v>
      </c>
      <c r="L4" t="s">
        <v>227</v>
      </c>
      <c r="M4" t="s">
        <v>228</v>
      </c>
      <c r="N4" t="s">
        <v>114</v>
      </c>
    </row>
    <row r="5" spans="1:14" x14ac:dyDescent="0.25">
      <c r="A5" s="103" t="s">
        <v>30</v>
      </c>
      <c r="B5" s="1"/>
      <c r="C5" s="1"/>
      <c r="D5" s="1">
        <v>216482.89860000001</v>
      </c>
      <c r="E5" s="1"/>
      <c r="F5" s="1">
        <v>87736</v>
      </c>
      <c r="G5" s="1">
        <v>70761</v>
      </c>
      <c r="H5" s="1">
        <v>333591</v>
      </c>
      <c r="I5" s="1"/>
      <c r="J5" s="1">
        <v>159375.44</v>
      </c>
      <c r="K5" s="1"/>
      <c r="L5" s="1">
        <v>43242</v>
      </c>
      <c r="M5" s="1"/>
      <c r="N5" s="1">
        <v>911188.3385999999</v>
      </c>
    </row>
    <row r="6" spans="1:14" x14ac:dyDescent="0.25">
      <c r="A6" s="103" t="s">
        <v>74</v>
      </c>
      <c r="B6" s="1"/>
      <c r="C6" s="1"/>
      <c r="D6" s="1"/>
      <c r="E6" s="1"/>
      <c r="F6" s="1"/>
      <c r="G6" s="1"/>
      <c r="H6" s="1">
        <v>58150</v>
      </c>
      <c r="I6" s="1">
        <v>444151.6874113208</v>
      </c>
      <c r="J6" s="1"/>
      <c r="K6" s="1">
        <v>152334.5</v>
      </c>
      <c r="L6" s="1"/>
      <c r="M6" s="1">
        <v>200900.43396226413</v>
      </c>
      <c r="N6" s="1">
        <v>855536.62137358496</v>
      </c>
    </row>
    <row r="7" spans="1:14" x14ac:dyDescent="0.25">
      <c r="A7" s="103" t="s">
        <v>106</v>
      </c>
      <c r="B7" s="1">
        <v>112741</v>
      </c>
      <c r="C7" s="1">
        <v>80209</v>
      </c>
      <c r="D7" s="1">
        <v>112980</v>
      </c>
      <c r="E7" s="1"/>
      <c r="F7" s="1">
        <v>161588</v>
      </c>
      <c r="G7" s="1">
        <v>13995</v>
      </c>
      <c r="H7" s="1"/>
      <c r="I7" s="1"/>
      <c r="J7" s="1"/>
      <c r="K7" s="1"/>
      <c r="L7" s="1"/>
      <c r="M7" s="1"/>
      <c r="N7" s="1">
        <v>481513</v>
      </c>
    </row>
    <row r="8" spans="1:14" x14ac:dyDescent="0.25">
      <c r="A8" s="103" t="s">
        <v>51</v>
      </c>
      <c r="B8" s="1">
        <v>175056.87690000003</v>
      </c>
      <c r="C8" s="1">
        <v>127900.67580000001</v>
      </c>
      <c r="D8" s="1">
        <v>48236.446800000005</v>
      </c>
      <c r="E8" s="1">
        <v>41744</v>
      </c>
      <c r="F8" s="1"/>
      <c r="G8" s="1">
        <v>47495</v>
      </c>
      <c r="H8" s="1"/>
      <c r="I8" s="1"/>
      <c r="J8" s="1"/>
      <c r="K8" s="1"/>
      <c r="L8" s="1">
        <v>21494</v>
      </c>
      <c r="M8" s="1"/>
      <c r="N8" s="1">
        <v>461926.99950000003</v>
      </c>
    </row>
    <row r="9" spans="1:14" x14ac:dyDescent="0.25">
      <c r="A9" s="103" t="s">
        <v>86</v>
      </c>
      <c r="B9" s="1"/>
      <c r="C9" s="1"/>
      <c r="D9" s="1"/>
      <c r="E9" s="1">
        <v>110077</v>
      </c>
      <c r="F9" s="1"/>
      <c r="G9" s="1">
        <v>110077</v>
      </c>
      <c r="H9" s="1">
        <v>52800</v>
      </c>
      <c r="I9" s="1">
        <v>67565</v>
      </c>
      <c r="J9" s="1"/>
      <c r="K9" s="1"/>
      <c r="L9" s="1"/>
      <c r="M9" s="1"/>
      <c r="N9" s="1">
        <v>340519</v>
      </c>
    </row>
    <row r="10" spans="1:14" x14ac:dyDescent="0.25">
      <c r="A10" s="103" t="s">
        <v>90</v>
      </c>
      <c r="B10" s="1"/>
      <c r="C10" s="1">
        <v>36175</v>
      </c>
      <c r="D10" s="1">
        <v>49640</v>
      </c>
      <c r="E10" s="1"/>
      <c r="F10" s="1">
        <v>58049</v>
      </c>
      <c r="G10" s="1">
        <v>57648</v>
      </c>
      <c r="H10" s="1">
        <v>57921.168301886784</v>
      </c>
      <c r="I10" s="1">
        <v>28722.396226415094</v>
      </c>
      <c r="J10" s="1"/>
      <c r="K10" s="1">
        <v>5300</v>
      </c>
      <c r="L10" s="1">
        <v>40785</v>
      </c>
      <c r="M10" s="1"/>
      <c r="N10" s="1">
        <v>334240.56452830188</v>
      </c>
    </row>
    <row r="11" spans="1:14" x14ac:dyDescent="0.25">
      <c r="A11" s="103" t="s">
        <v>5</v>
      </c>
      <c r="B11" s="1"/>
      <c r="C11" s="1"/>
      <c r="D11" s="1">
        <v>52931.26</v>
      </c>
      <c r="E11" s="1">
        <v>54268</v>
      </c>
      <c r="F11" s="1">
        <v>28982</v>
      </c>
      <c r="G11" s="1">
        <v>41295</v>
      </c>
      <c r="H11" s="1">
        <v>47226.97</v>
      </c>
      <c r="I11" s="1"/>
      <c r="J11" s="1">
        <v>28549</v>
      </c>
      <c r="K11" s="1">
        <v>19014.259259259259</v>
      </c>
      <c r="L11" s="1">
        <v>16041</v>
      </c>
      <c r="M11" s="1">
        <v>9828</v>
      </c>
      <c r="N11" s="1">
        <v>298135.48925925925</v>
      </c>
    </row>
    <row r="12" spans="1:14" x14ac:dyDescent="0.25">
      <c r="A12" s="103" t="s">
        <v>187</v>
      </c>
      <c r="B12" s="1"/>
      <c r="C12" s="1"/>
      <c r="D12" s="1"/>
      <c r="E12" s="1"/>
      <c r="F12" s="1"/>
      <c r="G12" s="1"/>
      <c r="H12" s="1"/>
      <c r="I12" s="1">
        <v>54620</v>
      </c>
      <c r="J12" s="1">
        <v>70025</v>
      </c>
      <c r="K12" s="1">
        <v>70020</v>
      </c>
      <c r="L12" s="1">
        <v>53961</v>
      </c>
      <c r="M12" s="1">
        <v>31113</v>
      </c>
      <c r="N12" s="1">
        <v>279739</v>
      </c>
    </row>
    <row r="13" spans="1:14" x14ac:dyDescent="0.25">
      <c r="A13" s="103" t="s">
        <v>186</v>
      </c>
      <c r="B13" s="1"/>
      <c r="C13" s="1"/>
      <c r="D13" s="1"/>
      <c r="E13" s="1"/>
      <c r="F13" s="1"/>
      <c r="G13" s="1"/>
      <c r="H13" s="1">
        <v>50063</v>
      </c>
      <c r="I13" s="1">
        <v>19610.669999999998</v>
      </c>
      <c r="J13" s="1">
        <v>61585</v>
      </c>
      <c r="K13" s="1">
        <v>58240</v>
      </c>
      <c r="L13" s="1">
        <v>32689</v>
      </c>
      <c r="M13" s="1">
        <v>51794</v>
      </c>
      <c r="N13" s="1">
        <v>273981.67</v>
      </c>
    </row>
    <row r="14" spans="1:14" x14ac:dyDescent="0.25">
      <c r="A14" s="103" t="s">
        <v>61</v>
      </c>
      <c r="B14" s="1"/>
      <c r="C14" s="1"/>
      <c r="D14" s="1"/>
      <c r="E14" s="1"/>
      <c r="F14" s="1"/>
      <c r="G14" s="1">
        <v>172507</v>
      </c>
      <c r="H14" s="1"/>
      <c r="I14" s="1">
        <v>99524</v>
      </c>
      <c r="J14" s="1"/>
      <c r="K14" s="1"/>
      <c r="L14" s="1"/>
      <c r="M14" s="1"/>
      <c r="N14" s="1">
        <v>272031</v>
      </c>
    </row>
    <row r="15" spans="1:14" x14ac:dyDescent="0.25">
      <c r="A15" s="103" t="s">
        <v>100</v>
      </c>
      <c r="B15" s="1">
        <v>37712</v>
      </c>
      <c r="C15" s="1">
        <v>96628</v>
      </c>
      <c r="D15" s="1"/>
      <c r="E15" s="1">
        <v>84975</v>
      </c>
      <c r="F15" s="1">
        <v>33475</v>
      </c>
      <c r="G15" s="1"/>
      <c r="H15" s="1"/>
      <c r="I15" s="1"/>
      <c r="J15" s="1"/>
      <c r="K15" s="1"/>
      <c r="L15" s="1"/>
      <c r="M15" s="1"/>
      <c r="N15" s="1">
        <v>252790</v>
      </c>
    </row>
    <row r="16" spans="1:14" x14ac:dyDescent="0.25">
      <c r="A16" s="103" t="s">
        <v>15</v>
      </c>
      <c r="B16" s="1"/>
      <c r="C16" s="1">
        <v>24924</v>
      </c>
      <c r="D16" s="1">
        <v>15695</v>
      </c>
      <c r="E16" s="1">
        <v>18747.16</v>
      </c>
      <c r="F16" s="1"/>
      <c r="G16" s="1">
        <v>9499</v>
      </c>
      <c r="H16" s="1">
        <v>5421</v>
      </c>
      <c r="I16" s="1">
        <v>11024.51</v>
      </c>
      <c r="J16" s="1">
        <v>33778.899082568809</v>
      </c>
      <c r="K16" s="1">
        <v>53457.925925925927</v>
      </c>
      <c r="L16" s="1">
        <v>24115</v>
      </c>
      <c r="M16" s="1">
        <v>28287</v>
      </c>
      <c r="N16" s="1">
        <v>224949.49500849473</v>
      </c>
    </row>
    <row r="17" spans="1:14" x14ac:dyDescent="0.25">
      <c r="A17" s="103" t="s">
        <v>112</v>
      </c>
      <c r="B17" s="1"/>
      <c r="C17" s="1"/>
      <c r="D17" s="1"/>
      <c r="E17" s="1"/>
      <c r="F17" s="1"/>
      <c r="G17" s="1"/>
      <c r="H17" s="1">
        <v>76361</v>
      </c>
      <c r="I17" s="1"/>
      <c r="J17" s="1">
        <v>112344</v>
      </c>
      <c r="K17" s="1">
        <v>23019</v>
      </c>
      <c r="L17" s="1"/>
      <c r="M17" s="1"/>
      <c r="N17" s="1">
        <v>211724</v>
      </c>
    </row>
    <row r="18" spans="1:14" x14ac:dyDescent="0.25">
      <c r="A18" s="103" t="s">
        <v>39</v>
      </c>
      <c r="B18" s="1"/>
      <c r="C18" s="1">
        <v>172342.2537</v>
      </c>
      <c r="D18" s="1"/>
      <c r="E18" s="1"/>
      <c r="F18" s="1">
        <v>35777</v>
      </c>
      <c r="G18" s="1"/>
      <c r="H18" s="1"/>
      <c r="I18" s="1"/>
      <c r="J18" s="1"/>
      <c r="K18" s="1"/>
      <c r="L18" s="1"/>
      <c r="M18" s="1"/>
      <c r="N18" s="1">
        <v>208119.2537</v>
      </c>
    </row>
    <row r="19" spans="1:14" x14ac:dyDescent="0.25">
      <c r="A19" s="103" t="s">
        <v>35</v>
      </c>
      <c r="B19" s="1"/>
      <c r="C19" s="1"/>
      <c r="D19" s="1"/>
      <c r="E19" s="1"/>
      <c r="F19" s="1">
        <v>83826</v>
      </c>
      <c r="G19" s="1">
        <v>32748</v>
      </c>
      <c r="H19" s="1">
        <v>40426</v>
      </c>
      <c r="I19" s="1">
        <v>30025</v>
      </c>
      <c r="J19" s="1">
        <v>11895</v>
      </c>
      <c r="K19" s="1"/>
      <c r="L19" s="1"/>
      <c r="M19" s="1"/>
      <c r="N19" s="1">
        <v>198920</v>
      </c>
    </row>
    <row r="20" spans="1:14" x14ac:dyDescent="0.25">
      <c r="A20" s="103" t="s">
        <v>213</v>
      </c>
      <c r="B20" s="1"/>
      <c r="C20" s="1"/>
      <c r="D20" s="1"/>
      <c r="E20" s="1"/>
      <c r="F20" s="1"/>
      <c r="G20" s="1"/>
      <c r="H20" s="1"/>
      <c r="I20" s="1"/>
      <c r="J20" s="1"/>
      <c r="K20" s="1"/>
      <c r="L20" s="1">
        <v>60155.245662385321</v>
      </c>
      <c r="M20" s="1">
        <v>130948</v>
      </c>
      <c r="N20" s="1">
        <v>191103.24566238531</v>
      </c>
    </row>
    <row r="21" spans="1:14" x14ac:dyDescent="0.25">
      <c r="A21" s="103" t="s">
        <v>202</v>
      </c>
      <c r="B21" s="1"/>
      <c r="C21" s="1"/>
      <c r="D21" s="1"/>
      <c r="E21" s="1"/>
      <c r="F21" s="1"/>
      <c r="G21" s="1"/>
      <c r="H21" s="1"/>
      <c r="I21" s="1">
        <v>39998</v>
      </c>
      <c r="J21" s="1"/>
      <c r="K21" s="1">
        <v>102865</v>
      </c>
      <c r="L21" s="1">
        <v>27834</v>
      </c>
      <c r="M21" s="1"/>
      <c r="N21" s="1">
        <v>170697</v>
      </c>
    </row>
    <row r="22" spans="1:14" x14ac:dyDescent="0.25">
      <c r="A22" s="103" t="s">
        <v>11</v>
      </c>
      <c r="B22" s="1"/>
      <c r="C22" s="1"/>
      <c r="D22" s="1"/>
      <c r="E22" s="1"/>
      <c r="F22" s="1"/>
      <c r="G22" s="1"/>
      <c r="H22" s="1"/>
      <c r="I22" s="1"/>
      <c r="J22" s="1">
        <v>74220.917431192647</v>
      </c>
      <c r="K22" s="1">
        <v>59535.814814814818</v>
      </c>
      <c r="L22" s="1">
        <v>14517</v>
      </c>
      <c r="M22" s="1"/>
      <c r="N22" s="1">
        <v>148273.73224600748</v>
      </c>
    </row>
    <row r="23" spans="1:14" x14ac:dyDescent="0.25">
      <c r="A23" s="103" t="s">
        <v>23</v>
      </c>
      <c r="B23" s="1"/>
      <c r="C23" s="1"/>
      <c r="D23" s="1">
        <v>33087.0645</v>
      </c>
      <c r="E23" s="1">
        <v>63253</v>
      </c>
      <c r="F23" s="1"/>
      <c r="G23" s="1"/>
      <c r="H23" s="1">
        <v>39293</v>
      </c>
      <c r="I23" s="1"/>
      <c r="J23" s="1"/>
      <c r="K23" s="1"/>
      <c r="L23" s="1"/>
      <c r="M23" s="1"/>
      <c r="N23" s="1">
        <v>135633.06450000001</v>
      </c>
    </row>
    <row r="24" spans="1:14" x14ac:dyDescent="0.25">
      <c r="A24" s="103" t="s">
        <v>78</v>
      </c>
      <c r="B24" s="1">
        <v>42403</v>
      </c>
      <c r="C24" s="1"/>
      <c r="D24" s="1">
        <v>59963</v>
      </c>
      <c r="E24" s="1"/>
      <c r="F24" s="1">
        <v>24935</v>
      </c>
      <c r="G24" s="1"/>
      <c r="H24" s="1">
        <v>5265</v>
      </c>
      <c r="I24" s="1"/>
      <c r="J24" s="1"/>
      <c r="K24" s="1"/>
      <c r="L24" s="1"/>
      <c r="M24" s="1"/>
      <c r="N24" s="1">
        <v>132566</v>
      </c>
    </row>
    <row r="25" spans="1:14" x14ac:dyDescent="0.25">
      <c r="A25" s="103">
        <v>0</v>
      </c>
      <c r="B25" s="1"/>
      <c r="C25" s="1"/>
      <c r="D25" s="1"/>
      <c r="E25" s="1"/>
      <c r="F25" s="1"/>
      <c r="G25" s="1"/>
      <c r="H25" s="1"/>
      <c r="I25" s="1"/>
      <c r="J25" s="1"/>
      <c r="K25" s="1">
        <v>56620</v>
      </c>
      <c r="L25" s="1">
        <v>72828</v>
      </c>
      <c r="M25" s="1"/>
      <c r="N25" s="1">
        <v>129448</v>
      </c>
    </row>
    <row r="26" spans="1:14" x14ac:dyDescent="0.25">
      <c r="A26" s="103" t="s">
        <v>221</v>
      </c>
      <c r="B26" s="1"/>
      <c r="C26" s="1"/>
      <c r="D26" s="1"/>
      <c r="E26" s="1"/>
      <c r="F26" s="1"/>
      <c r="G26" s="1"/>
      <c r="H26" s="1"/>
      <c r="I26" s="1"/>
      <c r="J26" s="1"/>
      <c r="K26" s="1"/>
      <c r="L26" s="1"/>
      <c r="M26" s="1">
        <v>126310</v>
      </c>
      <c r="N26" s="1">
        <v>126310</v>
      </c>
    </row>
    <row r="27" spans="1:14" x14ac:dyDescent="0.25">
      <c r="A27" s="103" t="s">
        <v>37</v>
      </c>
      <c r="B27" s="1">
        <v>51955.563600000001</v>
      </c>
      <c r="C27" s="1">
        <v>21682</v>
      </c>
      <c r="D27" s="1">
        <v>45478</v>
      </c>
      <c r="E27" s="1"/>
      <c r="F27" s="1"/>
      <c r="G27" s="1"/>
      <c r="H27" s="1"/>
      <c r="I27" s="1"/>
      <c r="J27" s="1"/>
      <c r="K27" s="1"/>
      <c r="L27" s="1"/>
      <c r="M27" s="1"/>
      <c r="N27" s="1">
        <v>119115.56359999999</v>
      </c>
    </row>
    <row r="28" spans="1:14" x14ac:dyDescent="0.25">
      <c r="A28" s="103" t="s">
        <v>45</v>
      </c>
      <c r="B28" s="1">
        <v>45558.454410000006</v>
      </c>
      <c r="C28" s="1">
        <v>9714.2210099999993</v>
      </c>
      <c r="D28" s="1">
        <v>16208.444911049999</v>
      </c>
      <c r="E28" s="1"/>
      <c r="F28" s="1">
        <v>11041.85</v>
      </c>
      <c r="G28" s="1"/>
      <c r="H28" s="1">
        <v>31139</v>
      </c>
      <c r="I28" s="1"/>
      <c r="J28" s="1"/>
      <c r="K28" s="1"/>
      <c r="L28" s="1"/>
      <c r="M28" s="1"/>
      <c r="N28" s="1">
        <v>113661.97033105002</v>
      </c>
    </row>
    <row r="29" spans="1:14" x14ac:dyDescent="0.25">
      <c r="A29" s="103" t="s">
        <v>47</v>
      </c>
      <c r="B29" s="1"/>
      <c r="C29" s="1"/>
      <c r="D29" s="1"/>
      <c r="E29" s="1"/>
      <c r="F29" s="1"/>
      <c r="G29" s="1">
        <v>101815.29999999999</v>
      </c>
      <c r="H29" s="1"/>
      <c r="I29" s="1"/>
      <c r="J29" s="1"/>
      <c r="K29" s="1"/>
      <c r="L29" s="1"/>
      <c r="M29" s="1"/>
      <c r="N29" s="1">
        <v>101815.29999999999</v>
      </c>
    </row>
    <row r="30" spans="1:14" x14ac:dyDescent="0.25">
      <c r="A30" s="103" t="s">
        <v>110</v>
      </c>
      <c r="B30" s="1">
        <v>92574.254700000005</v>
      </c>
      <c r="C30" s="1"/>
      <c r="D30" s="1"/>
      <c r="E30" s="1"/>
      <c r="F30" s="1"/>
      <c r="G30" s="1"/>
      <c r="H30" s="1"/>
      <c r="I30" s="1"/>
      <c r="J30" s="1"/>
      <c r="K30" s="1"/>
      <c r="L30" s="1"/>
      <c r="M30" s="1"/>
      <c r="N30" s="1">
        <v>92574.254700000005</v>
      </c>
    </row>
    <row r="31" spans="1:14" x14ac:dyDescent="0.25">
      <c r="A31" s="103" t="s">
        <v>49</v>
      </c>
      <c r="B31" s="1"/>
      <c r="C31" s="1">
        <v>34239.326580000001</v>
      </c>
      <c r="D31" s="1"/>
      <c r="E31" s="1"/>
      <c r="F31" s="1">
        <v>11728.699999999999</v>
      </c>
      <c r="G31" s="1"/>
      <c r="H31" s="1">
        <v>14008.699999999999</v>
      </c>
      <c r="I31" s="1"/>
      <c r="J31" s="1"/>
      <c r="K31" s="1">
        <v>32590.699999999997</v>
      </c>
      <c r="L31" s="1"/>
      <c r="M31" s="1"/>
      <c r="N31" s="1">
        <v>92567.426579999999</v>
      </c>
    </row>
    <row r="32" spans="1:14" x14ac:dyDescent="0.25">
      <c r="A32" s="103" t="s">
        <v>66</v>
      </c>
      <c r="B32" s="1"/>
      <c r="C32" s="1"/>
      <c r="D32" s="1"/>
      <c r="E32" s="1">
        <v>87432</v>
      </c>
      <c r="F32" s="1"/>
      <c r="G32" s="1"/>
      <c r="H32" s="1"/>
      <c r="I32" s="1"/>
      <c r="J32" s="1"/>
      <c r="K32" s="1"/>
      <c r="L32" s="1"/>
      <c r="M32" s="1"/>
      <c r="N32" s="1">
        <v>87432</v>
      </c>
    </row>
    <row r="33" spans="1:14" x14ac:dyDescent="0.25">
      <c r="A33" s="103" t="s">
        <v>76</v>
      </c>
      <c r="B33" s="1"/>
      <c r="C33" s="1"/>
      <c r="D33" s="1"/>
      <c r="E33" s="1"/>
      <c r="F33" s="1"/>
      <c r="G33" s="1">
        <v>37715</v>
      </c>
      <c r="H33" s="1"/>
      <c r="I33" s="1">
        <v>34543.453584905656</v>
      </c>
      <c r="J33" s="1">
        <v>14543</v>
      </c>
      <c r="K33" s="1"/>
      <c r="L33" s="1"/>
      <c r="M33" s="1"/>
      <c r="N33" s="1">
        <v>86801.453584905656</v>
      </c>
    </row>
    <row r="34" spans="1:14" x14ac:dyDescent="0.25">
      <c r="A34" s="103" t="s">
        <v>108</v>
      </c>
      <c r="B34" s="1"/>
      <c r="C34" s="1"/>
      <c r="D34" s="1"/>
      <c r="E34" s="1">
        <v>84225</v>
      </c>
      <c r="F34" s="1"/>
      <c r="G34" s="1"/>
      <c r="H34" s="1"/>
      <c r="I34" s="1"/>
      <c r="J34" s="1"/>
      <c r="K34" s="1"/>
      <c r="L34" s="1"/>
      <c r="M34" s="1"/>
      <c r="N34" s="1">
        <v>84225</v>
      </c>
    </row>
    <row r="35" spans="1:14" x14ac:dyDescent="0.25">
      <c r="A35" s="103" t="s">
        <v>220</v>
      </c>
      <c r="B35" s="1"/>
      <c r="C35" s="1"/>
      <c r="D35" s="1"/>
      <c r="E35" s="1"/>
      <c r="F35" s="1"/>
      <c r="G35" s="1"/>
      <c r="H35" s="1"/>
      <c r="I35" s="1"/>
      <c r="J35" s="1"/>
      <c r="K35" s="1"/>
      <c r="L35" s="1"/>
      <c r="M35" s="1">
        <v>78930</v>
      </c>
      <c r="N35" s="1">
        <v>78930</v>
      </c>
    </row>
    <row r="36" spans="1:14" x14ac:dyDescent="0.25">
      <c r="A36" s="103" t="s">
        <v>203</v>
      </c>
      <c r="B36" s="1"/>
      <c r="C36" s="1"/>
      <c r="D36" s="1"/>
      <c r="E36" s="1"/>
      <c r="F36" s="1"/>
      <c r="G36" s="1"/>
      <c r="H36" s="1"/>
      <c r="I36" s="1"/>
      <c r="J36" s="1"/>
      <c r="K36" s="1">
        <v>39515</v>
      </c>
      <c r="L36" s="1"/>
      <c r="M36" s="1">
        <v>33550</v>
      </c>
      <c r="N36" s="1">
        <v>73065</v>
      </c>
    </row>
    <row r="37" spans="1:14" x14ac:dyDescent="0.25">
      <c r="A37" s="103" t="s">
        <v>53</v>
      </c>
      <c r="B37" s="1"/>
      <c r="C37" s="1">
        <v>32910.655500000001</v>
      </c>
      <c r="D37" s="1"/>
      <c r="E37" s="1"/>
      <c r="F37" s="1"/>
      <c r="G37" s="1"/>
      <c r="H37" s="1"/>
      <c r="I37" s="1"/>
      <c r="J37" s="1">
        <v>40113</v>
      </c>
      <c r="K37" s="1"/>
      <c r="L37" s="1"/>
      <c r="M37" s="1"/>
      <c r="N37" s="1">
        <v>73023.655499999993</v>
      </c>
    </row>
    <row r="38" spans="1:14" x14ac:dyDescent="0.25">
      <c r="A38" s="103" t="s">
        <v>204</v>
      </c>
      <c r="B38" s="1"/>
      <c r="C38" s="1"/>
      <c r="D38" s="1"/>
      <c r="E38" s="1"/>
      <c r="F38" s="1"/>
      <c r="G38" s="1"/>
      <c r="H38" s="1"/>
      <c r="I38" s="1"/>
      <c r="J38" s="1"/>
      <c r="K38" s="1">
        <v>33533</v>
      </c>
      <c r="L38" s="1">
        <v>36818</v>
      </c>
      <c r="M38" s="1"/>
      <c r="N38" s="1">
        <v>70351</v>
      </c>
    </row>
    <row r="39" spans="1:14" x14ac:dyDescent="0.25">
      <c r="A39" s="103" t="s">
        <v>98</v>
      </c>
      <c r="B39" s="1"/>
      <c r="C39" s="1">
        <v>66652</v>
      </c>
      <c r="D39" s="1"/>
      <c r="E39" s="1"/>
      <c r="F39" s="1"/>
      <c r="G39" s="1"/>
      <c r="H39" s="1"/>
      <c r="I39" s="1"/>
      <c r="J39" s="1"/>
      <c r="K39" s="1"/>
      <c r="L39" s="1"/>
      <c r="M39" s="1"/>
      <c r="N39" s="1">
        <v>66652</v>
      </c>
    </row>
    <row r="40" spans="1:14" x14ac:dyDescent="0.25">
      <c r="A40" s="103" t="s">
        <v>199</v>
      </c>
      <c r="B40" s="1"/>
      <c r="C40" s="1"/>
      <c r="D40" s="1"/>
      <c r="E40" s="1"/>
      <c r="F40" s="1"/>
      <c r="G40" s="1"/>
      <c r="H40" s="1"/>
      <c r="I40" s="1"/>
      <c r="J40" s="1"/>
      <c r="K40" s="1"/>
      <c r="L40" s="1"/>
      <c r="M40" s="1">
        <v>63042</v>
      </c>
      <c r="N40" s="1">
        <v>63042</v>
      </c>
    </row>
    <row r="41" spans="1:14" x14ac:dyDescent="0.25">
      <c r="A41" s="103" t="s">
        <v>10</v>
      </c>
      <c r="B41" s="1">
        <v>28019</v>
      </c>
      <c r="C41" s="1">
        <v>34759</v>
      </c>
      <c r="D41" s="1"/>
      <c r="E41" s="1"/>
      <c r="F41" s="1"/>
      <c r="G41" s="1"/>
      <c r="H41" s="1"/>
      <c r="I41" s="1"/>
      <c r="J41" s="1"/>
      <c r="K41" s="1"/>
      <c r="L41" s="1"/>
      <c r="M41" s="1"/>
      <c r="N41" s="1">
        <v>62778</v>
      </c>
    </row>
    <row r="42" spans="1:14" x14ac:dyDescent="0.25">
      <c r="A42" s="103" t="s">
        <v>24</v>
      </c>
      <c r="B42" s="1"/>
      <c r="C42" s="1"/>
      <c r="D42" s="1"/>
      <c r="E42" s="1"/>
      <c r="F42" s="1"/>
      <c r="G42" s="1"/>
      <c r="H42" s="1"/>
      <c r="I42" s="1">
        <v>62417</v>
      </c>
      <c r="J42" s="1"/>
      <c r="K42" s="1"/>
      <c r="L42" s="1"/>
      <c r="M42" s="1"/>
      <c r="N42" s="1">
        <v>62417</v>
      </c>
    </row>
    <row r="43" spans="1:14" x14ac:dyDescent="0.25">
      <c r="A43" s="103" t="s">
        <v>93</v>
      </c>
      <c r="B43" s="1">
        <v>34109</v>
      </c>
      <c r="C43" s="1"/>
      <c r="D43" s="1"/>
      <c r="E43" s="1"/>
      <c r="F43" s="1"/>
      <c r="G43" s="1">
        <v>24174</v>
      </c>
      <c r="H43" s="1"/>
      <c r="I43" s="1"/>
      <c r="J43" s="1"/>
      <c r="K43" s="1"/>
      <c r="L43" s="1"/>
      <c r="M43" s="1"/>
      <c r="N43" s="1">
        <v>58283</v>
      </c>
    </row>
    <row r="44" spans="1:14" x14ac:dyDescent="0.25">
      <c r="A44" s="103" t="s">
        <v>41</v>
      </c>
      <c r="B44" s="1"/>
      <c r="C44" s="1">
        <v>36195.183539999998</v>
      </c>
      <c r="D44" s="1"/>
      <c r="E44" s="1"/>
      <c r="F44" s="1">
        <v>21246.75</v>
      </c>
      <c r="G44" s="1"/>
      <c r="H44" s="1"/>
      <c r="I44" s="1"/>
      <c r="J44" s="1"/>
      <c r="K44" s="1"/>
      <c r="L44" s="1"/>
      <c r="M44" s="1"/>
      <c r="N44" s="1">
        <v>57441.933539999998</v>
      </c>
    </row>
    <row r="45" spans="1:14" x14ac:dyDescent="0.25">
      <c r="A45" s="103" t="s">
        <v>13</v>
      </c>
      <c r="B45" s="1"/>
      <c r="C45" s="1"/>
      <c r="D45" s="1">
        <v>23461</v>
      </c>
      <c r="E45" s="1">
        <v>21327.41</v>
      </c>
      <c r="F45" s="1"/>
      <c r="G45" s="1">
        <v>11785</v>
      </c>
      <c r="H45" s="1"/>
      <c r="I45" s="1"/>
      <c r="J45" s="1"/>
      <c r="K45" s="1"/>
      <c r="L45" s="1"/>
      <c r="M45" s="1"/>
      <c r="N45" s="1">
        <v>56573.41</v>
      </c>
    </row>
    <row r="46" spans="1:14" x14ac:dyDescent="0.25">
      <c r="A46" s="103" t="s">
        <v>214</v>
      </c>
      <c r="B46" s="1"/>
      <c r="C46" s="1"/>
      <c r="D46" s="1"/>
      <c r="E46" s="1"/>
      <c r="F46" s="1"/>
      <c r="G46" s="1"/>
      <c r="H46" s="1"/>
      <c r="I46" s="1"/>
      <c r="J46" s="1"/>
      <c r="K46" s="1"/>
      <c r="L46" s="1"/>
      <c r="M46" s="1">
        <v>52075</v>
      </c>
      <c r="N46" s="1">
        <v>52075</v>
      </c>
    </row>
    <row r="47" spans="1:14" x14ac:dyDescent="0.25">
      <c r="A47" s="103" t="s">
        <v>28</v>
      </c>
      <c r="B47" s="1"/>
      <c r="C47" s="1"/>
      <c r="D47" s="1">
        <v>31079.115000000002</v>
      </c>
      <c r="E47" s="1"/>
      <c r="F47" s="1"/>
      <c r="G47" s="1">
        <v>17640</v>
      </c>
      <c r="H47" s="1"/>
      <c r="I47" s="1"/>
      <c r="J47" s="1"/>
      <c r="K47" s="1"/>
      <c r="L47" s="1"/>
      <c r="M47" s="1"/>
      <c r="N47" s="1">
        <v>48719.115000000005</v>
      </c>
    </row>
    <row r="48" spans="1:14" x14ac:dyDescent="0.25">
      <c r="A48" s="103" t="s">
        <v>111</v>
      </c>
      <c r="B48" s="1"/>
      <c r="C48" s="1"/>
      <c r="D48" s="1"/>
      <c r="E48" s="1"/>
      <c r="F48" s="1">
        <v>48608</v>
      </c>
      <c r="G48" s="1"/>
      <c r="H48" s="1"/>
      <c r="I48" s="1"/>
      <c r="J48" s="1"/>
      <c r="K48" s="1"/>
      <c r="L48" s="1"/>
      <c r="M48" s="1"/>
      <c r="N48" s="1">
        <v>48608</v>
      </c>
    </row>
    <row r="49" spans="1:14" x14ac:dyDescent="0.25">
      <c r="A49" s="103" t="s">
        <v>102</v>
      </c>
      <c r="B49" s="1"/>
      <c r="C49" s="1"/>
      <c r="D49" s="1"/>
      <c r="E49" s="1"/>
      <c r="F49" s="1"/>
      <c r="G49" s="1">
        <v>47800</v>
      </c>
      <c r="H49" s="1"/>
      <c r="I49" s="1"/>
      <c r="J49" s="1"/>
      <c r="K49" s="1"/>
      <c r="L49" s="1"/>
      <c r="M49" s="1"/>
      <c r="N49" s="1">
        <v>47800</v>
      </c>
    </row>
    <row r="50" spans="1:14" x14ac:dyDescent="0.25">
      <c r="A50" s="103" t="s">
        <v>21</v>
      </c>
      <c r="B50" s="1"/>
      <c r="C50" s="1">
        <v>12823</v>
      </c>
      <c r="D50" s="1">
        <v>8110.6632000000009</v>
      </c>
      <c r="E50" s="1">
        <v>11158</v>
      </c>
      <c r="F50" s="1">
        <v>13091</v>
      </c>
      <c r="G50" s="1"/>
      <c r="H50" s="1"/>
      <c r="I50" s="1"/>
      <c r="J50" s="1"/>
      <c r="K50" s="1"/>
      <c r="L50" s="1"/>
      <c r="M50" s="1"/>
      <c r="N50" s="1">
        <v>45182.663200000003</v>
      </c>
    </row>
    <row r="51" spans="1:14" x14ac:dyDescent="0.25">
      <c r="A51" s="103" t="s">
        <v>17</v>
      </c>
      <c r="B51" s="1">
        <v>43045</v>
      </c>
      <c r="C51" s="1"/>
      <c r="D51" s="1"/>
      <c r="E51" s="1"/>
      <c r="F51" s="1"/>
      <c r="G51" s="1"/>
      <c r="H51" s="1"/>
      <c r="I51" s="1"/>
      <c r="J51" s="1"/>
      <c r="K51" s="1"/>
      <c r="L51" s="1"/>
      <c r="M51" s="1"/>
      <c r="N51" s="1">
        <v>43045</v>
      </c>
    </row>
    <row r="52" spans="1:14" x14ac:dyDescent="0.25">
      <c r="A52" s="103" t="s">
        <v>222</v>
      </c>
      <c r="B52" s="1"/>
      <c r="C52" s="1"/>
      <c r="D52" s="1"/>
      <c r="E52" s="1"/>
      <c r="F52" s="1"/>
      <c r="G52" s="1"/>
      <c r="H52" s="1"/>
      <c r="I52" s="1"/>
      <c r="J52" s="1"/>
      <c r="K52" s="1"/>
      <c r="L52" s="1">
        <v>33407</v>
      </c>
      <c r="M52" s="1">
        <v>7660</v>
      </c>
      <c r="N52" s="1">
        <v>41067</v>
      </c>
    </row>
    <row r="53" spans="1:14" x14ac:dyDescent="0.25">
      <c r="A53" s="103" t="s">
        <v>207</v>
      </c>
      <c r="B53" s="1"/>
      <c r="C53" s="1"/>
      <c r="D53" s="1"/>
      <c r="E53" s="1"/>
      <c r="F53" s="1"/>
      <c r="G53" s="1"/>
      <c r="H53" s="1"/>
      <c r="I53" s="1"/>
      <c r="J53" s="1"/>
      <c r="K53" s="1">
        <v>34388</v>
      </c>
      <c r="L53" s="1"/>
      <c r="M53" s="1">
        <v>3821</v>
      </c>
      <c r="N53" s="1">
        <v>38209</v>
      </c>
    </row>
    <row r="54" spans="1:14" x14ac:dyDescent="0.25">
      <c r="A54" s="103" t="s">
        <v>33</v>
      </c>
      <c r="B54" s="1"/>
      <c r="C54" s="1"/>
      <c r="D54" s="1">
        <v>38176.983</v>
      </c>
      <c r="E54" s="1"/>
      <c r="F54" s="1"/>
      <c r="G54" s="1"/>
      <c r="H54" s="1"/>
      <c r="I54" s="1"/>
      <c r="J54" s="1"/>
      <c r="K54" s="1"/>
      <c r="L54" s="1"/>
      <c r="M54" s="1"/>
      <c r="N54" s="1">
        <v>38176.983</v>
      </c>
    </row>
    <row r="55" spans="1:14" x14ac:dyDescent="0.25">
      <c r="A55" s="103" t="s">
        <v>55</v>
      </c>
      <c r="B55" s="1"/>
      <c r="C55" s="1">
        <v>30254.143500000002</v>
      </c>
      <c r="D55" s="1"/>
      <c r="E55" s="1"/>
      <c r="F55" s="1"/>
      <c r="G55" s="1"/>
      <c r="H55" s="1"/>
      <c r="I55" s="1"/>
      <c r="J55" s="1">
        <v>7263</v>
      </c>
      <c r="K55" s="1"/>
      <c r="L55" s="1"/>
      <c r="M55" s="1"/>
      <c r="N55" s="1">
        <v>37517.143500000006</v>
      </c>
    </row>
    <row r="56" spans="1:14" x14ac:dyDescent="0.25">
      <c r="A56" s="103" t="s">
        <v>73</v>
      </c>
      <c r="B56" s="1"/>
      <c r="C56" s="1"/>
      <c r="D56" s="1"/>
      <c r="E56" s="1"/>
      <c r="F56" s="1"/>
      <c r="G56" s="1"/>
      <c r="H56" s="1"/>
      <c r="I56" s="1">
        <v>36720</v>
      </c>
      <c r="J56" s="1"/>
      <c r="K56" s="1"/>
      <c r="L56" s="1"/>
      <c r="M56" s="1"/>
      <c r="N56" s="1">
        <v>36720</v>
      </c>
    </row>
    <row r="57" spans="1:14" x14ac:dyDescent="0.25">
      <c r="A57" s="103" t="s">
        <v>43</v>
      </c>
      <c r="B57" s="1"/>
      <c r="C57" s="1">
        <v>36147.023883000002</v>
      </c>
      <c r="D57" s="1"/>
      <c r="E57" s="1"/>
      <c r="F57" s="1"/>
      <c r="G57" s="1"/>
      <c r="H57" s="1"/>
      <c r="I57" s="1"/>
      <c r="J57" s="1"/>
      <c r="K57" s="1"/>
      <c r="L57" s="1"/>
      <c r="M57" s="1"/>
      <c r="N57" s="1">
        <v>36147.023883000002</v>
      </c>
    </row>
    <row r="58" spans="1:14" x14ac:dyDescent="0.25">
      <c r="A58" s="103" t="s">
        <v>64</v>
      </c>
      <c r="B58" s="1"/>
      <c r="C58" s="1">
        <v>35295.290100000006</v>
      </c>
      <c r="D58" s="1"/>
      <c r="E58" s="1"/>
      <c r="F58" s="1"/>
      <c r="G58" s="1"/>
      <c r="H58" s="1"/>
      <c r="I58" s="1"/>
      <c r="J58" s="1"/>
      <c r="K58" s="1"/>
      <c r="L58" s="1"/>
      <c r="M58" s="1"/>
      <c r="N58" s="1">
        <v>35295.290100000006</v>
      </c>
    </row>
    <row r="59" spans="1:14" x14ac:dyDescent="0.25">
      <c r="A59" s="103" t="s">
        <v>197</v>
      </c>
      <c r="B59" s="1"/>
      <c r="C59" s="1"/>
      <c r="D59" s="1"/>
      <c r="E59" s="1"/>
      <c r="F59" s="1"/>
      <c r="G59" s="1"/>
      <c r="H59" s="1"/>
      <c r="I59" s="1"/>
      <c r="J59" s="1"/>
      <c r="K59" s="1">
        <v>33707.714285714283</v>
      </c>
      <c r="L59" s="1"/>
      <c r="M59" s="1"/>
      <c r="N59" s="1">
        <v>33707.714285714283</v>
      </c>
    </row>
    <row r="60" spans="1:14" x14ac:dyDescent="0.25">
      <c r="A60" s="103" t="s">
        <v>104</v>
      </c>
      <c r="B60" s="1"/>
      <c r="C60" s="1"/>
      <c r="D60" s="1">
        <v>28545</v>
      </c>
      <c r="E60" s="1"/>
      <c r="F60" s="1"/>
      <c r="G60" s="1"/>
      <c r="H60" s="1"/>
      <c r="I60" s="1"/>
      <c r="J60" s="1"/>
      <c r="K60" s="1"/>
      <c r="L60" s="1"/>
      <c r="M60" s="1"/>
      <c r="N60" s="1">
        <v>28545</v>
      </c>
    </row>
    <row r="61" spans="1:14" x14ac:dyDescent="0.25">
      <c r="A61" s="103" t="s">
        <v>205</v>
      </c>
      <c r="B61" s="1"/>
      <c r="C61" s="1"/>
      <c r="D61" s="1"/>
      <c r="E61" s="1"/>
      <c r="F61" s="1"/>
      <c r="G61" s="1"/>
      <c r="H61" s="1"/>
      <c r="I61" s="1"/>
      <c r="J61" s="1"/>
      <c r="K61" s="1"/>
      <c r="L61" s="1">
        <v>27222</v>
      </c>
      <c r="M61" s="1"/>
      <c r="N61" s="1">
        <v>27222</v>
      </c>
    </row>
    <row r="62" spans="1:14" x14ac:dyDescent="0.25">
      <c r="A62" s="103" t="s">
        <v>88</v>
      </c>
      <c r="B62" s="1">
        <v>17812</v>
      </c>
      <c r="C62" s="1">
        <v>6266</v>
      </c>
      <c r="D62" s="1"/>
      <c r="E62" s="1"/>
      <c r="F62" s="1"/>
      <c r="G62" s="1"/>
      <c r="H62" s="1"/>
      <c r="I62" s="1"/>
      <c r="J62" s="1"/>
      <c r="K62" s="1"/>
      <c r="L62" s="1"/>
      <c r="M62" s="1"/>
      <c r="N62" s="1">
        <v>24078</v>
      </c>
    </row>
    <row r="63" spans="1:14" x14ac:dyDescent="0.25">
      <c r="A63" s="103" t="s">
        <v>68</v>
      </c>
      <c r="B63" s="1"/>
      <c r="C63" s="1"/>
      <c r="D63" s="1"/>
      <c r="E63" s="1">
        <v>23720</v>
      </c>
      <c r="F63" s="1"/>
      <c r="G63" s="1"/>
      <c r="H63" s="1"/>
      <c r="I63" s="1"/>
      <c r="J63" s="1"/>
      <c r="K63" s="1"/>
      <c r="L63" s="1"/>
      <c r="M63" s="1"/>
      <c r="N63" s="1">
        <v>23720</v>
      </c>
    </row>
    <row r="64" spans="1:14" x14ac:dyDescent="0.25">
      <c r="A64" s="103" t="s">
        <v>200</v>
      </c>
      <c r="B64" s="1"/>
      <c r="C64" s="1"/>
      <c r="D64" s="1"/>
      <c r="E64" s="1"/>
      <c r="F64" s="1"/>
      <c r="G64" s="1"/>
      <c r="H64" s="1"/>
      <c r="I64" s="1"/>
      <c r="J64" s="1"/>
      <c r="K64" s="1"/>
      <c r="L64" s="1">
        <v>22807</v>
      </c>
      <c r="M64" s="1"/>
      <c r="N64" s="1">
        <v>22807</v>
      </c>
    </row>
    <row r="65" spans="1:14" x14ac:dyDescent="0.25">
      <c r="A65" s="103" t="s">
        <v>80</v>
      </c>
      <c r="B65" s="1"/>
      <c r="C65" s="1">
        <v>22411</v>
      </c>
      <c r="D65" s="1"/>
      <c r="E65" s="1"/>
      <c r="F65" s="1"/>
      <c r="G65" s="1"/>
      <c r="H65" s="1"/>
      <c r="I65" s="1"/>
      <c r="J65" s="1"/>
      <c r="K65" s="1"/>
      <c r="L65" s="1"/>
      <c r="M65" s="1"/>
      <c r="N65" s="1">
        <v>22411</v>
      </c>
    </row>
    <row r="66" spans="1:14" x14ac:dyDescent="0.25">
      <c r="A66" s="103" t="s">
        <v>198</v>
      </c>
      <c r="B66" s="1"/>
      <c r="C66" s="1"/>
      <c r="D66" s="1"/>
      <c r="E66" s="1"/>
      <c r="F66" s="1"/>
      <c r="G66" s="1"/>
      <c r="H66" s="1"/>
      <c r="I66" s="1"/>
      <c r="J66" s="1"/>
      <c r="K66" s="1"/>
      <c r="L66" s="1">
        <v>20841</v>
      </c>
      <c r="M66" s="1"/>
      <c r="N66" s="1">
        <v>20841</v>
      </c>
    </row>
    <row r="67" spans="1:14" x14ac:dyDescent="0.25">
      <c r="A67" s="103" t="s">
        <v>72</v>
      </c>
      <c r="B67" s="1">
        <v>20456</v>
      </c>
      <c r="C67" s="1"/>
      <c r="D67" s="1"/>
      <c r="E67" s="1"/>
      <c r="F67" s="1"/>
      <c r="G67" s="1"/>
      <c r="H67" s="1"/>
      <c r="I67" s="1"/>
      <c r="J67" s="1"/>
      <c r="K67" s="1"/>
      <c r="L67" s="1"/>
      <c r="M67" s="1"/>
      <c r="N67" s="1">
        <v>20456</v>
      </c>
    </row>
    <row r="68" spans="1:14" x14ac:dyDescent="0.25">
      <c r="A68" s="103" t="s">
        <v>95</v>
      </c>
      <c r="B68" s="1"/>
      <c r="C68" s="1"/>
      <c r="D68" s="1"/>
      <c r="E68" s="1"/>
      <c r="F68" s="1"/>
      <c r="G68" s="1"/>
      <c r="H68" s="1"/>
      <c r="I68" s="1">
        <v>20000</v>
      </c>
      <c r="J68" s="1"/>
      <c r="K68" s="1"/>
      <c r="L68" s="1"/>
      <c r="M68" s="1"/>
      <c r="N68" s="1">
        <v>20000</v>
      </c>
    </row>
    <row r="69" spans="1:14" x14ac:dyDescent="0.25">
      <c r="A69" s="103" t="s">
        <v>201</v>
      </c>
      <c r="B69" s="1"/>
      <c r="C69" s="1"/>
      <c r="D69" s="1"/>
      <c r="E69" s="1"/>
      <c r="F69" s="1"/>
      <c r="G69" s="1"/>
      <c r="H69" s="1">
        <v>5398</v>
      </c>
      <c r="I69" s="1"/>
      <c r="J69" s="1"/>
      <c r="K69" s="1"/>
      <c r="L69" s="1">
        <v>14568.25</v>
      </c>
      <c r="M69" s="1"/>
      <c r="N69" s="1">
        <v>19966.25</v>
      </c>
    </row>
    <row r="70" spans="1:14" x14ac:dyDescent="0.25">
      <c r="A70" s="103" t="s">
        <v>8</v>
      </c>
      <c r="B70" s="1">
        <v>9454</v>
      </c>
      <c r="C70" s="1"/>
      <c r="D70" s="1"/>
      <c r="E70" s="1"/>
      <c r="F70" s="1">
        <v>8092</v>
      </c>
      <c r="G70" s="1"/>
      <c r="H70" s="1"/>
      <c r="I70" s="1"/>
      <c r="J70" s="1"/>
      <c r="K70" s="1"/>
      <c r="L70" s="1"/>
      <c r="M70" s="1"/>
      <c r="N70" s="1">
        <v>17546</v>
      </c>
    </row>
    <row r="71" spans="1:14" x14ac:dyDescent="0.25">
      <c r="A71" s="103" t="s">
        <v>59</v>
      </c>
      <c r="B71" s="1"/>
      <c r="C71" s="1">
        <v>14882.6934</v>
      </c>
      <c r="D71" s="1"/>
      <c r="E71" s="1"/>
      <c r="F71" s="1"/>
      <c r="G71" s="1"/>
      <c r="H71" s="1"/>
      <c r="I71" s="1"/>
      <c r="J71" s="1"/>
      <c r="K71" s="1"/>
      <c r="L71" s="1"/>
      <c r="M71" s="1"/>
      <c r="N71" s="1">
        <v>14882.6934</v>
      </c>
    </row>
    <row r="72" spans="1:14" x14ac:dyDescent="0.25">
      <c r="A72" s="103" t="s">
        <v>82</v>
      </c>
      <c r="B72" s="1">
        <v>13823</v>
      </c>
      <c r="C72" s="1"/>
      <c r="D72" s="1"/>
      <c r="E72" s="1"/>
      <c r="F72" s="1"/>
      <c r="G72" s="1"/>
      <c r="H72" s="1"/>
      <c r="I72" s="1"/>
      <c r="J72" s="1"/>
      <c r="K72" s="1"/>
      <c r="L72" s="1"/>
      <c r="M72" s="1"/>
      <c r="N72" s="1">
        <v>13823</v>
      </c>
    </row>
    <row r="73" spans="1:14" x14ac:dyDescent="0.25">
      <c r="A73" s="103" t="s">
        <v>217</v>
      </c>
      <c r="B73" s="1"/>
      <c r="C73" s="1"/>
      <c r="D73" s="1"/>
      <c r="E73" s="1"/>
      <c r="F73" s="1"/>
      <c r="G73" s="1"/>
      <c r="H73" s="1"/>
      <c r="I73" s="1"/>
      <c r="J73" s="1"/>
      <c r="K73" s="1">
        <v>12000</v>
      </c>
      <c r="L73" s="1"/>
      <c r="M73" s="1"/>
      <c r="N73" s="1">
        <v>12000</v>
      </c>
    </row>
    <row r="74" spans="1:14" x14ac:dyDescent="0.25">
      <c r="A74" s="103" t="s">
        <v>57</v>
      </c>
      <c r="B74" s="1"/>
      <c r="C74" s="1"/>
      <c r="D74" s="1"/>
      <c r="E74" s="1"/>
      <c r="F74" s="1"/>
      <c r="G74" s="1"/>
      <c r="H74" s="1">
        <v>10263</v>
      </c>
      <c r="I74" s="1"/>
      <c r="J74" s="1"/>
      <c r="K74" s="1"/>
      <c r="L74" s="1"/>
      <c r="M74" s="1"/>
      <c r="N74" s="1">
        <v>10263</v>
      </c>
    </row>
    <row r="75" spans="1:14" x14ac:dyDescent="0.25">
      <c r="A75" s="103" t="s">
        <v>211</v>
      </c>
      <c r="B75" s="1"/>
      <c r="C75" s="1"/>
      <c r="D75" s="1"/>
      <c r="E75" s="1"/>
      <c r="F75" s="1"/>
      <c r="G75" s="1"/>
      <c r="H75" s="1"/>
      <c r="I75" s="1"/>
      <c r="J75" s="1"/>
      <c r="K75" s="1"/>
      <c r="L75" s="1">
        <v>10175</v>
      </c>
      <c r="M75" s="1"/>
      <c r="N75" s="1">
        <v>10175</v>
      </c>
    </row>
    <row r="76" spans="1:14" x14ac:dyDescent="0.25">
      <c r="A76" s="103" t="s">
        <v>26</v>
      </c>
      <c r="B76" s="1"/>
      <c r="C76" s="1"/>
      <c r="D76" s="1"/>
      <c r="E76" s="1"/>
      <c r="F76" s="1"/>
      <c r="G76" s="1"/>
      <c r="H76" s="1"/>
      <c r="I76" s="1"/>
      <c r="J76" s="1"/>
      <c r="K76" s="1"/>
      <c r="L76" s="1"/>
      <c r="M76" s="1"/>
      <c r="N76" s="1"/>
    </row>
    <row r="77" spans="1:14" x14ac:dyDescent="0.25">
      <c r="A77" s="103" t="s">
        <v>114</v>
      </c>
      <c r="B77" s="1">
        <v>724719.14960999996</v>
      </c>
      <c r="C77" s="1">
        <v>932410.46701300004</v>
      </c>
      <c r="D77" s="1">
        <v>780074.87601105007</v>
      </c>
      <c r="E77" s="1">
        <v>600926.56999999995</v>
      </c>
      <c r="F77" s="1">
        <v>628176.30000000005</v>
      </c>
      <c r="G77" s="1">
        <v>796954.3</v>
      </c>
      <c r="H77" s="1">
        <v>827326.83830188669</v>
      </c>
      <c r="I77" s="1">
        <v>948921.71722264157</v>
      </c>
      <c r="J77" s="1">
        <v>613692.25651376147</v>
      </c>
      <c r="K77" s="1">
        <v>786140.91428571439</v>
      </c>
      <c r="L77" s="1">
        <v>573499.49566238536</v>
      </c>
      <c r="M77" s="1">
        <v>818258.4339622641</v>
      </c>
      <c r="N77" s="1">
        <v>9031101.3185827043</v>
      </c>
    </row>
    <row r="82" spans="11:11" x14ac:dyDescent="0.25">
      <c r="K82" s="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57212-625A-487B-A9B6-6455903B4B71}">
  <sheetPr codeName="Hoja5">
    <tabColor rgb="FF002060"/>
  </sheetPr>
  <dimension ref="A1:X628"/>
  <sheetViews>
    <sheetView topLeftCell="C1" zoomScale="80" zoomScaleNormal="80" workbookViewId="0">
      <pane ySplit="1" topLeftCell="A116" activePane="bottomLeft" state="frozen"/>
      <selection pane="bottomLeft" activeCell="U131" sqref="U131:U615"/>
    </sheetView>
  </sheetViews>
  <sheetFormatPr baseColWidth="10" defaultColWidth="11.5703125" defaultRowHeight="15" outlineLevelCol="1" x14ac:dyDescent="0.25"/>
  <cols>
    <col min="1" max="1" width="5.42578125" style="94" customWidth="1"/>
    <col min="2" max="2" width="25.5703125" style="94" bestFit="1" customWidth="1"/>
    <col min="3" max="3" width="46" style="94" bestFit="1" customWidth="1"/>
    <col min="4" max="4" width="44.5703125" style="94" customWidth="1" outlineLevel="1"/>
    <col min="5" max="5" width="18.5703125" style="101" customWidth="1" outlineLevel="1"/>
    <col min="6" max="6" width="8" style="94" customWidth="1" outlineLevel="1"/>
    <col min="7" max="7" width="9.42578125" style="94" customWidth="1" outlineLevel="1"/>
    <col min="8" max="8" width="16.42578125" style="94" customWidth="1" outlineLevel="1"/>
    <col min="9" max="9" width="14.140625" style="94" customWidth="1" outlineLevel="1"/>
    <col min="10" max="10" width="14.5703125" style="94" customWidth="1" outlineLevel="1"/>
    <col min="11" max="11" width="8.140625" style="94" customWidth="1" outlineLevel="1"/>
    <col min="12" max="12" width="7.5703125" style="94" customWidth="1"/>
    <col min="13" max="13" width="9.5703125" style="95" customWidth="1"/>
    <col min="14" max="14" width="15.5703125" style="97" customWidth="1"/>
    <col min="15" max="15" width="15" style="94" customWidth="1"/>
    <col min="16" max="16" width="10" style="94" customWidth="1"/>
    <col min="17" max="17" width="10.5703125" style="94" customWidth="1"/>
    <col min="18" max="18" width="12" style="97" customWidth="1"/>
    <col min="19" max="19" width="10.5703125" style="94" customWidth="1"/>
    <col min="20" max="20" width="8.5703125" style="94" bestFit="1" customWidth="1"/>
    <col min="21" max="21" width="14" style="97" bestFit="1" customWidth="1"/>
    <col min="22" max="22" width="17.42578125" style="94" customWidth="1"/>
    <col min="23" max="16384" width="11.5703125" style="94"/>
  </cols>
  <sheetData>
    <row r="1" spans="1:22" s="93" customFormat="1" ht="24" x14ac:dyDescent="0.25">
      <c r="A1" s="93" t="s">
        <v>235</v>
      </c>
      <c r="B1" s="93" t="s">
        <v>0</v>
      </c>
      <c r="C1" s="93" t="s">
        <v>1</v>
      </c>
      <c r="D1" s="93" t="s">
        <v>2</v>
      </c>
      <c r="E1" s="93" t="s">
        <v>236</v>
      </c>
      <c r="F1" s="93" t="s">
        <v>3</v>
      </c>
      <c r="G1" s="93" t="s">
        <v>237</v>
      </c>
      <c r="H1" s="93" t="s">
        <v>238</v>
      </c>
      <c r="I1" s="93" t="s">
        <v>239</v>
      </c>
      <c r="J1" s="93" t="s">
        <v>240</v>
      </c>
      <c r="K1" s="93" t="s">
        <v>241</v>
      </c>
      <c r="L1" s="107" t="s">
        <v>242</v>
      </c>
      <c r="M1" s="93" t="s">
        <v>243</v>
      </c>
      <c r="N1" s="113" t="s">
        <v>244</v>
      </c>
      <c r="O1" s="93" t="s">
        <v>245</v>
      </c>
      <c r="P1" s="93" t="s">
        <v>246</v>
      </c>
      <c r="Q1" s="93" t="s">
        <v>247</v>
      </c>
      <c r="R1" s="113" t="s">
        <v>248</v>
      </c>
      <c r="S1" s="93" t="s">
        <v>249</v>
      </c>
      <c r="T1" s="93" t="s">
        <v>250</v>
      </c>
      <c r="U1" s="113" t="s">
        <v>251</v>
      </c>
      <c r="V1" s="93" t="s">
        <v>252</v>
      </c>
    </row>
    <row r="2" spans="1:22" ht="12" hidden="1" x14ac:dyDescent="0.25">
      <c r="A2" s="94">
        <v>1</v>
      </c>
      <c r="C2" s="94">
        <v>0</v>
      </c>
      <c r="D2" s="94" t="s">
        <v>253</v>
      </c>
      <c r="E2" s="94" t="s">
        <v>254</v>
      </c>
      <c r="F2" s="94" t="s">
        <v>18</v>
      </c>
      <c r="G2" s="94">
        <v>2024</v>
      </c>
      <c r="H2" s="94">
        <v>-1</v>
      </c>
      <c r="I2" s="95"/>
      <c r="J2" s="96"/>
      <c r="K2" s="94">
        <v>-1</v>
      </c>
      <c r="L2" s="117">
        <v>45485</v>
      </c>
      <c r="M2" s="94">
        <v>0</v>
      </c>
      <c r="N2" s="97">
        <v>0</v>
      </c>
      <c r="O2" s="126" t="s">
        <v>255</v>
      </c>
      <c r="P2" s="127">
        <v>45485</v>
      </c>
      <c r="Q2" s="94">
        <v>-1</v>
      </c>
      <c r="R2" s="97">
        <v>0</v>
      </c>
      <c r="S2" s="94">
        <v>1</v>
      </c>
      <c r="T2" s="128">
        <v>45485</v>
      </c>
      <c r="U2" s="97">
        <v>43052.599788760286</v>
      </c>
    </row>
    <row r="3" spans="1:22" ht="12" hidden="1" x14ac:dyDescent="0.25">
      <c r="A3" s="94">
        <v>2</v>
      </c>
      <c r="C3" s="94">
        <v>0</v>
      </c>
      <c r="D3" s="94" t="s">
        <v>670</v>
      </c>
      <c r="E3" s="94" t="s">
        <v>254</v>
      </c>
      <c r="F3" s="94" t="s">
        <v>18</v>
      </c>
      <c r="G3" s="94">
        <v>2025</v>
      </c>
      <c r="H3" s="94">
        <v>-1</v>
      </c>
      <c r="I3" s="95"/>
      <c r="J3" s="96"/>
      <c r="K3" s="94">
        <v>-1</v>
      </c>
      <c r="L3" s="117">
        <v>45980</v>
      </c>
      <c r="M3" s="94">
        <v>0</v>
      </c>
      <c r="N3" s="97">
        <v>0</v>
      </c>
      <c r="O3" s="126" t="s">
        <v>255</v>
      </c>
      <c r="P3" s="127">
        <v>45980</v>
      </c>
      <c r="Q3" s="94">
        <v>-1</v>
      </c>
      <c r="R3" s="97">
        <v>0</v>
      </c>
      <c r="S3" s="94">
        <v>1</v>
      </c>
      <c r="T3" s="128">
        <v>45980</v>
      </c>
      <c r="U3" s="97">
        <v>50646</v>
      </c>
      <c r="V3" s="94" t="s">
        <v>671</v>
      </c>
    </row>
    <row r="4" spans="1:22" ht="12" hidden="1" x14ac:dyDescent="0.25">
      <c r="A4" s="94">
        <v>3</v>
      </c>
      <c r="C4" s="94">
        <v>0</v>
      </c>
      <c r="D4" s="94" t="s">
        <v>672</v>
      </c>
      <c r="E4" s="94" t="s">
        <v>254</v>
      </c>
      <c r="F4" s="94" t="s">
        <v>18</v>
      </c>
      <c r="G4" s="94">
        <v>2025</v>
      </c>
      <c r="H4" s="94">
        <v>-1</v>
      </c>
      <c r="I4" s="95"/>
      <c r="J4" s="96"/>
      <c r="K4" s="94">
        <v>-1</v>
      </c>
      <c r="L4" s="117">
        <v>45940</v>
      </c>
      <c r="M4" s="94">
        <v>0</v>
      </c>
      <c r="N4" s="97">
        <v>0</v>
      </c>
      <c r="O4" s="126" t="s">
        <v>255</v>
      </c>
      <c r="P4" s="127">
        <v>45940</v>
      </c>
      <c r="Q4" s="94">
        <v>-1</v>
      </c>
      <c r="R4" s="97">
        <v>0</v>
      </c>
      <c r="S4" s="94">
        <v>1</v>
      </c>
      <c r="T4" s="128">
        <v>45940</v>
      </c>
      <c r="U4" s="97">
        <v>12155</v>
      </c>
    </row>
    <row r="5" spans="1:22" ht="12" hidden="1" x14ac:dyDescent="0.25">
      <c r="A5" s="94">
        <v>4</v>
      </c>
      <c r="C5" s="94">
        <v>0</v>
      </c>
      <c r="D5" s="94" t="s">
        <v>95</v>
      </c>
      <c r="E5" s="94" t="s">
        <v>95</v>
      </c>
      <c r="F5" s="94" t="s">
        <v>96</v>
      </c>
      <c r="G5" s="94">
        <v>2024</v>
      </c>
      <c r="H5" s="94">
        <v>-1</v>
      </c>
      <c r="I5" s="95"/>
      <c r="J5" s="96"/>
      <c r="K5" s="94">
        <v>1</v>
      </c>
      <c r="L5" s="117">
        <v>45541</v>
      </c>
      <c r="M5" s="94">
        <v>1</v>
      </c>
      <c r="N5" s="97">
        <v>7150</v>
      </c>
      <c r="O5" s="126" t="s">
        <v>255</v>
      </c>
      <c r="P5" s="127">
        <v>45541</v>
      </c>
      <c r="Q5" s="94">
        <v>1</v>
      </c>
      <c r="R5" s="97">
        <v>7150</v>
      </c>
      <c r="S5" s="94">
        <v>1</v>
      </c>
      <c r="T5" s="128">
        <v>45558</v>
      </c>
      <c r="U5" s="97">
        <v>7150</v>
      </c>
      <c r="V5" s="94" t="s">
        <v>256</v>
      </c>
    </row>
    <row r="6" spans="1:22" ht="12" hidden="1" x14ac:dyDescent="0.25">
      <c r="A6" s="94">
        <v>5</v>
      </c>
      <c r="C6" s="94">
        <v>0</v>
      </c>
      <c r="D6" s="94" t="s">
        <v>673</v>
      </c>
      <c r="E6" s="94" t="s">
        <v>674</v>
      </c>
      <c r="F6" s="94" t="s">
        <v>18</v>
      </c>
      <c r="G6" s="94">
        <v>2025</v>
      </c>
      <c r="H6" s="94">
        <v>-1</v>
      </c>
      <c r="I6" s="95"/>
      <c r="J6" s="96"/>
      <c r="K6" s="94">
        <v>-1</v>
      </c>
      <c r="L6" s="117">
        <v>45929</v>
      </c>
      <c r="M6" s="94">
        <v>0</v>
      </c>
      <c r="N6" s="97">
        <v>0</v>
      </c>
      <c r="O6" s="126">
        <v>345</v>
      </c>
      <c r="P6" s="127">
        <v>45929</v>
      </c>
      <c r="Q6" s="94">
        <v>1</v>
      </c>
      <c r="R6" s="97">
        <v>22182</v>
      </c>
      <c r="S6" s="94">
        <v>1</v>
      </c>
      <c r="T6" s="128">
        <v>45988</v>
      </c>
      <c r="U6" s="97">
        <v>22182</v>
      </c>
    </row>
    <row r="7" spans="1:22" ht="12" hidden="1" x14ac:dyDescent="0.25">
      <c r="A7" s="94">
        <v>6</v>
      </c>
      <c r="C7" s="94">
        <v>0</v>
      </c>
      <c r="D7" s="94" t="s">
        <v>219</v>
      </c>
      <c r="E7" s="94" t="s">
        <v>257</v>
      </c>
      <c r="F7" s="94" t="s">
        <v>96</v>
      </c>
      <c r="G7" s="94">
        <v>2025</v>
      </c>
      <c r="H7" s="94">
        <v>-1</v>
      </c>
      <c r="I7" s="95"/>
      <c r="J7" s="96"/>
      <c r="K7" s="94">
        <v>-1</v>
      </c>
      <c r="L7" s="117">
        <v>45898</v>
      </c>
      <c r="M7" s="94">
        <v>0</v>
      </c>
      <c r="N7" s="97">
        <v>0</v>
      </c>
      <c r="O7" s="126" t="s">
        <v>255</v>
      </c>
      <c r="P7" s="127">
        <v>45898</v>
      </c>
      <c r="Q7" s="94">
        <v>1</v>
      </c>
      <c r="R7" s="97">
        <v>44465</v>
      </c>
      <c r="S7" s="94">
        <v>1</v>
      </c>
      <c r="T7" s="128">
        <v>45939</v>
      </c>
      <c r="U7" s="97">
        <v>44465</v>
      </c>
      <c r="V7" s="94" t="s">
        <v>259</v>
      </c>
    </row>
    <row r="8" spans="1:22" ht="12" hidden="1" x14ac:dyDescent="0.25">
      <c r="A8" s="94">
        <v>7</v>
      </c>
      <c r="B8" s="98" t="s">
        <v>260</v>
      </c>
      <c r="C8" s="98" t="s">
        <v>723</v>
      </c>
      <c r="D8" s="98" t="s">
        <v>261</v>
      </c>
      <c r="E8" s="98" t="s">
        <v>262</v>
      </c>
      <c r="F8" s="98" t="s">
        <v>70</v>
      </c>
      <c r="G8" s="98">
        <v>2023</v>
      </c>
      <c r="H8" s="98">
        <v>1</v>
      </c>
      <c r="I8" s="111">
        <v>45170</v>
      </c>
      <c r="J8" s="129">
        <v>165237</v>
      </c>
      <c r="K8" s="98">
        <v>1</v>
      </c>
      <c r="L8" s="111">
        <v>45194</v>
      </c>
      <c r="M8" s="98">
        <v>1</v>
      </c>
      <c r="N8" s="129">
        <v>165237</v>
      </c>
      <c r="O8" s="130" t="s">
        <v>263</v>
      </c>
      <c r="P8" s="131">
        <v>45222</v>
      </c>
      <c r="Q8" s="98">
        <v>1</v>
      </c>
      <c r="R8" s="129">
        <v>165237</v>
      </c>
      <c r="S8" s="94">
        <v>1</v>
      </c>
      <c r="T8" s="132">
        <v>45231</v>
      </c>
      <c r="U8" s="129">
        <v>165194.82999999999</v>
      </c>
      <c r="V8" s="98" t="s">
        <v>264</v>
      </c>
    </row>
    <row r="9" spans="1:22" ht="12" hidden="1" x14ac:dyDescent="0.25">
      <c r="A9" s="94">
        <v>8</v>
      </c>
      <c r="B9" s="94" t="s">
        <v>265</v>
      </c>
      <c r="C9" s="94" t="s">
        <v>724</v>
      </c>
      <c r="D9" s="94" t="s">
        <v>266</v>
      </c>
      <c r="E9" s="94" t="s">
        <v>254</v>
      </c>
      <c r="F9" s="94" t="s">
        <v>18</v>
      </c>
      <c r="G9" s="94">
        <v>2023</v>
      </c>
      <c r="H9" s="94">
        <v>-1</v>
      </c>
      <c r="I9" s="95"/>
      <c r="J9" s="96"/>
      <c r="K9" s="94">
        <v>1</v>
      </c>
      <c r="L9" s="95">
        <v>44916</v>
      </c>
      <c r="M9" s="94">
        <v>1</v>
      </c>
      <c r="N9" s="97">
        <v>48961.63</v>
      </c>
      <c r="O9" s="126">
        <v>42</v>
      </c>
      <c r="P9" s="127">
        <v>44936</v>
      </c>
      <c r="Q9" s="94">
        <v>1</v>
      </c>
      <c r="R9" s="97">
        <v>48961.63</v>
      </c>
      <c r="S9" s="94">
        <v>1</v>
      </c>
      <c r="T9" s="128">
        <v>44951</v>
      </c>
      <c r="U9" s="97">
        <v>46513.548499999997</v>
      </c>
    </row>
    <row r="10" spans="1:22" ht="12" hidden="1" x14ac:dyDescent="0.25">
      <c r="A10" s="94">
        <v>9</v>
      </c>
      <c r="B10" s="94" t="s">
        <v>265</v>
      </c>
      <c r="C10" s="94" t="s">
        <v>724</v>
      </c>
      <c r="D10" s="94" t="s">
        <v>266</v>
      </c>
      <c r="E10" s="94" t="s">
        <v>254</v>
      </c>
      <c r="F10" s="94" t="s">
        <v>18</v>
      </c>
      <c r="G10" s="94">
        <v>2023</v>
      </c>
      <c r="H10" s="94">
        <v>-1</v>
      </c>
      <c r="I10" s="95"/>
      <c r="J10" s="96"/>
      <c r="K10" s="94">
        <v>1</v>
      </c>
      <c r="L10" s="95">
        <v>44916</v>
      </c>
      <c r="M10" s="94">
        <v>1</v>
      </c>
      <c r="N10" s="133">
        <v>2880.1731874999996</v>
      </c>
      <c r="O10" s="126">
        <v>47</v>
      </c>
      <c r="P10" s="127">
        <v>44980</v>
      </c>
      <c r="Q10" s="94">
        <v>1</v>
      </c>
      <c r="R10" s="97">
        <v>2880.1731874999996</v>
      </c>
      <c r="S10" s="94">
        <v>1</v>
      </c>
      <c r="T10" s="128">
        <v>44986</v>
      </c>
      <c r="U10" s="97">
        <v>2736.1645281249994</v>
      </c>
    </row>
    <row r="11" spans="1:22" ht="12" hidden="1" x14ac:dyDescent="0.25">
      <c r="A11" s="94">
        <v>10</v>
      </c>
      <c r="B11" s="94" t="s">
        <v>265</v>
      </c>
      <c r="C11" s="94" t="s">
        <v>724</v>
      </c>
      <c r="D11" s="94" t="s">
        <v>266</v>
      </c>
      <c r="E11" s="94" t="s">
        <v>254</v>
      </c>
      <c r="F11" s="94" t="s">
        <v>18</v>
      </c>
      <c r="G11" s="94">
        <v>2023</v>
      </c>
      <c r="H11" s="94">
        <v>-1</v>
      </c>
      <c r="I11" s="95"/>
      <c r="J11" s="96"/>
      <c r="K11" s="94">
        <v>1</v>
      </c>
      <c r="L11" s="95">
        <v>44978</v>
      </c>
      <c r="M11" s="94">
        <v>2</v>
      </c>
      <c r="N11" s="97">
        <v>35461.962500000001</v>
      </c>
      <c r="O11" s="126">
        <v>54</v>
      </c>
      <c r="P11" s="127">
        <v>44992</v>
      </c>
      <c r="Q11" s="94">
        <v>1</v>
      </c>
      <c r="R11" s="97">
        <v>35461.962500000001</v>
      </c>
      <c r="S11" s="94">
        <v>1</v>
      </c>
      <c r="T11" s="128">
        <v>45000</v>
      </c>
      <c r="U11" s="97">
        <v>33688.864374999997</v>
      </c>
    </row>
    <row r="12" spans="1:22" ht="12" hidden="1" x14ac:dyDescent="0.25">
      <c r="A12" s="94">
        <v>11</v>
      </c>
      <c r="B12" s="94" t="s">
        <v>265</v>
      </c>
      <c r="C12" s="94" t="s">
        <v>724</v>
      </c>
      <c r="D12" s="94" t="s">
        <v>266</v>
      </c>
      <c r="E12" s="94" t="s">
        <v>254</v>
      </c>
      <c r="F12" s="94" t="s">
        <v>18</v>
      </c>
      <c r="G12" s="94">
        <v>2023</v>
      </c>
      <c r="H12" s="94">
        <v>-1</v>
      </c>
      <c r="I12" s="95"/>
      <c r="J12" s="96"/>
      <c r="K12" s="94">
        <v>1</v>
      </c>
      <c r="L12" s="95">
        <v>45006</v>
      </c>
      <c r="M12" s="94">
        <v>3</v>
      </c>
      <c r="N12" s="97">
        <v>20262.080000000002</v>
      </c>
      <c r="O12" s="126">
        <v>59</v>
      </c>
      <c r="P12" s="127">
        <v>45021</v>
      </c>
      <c r="Q12" s="94">
        <v>1</v>
      </c>
      <c r="R12" s="97">
        <v>20262.080000000002</v>
      </c>
      <c r="S12" s="94">
        <v>1</v>
      </c>
      <c r="T12" s="128">
        <v>45037</v>
      </c>
      <c r="U12" s="97">
        <v>19248.976000000002</v>
      </c>
    </row>
    <row r="13" spans="1:22" ht="12" hidden="1" x14ac:dyDescent="0.25">
      <c r="A13" s="94">
        <v>12</v>
      </c>
      <c r="B13" s="94" t="s">
        <v>265</v>
      </c>
      <c r="C13" s="94" t="s">
        <v>724</v>
      </c>
      <c r="D13" s="94" t="s">
        <v>266</v>
      </c>
      <c r="E13" s="94" t="s">
        <v>254</v>
      </c>
      <c r="F13" s="94" t="s">
        <v>18</v>
      </c>
      <c r="G13" s="94">
        <v>2023</v>
      </c>
      <c r="H13" s="94">
        <v>-1</v>
      </c>
      <c r="I13" s="95"/>
      <c r="J13" s="96"/>
      <c r="K13" s="94">
        <v>1</v>
      </c>
      <c r="L13" s="95">
        <v>45037</v>
      </c>
      <c r="M13" s="94">
        <v>4</v>
      </c>
      <c r="N13" s="97">
        <v>41629</v>
      </c>
      <c r="O13" s="126">
        <v>74</v>
      </c>
      <c r="P13" s="127">
        <v>45077</v>
      </c>
      <c r="Q13" s="94">
        <v>1</v>
      </c>
      <c r="R13" s="97">
        <v>41719.32</v>
      </c>
      <c r="S13" s="94">
        <v>1</v>
      </c>
      <c r="T13" s="127">
        <v>45091</v>
      </c>
      <c r="U13" s="97">
        <v>39633.353999999999</v>
      </c>
    </row>
    <row r="14" spans="1:22" ht="12" hidden="1" x14ac:dyDescent="0.25">
      <c r="A14" s="94">
        <v>13</v>
      </c>
      <c r="B14" s="94" t="s">
        <v>265</v>
      </c>
      <c r="C14" s="94" t="s">
        <v>724</v>
      </c>
      <c r="D14" s="94" t="s">
        <v>266</v>
      </c>
      <c r="E14" s="94" t="s">
        <v>254</v>
      </c>
      <c r="F14" s="94" t="s">
        <v>18</v>
      </c>
      <c r="G14" s="94">
        <v>2023</v>
      </c>
      <c r="H14" s="94">
        <v>-1</v>
      </c>
      <c r="I14" s="95"/>
      <c r="J14" s="96"/>
      <c r="K14" s="94">
        <v>1</v>
      </c>
      <c r="L14" s="95">
        <v>45067</v>
      </c>
      <c r="M14" s="94">
        <v>5</v>
      </c>
      <c r="N14" s="97">
        <v>29206.65</v>
      </c>
      <c r="O14" s="126">
        <v>76</v>
      </c>
      <c r="P14" s="127">
        <v>45077</v>
      </c>
      <c r="Q14" s="94">
        <v>1</v>
      </c>
      <c r="R14" s="97">
        <v>29206.65</v>
      </c>
      <c r="S14" s="94">
        <v>1</v>
      </c>
      <c r="T14" s="127">
        <v>45091</v>
      </c>
      <c r="U14" s="97">
        <v>27746.317500000001</v>
      </c>
      <c r="V14" s="94" t="s">
        <v>19</v>
      </c>
    </row>
    <row r="15" spans="1:22" ht="12" hidden="1" x14ac:dyDescent="0.25">
      <c r="A15" s="94">
        <v>14</v>
      </c>
      <c r="B15" s="94" t="s">
        <v>265</v>
      </c>
      <c r="C15" s="94" t="s">
        <v>724</v>
      </c>
      <c r="D15" s="94" t="s">
        <v>266</v>
      </c>
      <c r="E15" s="94" t="s">
        <v>254</v>
      </c>
      <c r="F15" s="94" t="s">
        <v>18</v>
      </c>
      <c r="G15" s="94">
        <v>2023</v>
      </c>
      <c r="H15" s="94">
        <v>-1</v>
      </c>
      <c r="I15" s="95"/>
      <c r="J15" s="96"/>
      <c r="K15" s="94">
        <v>1</v>
      </c>
      <c r="L15" s="95">
        <v>45098</v>
      </c>
      <c r="M15" s="94">
        <v>6</v>
      </c>
      <c r="N15" s="97">
        <v>24240</v>
      </c>
      <c r="O15" s="126">
        <v>88</v>
      </c>
      <c r="P15" s="127">
        <v>45112</v>
      </c>
      <c r="Q15" s="94">
        <v>1</v>
      </c>
      <c r="R15" s="97">
        <v>24240</v>
      </c>
      <c r="S15" s="94">
        <v>1</v>
      </c>
      <c r="T15" s="128">
        <v>45128</v>
      </c>
      <c r="U15" s="97">
        <v>23028</v>
      </c>
    </row>
    <row r="16" spans="1:22" ht="12" hidden="1" x14ac:dyDescent="0.25">
      <c r="A16" s="94">
        <v>15</v>
      </c>
      <c r="B16" s="94" t="s">
        <v>265</v>
      </c>
      <c r="C16" s="94" t="s">
        <v>724</v>
      </c>
      <c r="D16" s="94" t="s">
        <v>266</v>
      </c>
      <c r="E16" s="94" t="s">
        <v>254</v>
      </c>
      <c r="F16" s="94" t="s">
        <v>18</v>
      </c>
      <c r="G16" s="94">
        <v>2023</v>
      </c>
      <c r="H16" s="94">
        <v>-1</v>
      </c>
      <c r="I16" s="95"/>
      <c r="J16" s="96"/>
      <c r="K16" s="94">
        <v>1</v>
      </c>
      <c r="L16" s="95">
        <v>45134</v>
      </c>
      <c r="M16" s="94">
        <v>7</v>
      </c>
      <c r="N16" s="97">
        <v>10588.84</v>
      </c>
      <c r="O16" s="126">
        <v>98</v>
      </c>
      <c r="P16" s="127">
        <v>45142</v>
      </c>
      <c r="Q16" s="94">
        <v>1</v>
      </c>
      <c r="R16" s="97">
        <v>10589</v>
      </c>
      <c r="S16" s="94">
        <v>1</v>
      </c>
      <c r="T16" s="128">
        <v>45170</v>
      </c>
      <c r="U16" s="97">
        <v>10059.549999999999</v>
      </c>
    </row>
    <row r="17" spans="1:22" ht="12" hidden="1" x14ac:dyDescent="0.25">
      <c r="A17" s="94">
        <v>16</v>
      </c>
      <c r="B17" s="94" t="s">
        <v>265</v>
      </c>
      <c r="C17" s="94" t="s">
        <v>724</v>
      </c>
      <c r="D17" s="94" t="s">
        <v>266</v>
      </c>
      <c r="E17" s="94" t="s">
        <v>254</v>
      </c>
      <c r="F17" s="94" t="s">
        <v>18</v>
      </c>
      <c r="G17" s="94">
        <v>2023</v>
      </c>
      <c r="H17" s="94">
        <v>1</v>
      </c>
      <c r="I17" s="95">
        <v>45170</v>
      </c>
      <c r="J17" s="96">
        <v>1136</v>
      </c>
      <c r="K17" s="94">
        <v>1</v>
      </c>
      <c r="L17" s="95">
        <v>45194</v>
      </c>
      <c r="M17" s="94">
        <v>8</v>
      </c>
      <c r="N17" s="97">
        <v>274</v>
      </c>
      <c r="O17" s="126">
        <v>120</v>
      </c>
      <c r="P17" s="127">
        <v>45217</v>
      </c>
      <c r="Q17" s="94">
        <v>1</v>
      </c>
      <c r="R17" s="97">
        <v>274</v>
      </c>
      <c r="S17" s="94">
        <v>1</v>
      </c>
      <c r="T17" s="128">
        <v>45232</v>
      </c>
      <c r="U17" s="97">
        <v>260.3</v>
      </c>
    </row>
    <row r="18" spans="1:22" ht="12" hidden="1" x14ac:dyDescent="0.25">
      <c r="A18" s="94">
        <v>17</v>
      </c>
      <c r="B18" s="94" t="s">
        <v>265</v>
      </c>
      <c r="C18" s="94" t="s">
        <v>724</v>
      </c>
      <c r="D18" s="94" t="s">
        <v>266</v>
      </c>
      <c r="E18" s="94" t="s">
        <v>254</v>
      </c>
      <c r="F18" s="94" t="s">
        <v>18</v>
      </c>
      <c r="G18" s="94">
        <v>2023</v>
      </c>
      <c r="H18" s="94">
        <v>1</v>
      </c>
      <c r="I18" s="95">
        <v>45200</v>
      </c>
      <c r="J18" s="96">
        <v>51143</v>
      </c>
      <c r="K18" s="94">
        <v>1</v>
      </c>
      <c r="L18" s="95">
        <v>45222</v>
      </c>
      <c r="M18" s="94">
        <v>9</v>
      </c>
      <c r="N18" s="134">
        <v>51143</v>
      </c>
      <c r="O18" s="126">
        <v>123</v>
      </c>
      <c r="P18" s="127">
        <v>45237</v>
      </c>
      <c r="Q18" s="94">
        <v>1</v>
      </c>
      <c r="R18" s="97">
        <v>51143</v>
      </c>
      <c r="S18" s="94">
        <v>1</v>
      </c>
      <c r="T18" s="128">
        <v>45247</v>
      </c>
      <c r="U18" s="97">
        <v>48585.85</v>
      </c>
    </row>
    <row r="19" spans="1:22" ht="12" hidden="1" x14ac:dyDescent="0.25">
      <c r="A19" s="94">
        <v>18</v>
      </c>
      <c r="B19" s="98" t="s">
        <v>267</v>
      </c>
      <c r="C19" s="98" t="s">
        <v>725</v>
      </c>
      <c r="D19" s="98" t="s">
        <v>268</v>
      </c>
      <c r="E19" s="98" t="s">
        <v>262</v>
      </c>
      <c r="F19" s="98" t="s">
        <v>70</v>
      </c>
      <c r="G19" s="98">
        <v>2023</v>
      </c>
      <c r="H19" s="98">
        <v>-1</v>
      </c>
      <c r="I19" s="111"/>
      <c r="J19" s="135"/>
      <c r="K19" s="98">
        <v>1</v>
      </c>
      <c r="L19" s="111">
        <v>44916</v>
      </c>
      <c r="M19" s="98">
        <v>1</v>
      </c>
      <c r="N19" s="129">
        <v>19250.8</v>
      </c>
      <c r="O19" s="130" t="s">
        <v>269</v>
      </c>
      <c r="P19" s="131">
        <v>45008</v>
      </c>
      <c r="Q19" s="98">
        <v>1</v>
      </c>
      <c r="R19" s="129">
        <v>19250.8</v>
      </c>
      <c r="S19" s="94">
        <v>1</v>
      </c>
      <c r="T19" s="132">
        <v>44988</v>
      </c>
      <c r="U19" s="129">
        <v>19250.8</v>
      </c>
      <c r="V19" s="98"/>
    </row>
    <row r="20" spans="1:22" ht="12" hidden="1" x14ac:dyDescent="0.25">
      <c r="A20" s="94">
        <v>19</v>
      </c>
      <c r="B20" s="98" t="s">
        <v>267</v>
      </c>
      <c r="C20" s="98" t="s">
        <v>725</v>
      </c>
      <c r="D20" s="98" t="s">
        <v>268</v>
      </c>
      <c r="E20" s="98" t="s">
        <v>262</v>
      </c>
      <c r="F20" s="98" t="s">
        <v>70</v>
      </c>
      <c r="G20" s="98">
        <v>2023</v>
      </c>
      <c r="H20" s="98">
        <v>-1</v>
      </c>
      <c r="I20" s="111"/>
      <c r="J20" s="135"/>
      <c r="K20" s="98">
        <v>1</v>
      </c>
      <c r="L20" s="111">
        <v>45098</v>
      </c>
      <c r="M20" s="98">
        <v>2</v>
      </c>
      <c r="N20" s="129">
        <v>17907.507532000003</v>
      </c>
      <c r="O20" s="130" t="s">
        <v>270</v>
      </c>
      <c r="P20" s="131">
        <v>45223</v>
      </c>
      <c r="Q20" s="98">
        <v>1</v>
      </c>
      <c r="R20" s="129">
        <v>17907.507532000003</v>
      </c>
      <c r="S20" s="94">
        <v>1</v>
      </c>
      <c r="T20" s="132">
        <v>45234</v>
      </c>
      <c r="U20" s="129">
        <v>17907.507532000003</v>
      </c>
      <c r="V20" s="116"/>
    </row>
    <row r="21" spans="1:22" ht="12" hidden="1" x14ac:dyDescent="0.25">
      <c r="A21" s="94">
        <v>20</v>
      </c>
      <c r="B21" s="98" t="s">
        <v>267</v>
      </c>
      <c r="C21" s="98" t="s">
        <v>725</v>
      </c>
      <c r="D21" s="98" t="s">
        <v>268</v>
      </c>
      <c r="E21" s="98" t="s">
        <v>262</v>
      </c>
      <c r="F21" s="98" t="s">
        <v>70</v>
      </c>
      <c r="G21" s="98">
        <v>2023</v>
      </c>
      <c r="H21" s="98">
        <v>-1</v>
      </c>
      <c r="I21" s="111"/>
      <c r="J21" s="135"/>
      <c r="K21" s="98">
        <v>1</v>
      </c>
      <c r="L21" s="111">
        <v>45098</v>
      </c>
      <c r="M21" s="98">
        <v>3</v>
      </c>
      <c r="N21" s="129">
        <v>8656.69</v>
      </c>
      <c r="O21" s="130" t="s">
        <v>271</v>
      </c>
      <c r="P21" s="131">
        <v>45134</v>
      </c>
      <c r="Q21" s="98">
        <v>1</v>
      </c>
      <c r="R21" s="129">
        <v>8656.69</v>
      </c>
      <c r="S21" s="94">
        <v>1</v>
      </c>
      <c r="T21" s="132">
        <v>45141</v>
      </c>
      <c r="U21" s="129">
        <v>8656.69</v>
      </c>
      <c r="V21" s="116"/>
    </row>
    <row r="22" spans="1:22" ht="12" hidden="1" x14ac:dyDescent="0.25">
      <c r="A22" s="94">
        <v>21</v>
      </c>
      <c r="B22" s="94" t="s">
        <v>272</v>
      </c>
      <c r="C22" s="94" t="s">
        <v>273</v>
      </c>
      <c r="D22" s="94" t="s">
        <v>273</v>
      </c>
      <c r="E22" s="94" t="s">
        <v>254</v>
      </c>
      <c r="F22" s="94" t="s">
        <v>18</v>
      </c>
      <c r="G22" s="94">
        <v>2023</v>
      </c>
      <c r="H22" s="94">
        <v>-1</v>
      </c>
      <c r="I22" s="95"/>
      <c r="J22" s="96"/>
      <c r="K22" s="94">
        <v>1</v>
      </c>
      <c r="L22" s="95">
        <v>44916</v>
      </c>
      <c r="M22" s="94">
        <v>6</v>
      </c>
      <c r="N22" s="97">
        <v>46355</v>
      </c>
      <c r="O22" s="126">
        <v>39</v>
      </c>
      <c r="P22" s="127">
        <v>44931</v>
      </c>
      <c r="Q22" s="94">
        <v>1</v>
      </c>
      <c r="R22" s="97">
        <v>46355</v>
      </c>
      <c r="S22" s="94">
        <v>1</v>
      </c>
      <c r="T22" s="128">
        <v>44958</v>
      </c>
      <c r="U22" s="97">
        <v>44037.25</v>
      </c>
    </row>
    <row r="23" spans="1:22" ht="12" hidden="1" x14ac:dyDescent="0.25">
      <c r="A23" s="94">
        <v>22</v>
      </c>
      <c r="B23" s="94" t="s">
        <v>272</v>
      </c>
      <c r="C23" s="94" t="s">
        <v>273</v>
      </c>
      <c r="D23" s="94" t="s">
        <v>273</v>
      </c>
      <c r="E23" s="94" t="s">
        <v>254</v>
      </c>
      <c r="F23" s="94" t="s">
        <v>18</v>
      </c>
      <c r="G23" s="94">
        <v>2023</v>
      </c>
      <c r="H23" s="94">
        <v>-1</v>
      </c>
      <c r="I23" s="95"/>
      <c r="J23" s="96"/>
      <c r="K23" s="94">
        <v>1</v>
      </c>
      <c r="L23" s="95">
        <v>44947</v>
      </c>
      <c r="M23" s="94">
        <v>7</v>
      </c>
      <c r="N23" s="97">
        <v>115649.15012499999</v>
      </c>
      <c r="O23" s="126">
        <v>46</v>
      </c>
      <c r="P23" s="127">
        <v>44964</v>
      </c>
      <c r="Q23" s="94">
        <v>1</v>
      </c>
      <c r="R23" s="97">
        <v>115649.15012499999</v>
      </c>
      <c r="S23" s="94">
        <v>1</v>
      </c>
      <c r="T23" s="128">
        <v>44972</v>
      </c>
      <c r="U23" s="97">
        <v>109866.69261874998</v>
      </c>
    </row>
    <row r="24" spans="1:22" ht="12" hidden="1" x14ac:dyDescent="0.25">
      <c r="A24" s="94">
        <v>23</v>
      </c>
      <c r="B24" s="94" t="s">
        <v>272</v>
      </c>
      <c r="C24" s="94" t="s">
        <v>273</v>
      </c>
      <c r="D24" s="94" t="s">
        <v>273</v>
      </c>
      <c r="E24" s="94" t="s">
        <v>254</v>
      </c>
      <c r="F24" s="94" t="s">
        <v>18</v>
      </c>
      <c r="G24" s="94">
        <v>2023</v>
      </c>
      <c r="H24" s="94">
        <v>-1</v>
      </c>
      <c r="I24" s="95"/>
      <c r="J24" s="96"/>
      <c r="K24" s="94">
        <v>1</v>
      </c>
      <c r="L24" s="95">
        <v>44978</v>
      </c>
      <c r="M24" s="94">
        <v>8</v>
      </c>
      <c r="N24" s="97">
        <v>78464.052500000005</v>
      </c>
      <c r="O24" s="126">
        <v>57</v>
      </c>
      <c r="P24" s="127">
        <v>44994</v>
      </c>
      <c r="Q24" s="94">
        <v>1</v>
      </c>
      <c r="R24" s="97">
        <v>78464.052500000005</v>
      </c>
      <c r="S24" s="94">
        <v>1</v>
      </c>
      <c r="T24" s="128">
        <v>45002</v>
      </c>
      <c r="U24" s="97">
        <v>74540.849875</v>
      </c>
    </row>
    <row r="25" spans="1:22" ht="12" hidden="1" x14ac:dyDescent="0.25">
      <c r="A25" s="94">
        <v>24</v>
      </c>
      <c r="B25" s="94" t="s">
        <v>272</v>
      </c>
      <c r="C25" s="94" t="s">
        <v>273</v>
      </c>
      <c r="D25" s="94" t="s">
        <v>273</v>
      </c>
      <c r="E25" s="94" t="s">
        <v>254</v>
      </c>
      <c r="F25" s="94" t="s">
        <v>18</v>
      </c>
      <c r="G25" s="94">
        <v>2023</v>
      </c>
      <c r="H25" s="94">
        <v>-1</v>
      </c>
      <c r="I25" s="95"/>
      <c r="J25" s="96"/>
      <c r="K25" s="94">
        <v>1</v>
      </c>
      <c r="L25" s="95">
        <v>45006</v>
      </c>
      <c r="M25" s="94">
        <v>9</v>
      </c>
      <c r="N25" s="97">
        <v>33129.275000000001</v>
      </c>
      <c r="O25" s="126">
        <v>63</v>
      </c>
      <c r="P25" s="127">
        <v>45030</v>
      </c>
      <c r="Q25" s="94">
        <v>1</v>
      </c>
      <c r="R25" s="97">
        <v>33129.275000000001</v>
      </c>
      <c r="S25" s="94">
        <v>1</v>
      </c>
      <c r="T25" s="128">
        <v>45042</v>
      </c>
      <c r="U25" s="97">
        <v>31472.811249999999</v>
      </c>
    </row>
    <row r="26" spans="1:22" ht="12" hidden="1" x14ac:dyDescent="0.25">
      <c r="A26" s="94">
        <v>25</v>
      </c>
      <c r="B26" s="94" t="s">
        <v>272</v>
      </c>
      <c r="C26" s="94" t="s">
        <v>273</v>
      </c>
      <c r="D26" s="94" t="s">
        <v>273</v>
      </c>
      <c r="E26" s="94" t="s">
        <v>254</v>
      </c>
      <c r="F26" s="94" t="s">
        <v>18</v>
      </c>
      <c r="G26" s="94">
        <v>2023</v>
      </c>
      <c r="H26" s="94">
        <v>-1</v>
      </c>
      <c r="I26" s="95"/>
      <c r="J26" s="96"/>
      <c r="K26" s="94">
        <v>1</v>
      </c>
      <c r="L26" s="95">
        <v>45037</v>
      </c>
      <c r="M26" s="94">
        <v>10</v>
      </c>
      <c r="N26" s="97">
        <v>55089</v>
      </c>
      <c r="O26" s="126">
        <v>67</v>
      </c>
      <c r="P26" s="127">
        <v>45056</v>
      </c>
      <c r="Q26" s="94">
        <v>1</v>
      </c>
      <c r="R26" s="97">
        <v>55848.53</v>
      </c>
      <c r="S26" s="94">
        <v>1</v>
      </c>
      <c r="T26" s="127">
        <v>45070</v>
      </c>
      <c r="U26" s="97">
        <v>53056.1</v>
      </c>
    </row>
    <row r="27" spans="1:22" ht="12" hidden="1" x14ac:dyDescent="0.25">
      <c r="A27" s="94">
        <v>26</v>
      </c>
      <c r="B27" s="94" t="s">
        <v>272</v>
      </c>
      <c r="C27" s="94" t="s">
        <v>273</v>
      </c>
      <c r="D27" s="94" t="s">
        <v>273</v>
      </c>
      <c r="E27" s="94" t="s">
        <v>254</v>
      </c>
      <c r="F27" s="94" t="s">
        <v>18</v>
      </c>
      <c r="G27" s="94">
        <v>2023</v>
      </c>
      <c r="H27" s="94">
        <v>-1</v>
      </c>
      <c r="I27" s="95"/>
      <c r="J27" s="96"/>
      <c r="K27" s="94">
        <v>1</v>
      </c>
      <c r="L27" s="95">
        <v>45067</v>
      </c>
      <c r="M27" s="94">
        <v>11</v>
      </c>
      <c r="N27" s="97">
        <v>19271.57</v>
      </c>
      <c r="O27" s="126">
        <v>77</v>
      </c>
      <c r="P27" s="127">
        <v>45078</v>
      </c>
      <c r="Q27" s="94">
        <v>1</v>
      </c>
      <c r="R27" s="97">
        <v>19277</v>
      </c>
      <c r="S27" s="94">
        <v>1</v>
      </c>
      <c r="T27" s="127">
        <v>45091</v>
      </c>
      <c r="U27" s="97">
        <v>18313.150000000001</v>
      </c>
      <c r="V27" s="94" t="s">
        <v>274</v>
      </c>
    </row>
    <row r="28" spans="1:22" ht="12" hidden="1" x14ac:dyDescent="0.25">
      <c r="A28" s="94">
        <v>27</v>
      </c>
      <c r="B28" s="94" t="s">
        <v>272</v>
      </c>
      <c r="C28" s="94" t="s">
        <v>273</v>
      </c>
      <c r="D28" s="94" t="s">
        <v>273</v>
      </c>
      <c r="E28" s="94" t="s">
        <v>254</v>
      </c>
      <c r="F28" s="94" t="s">
        <v>18</v>
      </c>
      <c r="G28" s="94">
        <v>2023</v>
      </c>
      <c r="H28" s="94">
        <v>1</v>
      </c>
      <c r="I28" s="95">
        <v>45200</v>
      </c>
      <c r="J28" s="96">
        <v>266974</v>
      </c>
      <c r="K28" s="94">
        <v>1</v>
      </c>
      <c r="L28" s="95">
        <v>45222</v>
      </c>
      <c r="M28" s="94">
        <v>12</v>
      </c>
      <c r="N28" s="134">
        <v>58723</v>
      </c>
      <c r="O28" s="126">
        <v>126</v>
      </c>
      <c r="P28" s="127">
        <v>45244</v>
      </c>
      <c r="Q28" s="94">
        <v>1</v>
      </c>
      <c r="R28" s="97">
        <v>58723</v>
      </c>
      <c r="S28" s="94">
        <v>1</v>
      </c>
      <c r="T28" s="128">
        <v>45254</v>
      </c>
      <c r="U28" s="97">
        <v>55786.85</v>
      </c>
      <c r="V28" s="94" t="s">
        <v>275</v>
      </c>
    </row>
    <row r="29" spans="1:22" ht="12" hidden="1" x14ac:dyDescent="0.25">
      <c r="A29" s="94">
        <v>28</v>
      </c>
      <c r="B29" s="94" t="s">
        <v>272</v>
      </c>
      <c r="C29" s="94" t="s">
        <v>273</v>
      </c>
      <c r="D29" s="94" t="s">
        <v>273</v>
      </c>
      <c r="E29" s="94" t="s">
        <v>254</v>
      </c>
      <c r="F29" s="94" t="s">
        <v>18</v>
      </c>
      <c r="G29" s="94">
        <v>2023</v>
      </c>
      <c r="H29" s="94">
        <v>1</v>
      </c>
      <c r="I29" s="95">
        <v>45231</v>
      </c>
      <c r="J29" s="96">
        <v>83300.391999999993</v>
      </c>
      <c r="K29" s="94">
        <v>1</v>
      </c>
      <c r="L29" s="95">
        <v>45250</v>
      </c>
      <c r="M29" s="94">
        <v>13</v>
      </c>
      <c r="N29" s="97">
        <v>64612</v>
      </c>
      <c r="O29" s="126">
        <v>129</v>
      </c>
      <c r="P29" s="127">
        <v>45267</v>
      </c>
      <c r="Q29" s="94">
        <v>1</v>
      </c>
      <c r="R29" s="97">
        <v>64612</v>
      </c>
      <c r="S29" s="94">
        <v>1</v>
      </c>
      <c r="T29" s="128">
        <v>45280</v>
      </c>
      <c r="U29" s="97">
        <v>61381.399999999994</v>
      </c>
    </row>
    <row r="30" spans="1:22" ht="12" hidden="1" x14ac:dyDescent="0.25">
      <c r="A30" s="94">
        <v>29</v>
      </c>
      <c r="B30" s="94" t="s">
        <v>272</v>
      </c>
      <c r="C30" s="94" t="s">
        <v>273</v>
      </c>
      <c r="D30" s="94" t="s">
        <v>273</v>
      </c>
      <c r="E30" s="94" t="s">
        <v>254</v>
      </c>
      <c r="F30" s="94" t="s">
        <v>18</v>
      </c>
      <c r="G30" s="94">
        <v>2023</v>
      </c>
      <c r="H30" s="94">
        <v>1</v>
      </c>
      <c r="I30" s="95">
        <v>45261</v>
      </c>
      <c r="J30" s="96">
        <v>57455.591999999997</v>
      </c>
      <c r="K30" s="94">
        <v>1</v>
      </c>
      <c r="L30" s="95">
        <v>45281</v>
      </c>
      <c r="M30" s="94">
        <v>14</v>
      </c>
      <c r="N30" s="97">
        <v>63352</v>
      </c>
      <c r="O30" s="126">
        <v>136</v>
      </c>
      <c r="P30" s="127">
        <v>45296</v>
      </c>
      <c r="Q30" s="94">
        <v>1</v>
      </c>
      <c r="R30" s="97">
        <v>63352</v>
      </c>
      <c r="S30" s="94">
        <v>1</v>
      </c>
      <c r="T30" s="128">
        <v>45310</v>
      </c>
      <c r="U30" s="97">
        <v>60184.399999999994</v>
      </c>
    </row>
    <row r="31" spans="1:22" ht="12" hidden="1" x14ac:dyDescent="0.25">
      <c r="A31" s="94">
        <v>30</v>
      </c>
      <c r="B31" s="94" t="s">
        <v>272</v>
      </c>
      <c r="C31" s="94" t="s">
        <v>273</v>
      </c>
      <c r="D31" s="94" t="s">
        <v>273</v>
      </c>
      <c r="E31" s="94" t="s">
        <v>254</v>
      </c>
      <c r="F31" s="94" t="s">
        <v>18</v>
      </c>
      <c r="G31" s="94">
        <v>2024</v>
      </c>
      <c r="H31" s="94">
        <v>-1</v>
      </c>
      <c r="I31" s="95">
        <v>45323</v>
      </c>
      <c r="J31" s="96">
        <v>0</v>
      </c>
      <c r="K31" s="94">
        <v>1</v>
      </c>
      <c r="L31" s="95">
        <v>45347</v>
      </c>
      <c r="M31" s="94">
        <v>15</v>
      </c>
      <c r="N31" s="97">
        <v>11925</v>
      </c>
      <c r="O31" s="126">
        <v>180</v>
      </c>
      <c r="P31" s="127">
        <v>45408</v>
      </c>
      <c r="Q31" s="94">
        <v>1</v>
      </c>
      <c r="R31" s="97">
        <v>11925</v>
      </c>
      <c r="S31" s="94">
        <v>1</v>
      </c>
      <c r="T31" s="128">
        <v>45438</v>
      </c>
      <c r="U31" s="136">
        <v>11328.75</v>
      </c>
    </row>
    <row r="32" spans="1:22" ht="12" hidden="1" x14ac:dyDescent="0.25">
      <c r="A32" s="94">
        <v>31</v>
      </c>
      <c r="B32" s="94" t="s">
        <v>272</v>
      </c>
      <c r="C32" s="94" t="s">
        <v>273</v>
      </c>
      <c r="D32" s="94" t="s">
        <v>273</v>
      </c>
      <c r="E32" s="94" t="s">
        <v>254</v>
      </c>
      <c r="F32" s="94" t="s">
        <v>18</v>
      </c>
      <c r="G32" s="94">
        <v>2024</v>
      </c>
      <c r="H32" s="94">
        <v>-1</v>
      </c>
      <c r="I32" s="95">
        <v>45383</v>
      </c>
      <c r="J32" s="96">
        <v>0</v>
      </c>
      <c r="K32" s="94">
        <v>1</v>
      </c>
      <c r="L32" s="95">
        <v>45407</v>
      </c>
      <c r="M32" s="94">
        <v>16</v>
      </c>
      <c r="N32" s="97">
        <v>37470</v>
      </c>
      <c r="O32" s="126">
        <v>198</v>
      </c>
      <c r="P32" s="127">
        <v>45497</v>
      </c>
      <c r="Q32" s="94">
        <v>1</v>
      </c>
      <c r="R32" s="97">
        <v>31084.113067635655</v>
      </c>
      <c r="S32" s="94">
        <v>1</v>
      </c>
      <c r="T32" s="128">
        <v>45506</v>
      </c>
      <c r="U32" s="97">
        <v>29529.8</v>
      </c>
    </row>
    <row r="33" spans="1:21" ht="12" hidden="1" x14ac:dyDescent="0.25">
      <c r="A33" s="94">
        <v>32</v>
      </c>
      <c r="B33" s="94" t="s">
        <v>272</v>
      </c>
      <c r="C33" s="94" t="s">
        <v>273</v>
      </c>
      <c r="D33" s="94" t="s">
        <v>273</v>
      </c>
      <c r="E33" s="94" t="s">
        <v>254</v>
      </c>
      <c r="F33" s="94" t="s">
        <v>18</v>
      </c>
      <c r="G33" s="94">
        <v>2024</v>
      </c>
      <c r="H33" s="94">
        <v>-1</v>
      </c>
      <c r="I33" s="95"/>
      <c r="J33" s="96"/>
      <c r="K33" s="94">
        <v>1</v>
      </c>
      <c r="L33" s="95">
        <v>45562</v>
      </c>
      <c r="M33" s="94">
        <v>17</v>
      </c>
      <c r="N33" s="97">
        <v>24846</v>
      </c>
      <c r="O33" s="126">
        <v>233</v>
      </c>
      <c r="P33" s="127">
        <v>45604</v>
      </c>
      <c r="Q33" s="94">
        <v>1</v>
      </c>
      <c r="R33" s="97">
        <v>24846</v>
      </c>
      <c r="S33" s="94">
        <v>1</v>
      </c>
      <c r="T33" s="128">
        <v>45616</v>
      </c>
      <c r="U33" s="97">
        <v>23603.699999999997</v>
      </c>
    </row>
    <row r="34" spans="1:21" ht="12" hidden="1" x14ac:dyDescent="0.25">
      <c r="A34" s="94">
        <v>33</v>
      </c>
      <c r="B34" s="94" t="s">
        <v>276</v>
      </c>
      <c r="C34" s="94" t="s">
        <v>199</v>
      </c>
      <c r="D34" s="94" t="s">
        <v>199</v>
      </c>
      <c r="E34" s="94" t="s">
        <v>277</v>
      </c>
      <c r="F34" s="94" t="s">
        <v>70</v>
      </c>
      <c r="G34" s="94">
        <v>2025</v>
      </c>
      <c r="H34" s="94">
        <v>-1</v>
      </c>
      <c r="I34" s="95"/>
      <c r="J34" s="96"/>
      <c r="K34" s="94">
        <v>1</v>
      </c>
      <c r="L34" s="117">
        <v>45863</v>
      </c>
      <c r="M34" s="94">
        <v>1</v>
      </c>
      <c r="N34" s="97">
        <v>14455</v>
      </c>
      <c r="O34" s="126" t="s">
        <v>675</v>
      </c>
      <c r="P34" s="127">
        <v>45978</v>
      </c>
      <c r="Q34" s="94">
        <v>1</v>
      </c>
      <c r="R34" s="97">
        <v>14634</v>
      </c>
      <c r="S34" s="94">
        <v>1</v>
      </c>
      <c r="T34" s="128">
        <v>45996</v>
      </c>
      <c r="U34" s="97">
        <v>14336</v>
      </c>
    </row>
    <row r="35" spans="1:21" ht="12" hidden="1" x14ac:dyDescent="0.25">
      <c r="A35" s="94">
        <v>34</v>
      </c>
      <c r="B35" s="94" t="s">
        <v>276</v>
      </c>
      <c r="C35" s="94" t="s">
        <v>199</v>
      </c>
      <c r="D35" s="94" t="s">
        <v>199</v>
      </c>
      <c r="E35" s="94" t="s">
        <v>277</v>
      </c>
      <c r="F35" s="94" t="s">
        <v>70</v>
      </c>
      <c r="G35" s="94">
        <v>2025</v>
      </c>
      <c r="H35" s="94">
        <v>-1</v>
      </c>
      <c r="I35" s="95"/>
      <c r="J35" s="96"/>
      <c r="K35" s="94">
        <v>1</v>
      </c>
      <c r="L35" s="117">
        <v>45898</v>
      </c>
      <c r="M35" s="94">
        <v>2</v>
      </c>
      <c r="N35" s="97">
        <v>13779</v>
      </c>
      <c r="O35" s="126" t="s">
        <v>676</v>
      </c>
      <c r="P35" s="127">
        <v>45978</v>
      </c>
      <c r="Q35" s="94">
        <v>1</v>
      </c>
      <c r="R35" s="97">
        <v>13884</v>
      </c>
      <c r="S35" s="94">
        <v>1</v>
      </c>
      <c r="T35" s="128">
        <v>45996</v>
      </c>
      <c r="U35" s="97">
        <v>13601</v>
      </c>
    </row>
    <row r="36" spans="1:21" ht="12" hidden="1" x14ac:dyDescent="0.25">
      <c r="A36" s="94">
        <v>35</v>
      </c>
      <c r="B36" s="94" t="s">
        <v>276</v>
      </c>
      <c r="C36" s="94" t="s">
        <v>199</v>
      </c>
      <c r="D36" s="94" t="s">
        <v>199</v>
      </c>
      <c r="E36" s="94" t="s">
        <v>277</v>
      </c>
      <c r="F36" s="94" t="s">
        <v>70</v>
      </c>
      <c r="G36" s="94">
        <v>2025</v>
      </c>
      <c r="H36" s="94">
        <v>-1</v>
      </c>
      <c r="I36" s="95"/>
      <c r="J36" s="96"/>
      <c r="K36" s="94">
        <v>1</v>
      </c>
      <c r="L36" s="117">
        <v>45930</v>
      </c>
      <c r="M36" s="94">
        <v>3</v>
      </c>
      <c r="N36" s="97">
        <v>15554</v>
      </c>
      <c r="O36" s="126" t="s">
        <v>677</v>
      </c>
      <c r="P36" s="127">
        <v>45978</v>
      </c>
      <c r="Q36" s="94">
        <v>1</v>
      </c>
      <c r="R36" s="97">
        <v>15572</v>
      </c>
      <c r="S36" s="94">
        <v>1</v>
      </c>
      <c r="T36" s="128">
        <v>45996</v>
      </c>
      <c r="U36" s="97">
        <v>15255</v>
      </c>
    </row>
    <row r="37" spans="1:21" ht="12" hidden="1" x14ac:dyDescent="0.25">
      <c r="A37" s="94">
        <v>36</v>
      </c>
      <c r="B37" s="94" t="s">
        <v>276</v>
      </c>
      <c r="C37" s="94" t="s">
        <v>199</v>
      </c>
      <c r="D37" s="94" t="s">
        <v>199</v>
      </c>
      <c r="E37" s="94" t="s">
        <v>277</v>
      </c>
      <c r="F37" s="94" t="s">
        <v>70</v>
      </c>
      <c r="G37" s="94">
        <v>2025</v>
      </c>
      <c r="H37" s="94">
        <v>-1</v>
      </c>
      <c r="I37" s="95"/>
      <c r="J37" s="96"/>
      <c r="K37" s="94">
        <v>1</v>
      </c>
      <c r="L37" s="117">
        <v>45954</v>
      </c>
      <c r="M37" s="94">
        <v>4</v>
      </c>
      <c r="N37" s="97">
        <v>20205</v>
      </c>
      <c r="O37" s="126" t="s">
        <v>678</v>
      </c>
      <c r="P37" s="127">
        <v>45978</v>
      </c>
      <c r="Q37" s="94">
        <v>1</v>
      </c>
      <c r="R37" s="97">
        <v>20263</v>
      </c>
      <c r="S37" s="94">
        <v>1</v>
      </c>
      <c r="T37" s="128">
        <v>45996</v>
      </c>
      <c r="U37" s="97">
        <v>19850</v>
      </c>
    </row>
    <row r="38" spans="1:21" ht="12" hidden="1" x14ac:dyDescent="0.25">
      <c r="A38" s="94">
        <v>37</v>
      </c>
      <c r="B38" s="94" t="s">
        <v>276</v>
      </c>
      <c r="C38" s="94" t="s">
        <v>199</v>
      </c>
      <c r="D38" s="94" t="s">
        <v>199</v>
      </c>
      <c r="E38" s="94" t="s">
        <v>277</v>
      </c>
      <c r="F38" s="94" t="s">
        <v>70</v>
      </c>
      <c r="G38" s="94">
        <v>2025</v>
      </c>
      <c r="H38" s="94">
        <v>-1</v>
      </c>
      <c r="I38" s="95"/>
      <c r="J38" s="96"/>
      <c r="K38" s="94">
        <v>1</v>
      </c>
      <c r="L38" s="117">
        <v>45986</v>
      </c>
      <c r="M38" s="94">
        <v>5</v>
      </c>
      <c r="N38" s="97">
        <v>34300</v>
      </c>
      <c r="O38" s="126" t="s">
        <v>278</v>
      </c>
      <c r="P38" s="127"/>
      <c r="Q38" s="94">
        <v>-1</v>
      </c>
      <c r="S38" s="94">
        <v>-1</v>
      </c>
      <c r="T38" s="128">
        <v>46101</v>
      </c>
      <c r="U38" s="97">
        <v>34300</v>
      </c>
    </row>
    <row r="39" spans="1:21" ht="12" hidden="1" x14ac:dyDescent="0.25">
      <c r="A39" s="94">
        <v>38</v>
      </c>
      <c r="B39" s="94" t="s">
        <v>276</v>
      </c>
      <c r="C39" s="94" t="s">
        <v>199</v>
      </c>
      <c r="D39" s="94" t="s">
        <v>199</v>
      </c>
      <c r="E39" s="94" t="s">
        <v>277</v>
      </c>
      <c r="F39" s="94" t="s">
        <v>70</v>
      </c>
      <c r="G39" s="94">
        <v>2025</v>
      </c>
      <c r="H39" s="94">
        <v>-1</v>
      </c>
      <c r="I39" s="95"/>
      <c r="J39" s="96"/>
      <c r="K39" s="94">
        <v>1</v>
      </c>
      <c r="L39" s="117">
        <v>46015</v>
      </c>
      <c r="M39" s="94">
        <v>6</v>
      </c>
      <c r="N39" s="97">
        <v>33020</v>
      </c>
      <c r="O39" s="126" t="s">
        <v>278</v>
      </c>
      <c r="P39" s="127"/>
      <c r="Q39" s="94">
        <v>-1</v>
      </c>
      <c r="S39" s="94">
        <v>-1</v>
      </c>
      <c r="T39" s="128">
        <v>46101</v>
      </c>
      <c r="U39" s="97">
        <v>33020</v>
      </c>
    </row>
    <row r="40" spans="1:21" ht="12" hidden="1" x14ac:dyDescent="0.25">
      <c r="A40" s="94">
        <v>39</v>
      </c>
      <c r="B40" s="94" t="s">
        <v>276</v>
      </c>
      <c r="C40" s="94" t="s">
        <v>199</v>
      </c>
      <c r="D40" s="94" t="s">
        <v>199</v>
      </c>
      <c r="E40" s="94" t="s">
        <v>277</v>
      </c>
      <c r="F40" s="94" t="s">
        <v>70</v>
      </c>
      <c r="G40" s="94">
        <v>2026</v>
      </c>
      <c r="H40" s="94">
        <v>-1</v>
      </c>
      <c r="I40" s="95"/>
      <c r="J40" s="96"/>
      <c r="K40" s="94">
        <v>1</v>
      </c>
      <c r="L40" s="117">
        <v>46048</v>
      </c>
      <c r="M40" s="94">
        <v>7</v>
      </c>
      <c r="N40" s="137">
        <v>36078</v>
      </c>
      <c r="O40" s="126" t="s">
        <v>278</v>
      </c>
      <c r="P40" s="127"/>
      <c r="Q40" s="94">
        <v>-1</v>
      </c>
      <c r="S40" s="94">
        <v>-1</v>
      </c>
      <c r="T40" s="138">
        <v>46101</v>
      </c>
      <c r="U40" s="137">
        <v>36078</v>
      </c>
    </row>
    <row r="41" spans="1:21" ht="12" hidden="1" x14ac:dyDescent="0.25">
      <c r="A41" s="94">
        <v>40</v>
      </c>
      <c r="B41" s="94" t="s">
        <v>279</v>
      </c>
      <c r="C41" s="94" t="s">
        <v>280</v>
      </c>
      <c r="D41" s="94" t="s">
        <v>280</v>
      </c>
      <c r="E41" s="94" t="s">
        <v>281</v>
      </c>
      <c r="F41" s="94" t="s">
        <v>18</v>
      </c>
      <c r="G41" s="94">
        <v>2024</v>
      </c>
      <c r="H41" s="94">
        <v>-1</v>
      </c>
      <c r="I41" s="95">
        <v>45352</v>
      </c>
      <c r="J41" s="96">
        <v>0</v>
      </c>
      <c r="K41" s="94">
        <v>1</v>
      </c>
      <c r="L41" s="117">
        <v>45376</v>
      </c>
      <c r="M41" s="94">
        <v>1</v>
      </c>
      <c r="N41" s="97">
        <v>62048</v>
      </c>
      <c r="O41" s="126">
        <v>178</v>
      </c>
      <c r="P41" s="127">
        <v>45399</v>
      </c>
      <c r="Q41" s="94">
        <v>1</v>
      </c>
      <c r="R41" s="97">
        <v>62048</v>
      </c>
      <c r="S41" s="94">
        <v>1</v>
      </c>
      <c r="T41" s="128">
        <v>45408</v>
      </c>
      <c r="U41" s="136">
        <v>62048</v>
      </c>
    </row>
    <row r="42" spans="1:21" ht="12" hidden="1" x14ac:dyDescent="0.25">
      <c r="A42" s="94">
        <v>41</v>
      </c>
      <c r="B42" s="94" t="s">
        <v>279</v>
      </c>
      <c r="C42" s="94" t="s">
        <v>280</v>
      </c>
      <c r="D42" s="94" t="s">
        <v>280</v>
      </c>
      <c r="E42" s="94" t="s">
        <v>281</v>
      </c>
      <c r="F42" s="94" t="s">
        <v>18</v>
      </c>
      <c r="G42" s="94">
        <v>2024</v>
      </c>
      <c r="H42" s="94">
        <v>1</v>
      </c>
      <c r="I42" s="95">
        <v>45383</v>
      </c>
      <c r="J42" s="96">
        <v>61813</v>
      </c>
      <c r="K42" s="94">
        <v>1</v>
      </c>
      <c r="L42" s="117">
        <v>45407</v>
      </c>
      <c r="M42" s="94">
        <v>2</v>
      </c>
      <c r="N42" s="97">
        <v>44853</v>
      </c>
      <c r="O42" s="126">
        <v>185</v>
      </c>
      <c r="P42" s="127">
        <v>45428</v>
      </c>
      <c r="Q42" s="94">
        <v>1</v>
      </c>
      <c r="R42" s="97">
        <v>44853</v>
      </c>
      <c r="S42" s="94">
        <v>1</v>
      </c>
      <c r="T42" s="128">
        <v>45443</v>
      </c>
      <c r="U42" s="97">
        <v>44853</v>
      </c>
    </row>
    <row r="43" spans="1:21" ht="12" hidden="1" x14ac:dyDescent="0.25">
      <c r="A43" s="94">
        <v>42</v>
      </c>
      <c r="B43" s="94" t="s">
        <v>279</v>
      </c>
      <c r="C43" s="94" t="s">
        <v>280</v>
      </c>
      <c r="D43" s="94" t="s">
        <v>280</v>
      </c>
      <c r="E43" s="94" t="s">
        <v>281</v>
      </c>
      <c r="F43" s="94" t="s">
        <v>18</v>
      </c>
      <c r="G43" s="94">
        <v>2024</v>
      </c>
      <c r="H43" s="94">
        <v>1</v>
      </c>
      <c r="I43" s="95">
        <v>45413</v>
      </c>
      <c r="J43" s="96">
        <v>118299.5</v>
      </c>
      <c r="K43" s="94">
        <v>1</v>
      </c>
      <c r="L43" s="117">
        <v>45440</v>
      </c>
      <c r="M43" s="94">
        <v>3</v>
      </c>
      <c r="N43" s="136">
        <v>35250</v>
      </c>
      <c r="O43" s="126">
        <v>196</v>
      </c>
      <c r="P43" s="127">
        <v>45478</v>
      </c>
      <c r="Q43" s="94">
        <v>1</v>
      </c>
      <c r="R43" s="97">
        <v>35250</v>
      </c>
      <c r="S43" s="94">
        <v>1</v>
      </c>
      <c r="T43" s="128">
        <v>45485</v>
      </c>
      <c r="U43" s="97">
        <v>35249.999466125679</v>
      </c>
    </row>
    <row r="44" spans="1:21" ht="12" hidden="1" x14ac:dyDescent="0.25">
      <c r="A44" s="94">
        <v>43</v>
      </c>
      <c r="B44" s="94" t="s">
        <v>279</v>
      </c>
      <c r="C44" s="94" t="s">
        <v>280</v>
      </c>
      <c r="D44" s="121" t="s">
        <v>280</v>
      </c>
      <c r="E44" s="94" t="s">
        <v>281</v>
      </c>
      <c r="F44" s="94" t="s">
        <v>18</v>
      </c>
      <c r="G44" s="94">
        <v>2024</v>
      </c>
      <c r="H44" s="94">
        <v>1</v>
      </c>
      <c r="I44" s="95">
        <v>45444</v>
      </c>
      <c r="J44" s="96">
        <v>83049.5</v>
      </c>
      <c r="K44" s="94">
        <v>1</v>
      </c>
      <c r="L44" s="117">
        <v>45469</v>
      </c>
      <c r="M44" s="94">
        <v>4</v>
      </c>
      <c r="N44" s="97">
        <v>74540</v>
      </c>
      <c r="O44" s="126">
        <v>199</v>
      </c>
      <c r="P44" s="127">
        <v>45505</v>
      </c>
      <c r="Q44" s="94">
        <v>1</v>
      </c>
      <c r="R44" s="97">
        <v>74540</v>
      </c>
      <c r="S44" s="94">
        <v>1</v>
      </c>
      <c r="T44" s="128">
        <v>45513</v>
      </c>
      <c r="U44" s="136">
        <v>75523.474218724834</v>
      </c>
    </row>
    <row r="45" spans="1:21" ht="12" hidden="1" x14ac:dyDescent="0.25">
      <c r="A45" s="94">
        <v>44</v>
      </c>
      <c r="B45" s="94" t="s">
        <v>279</v>
      </c>
      <c r="C45" s="94" t="s">
        <v>280</v>
      </c>
      <c r="D45" s="94" t="s">
        <v>280</v>
      </c>
      <c r="E45" s="94" t="s">
        <v>281</v>
      </c>
      <c r="F45" s="94" t="s">
        <v>18</v>
      </c>
      <c r="G45" s="94">
        <v>2024</v>
      </c>
      <c r="H45" s="94">
        <v>-1</v>
      </c>
      <c r="I45" s="95"/>
      <c r="J45" s="96"/>
      <c r="K45" s="94">
        <v>1</v>
      </c>
      <c r="L45" s="117">
        <v>45498</v>
      </c>
      <c r="M45" s="94">
        <v>5</v>
      </c>
      <c r="N45" s="97">
        <v>8760</v>
      </c>
      <c r="O45" s="126">
        <v>207</v>
      </c>
      <c r="P45" s="127">
        <v>45531</v>
      </c>
      <c r="Q45" s="94">
        <v>1</v>
      </c>
      <c r="R45" s="97">
        <v>8759</v>
      </c>
      <c r="S45" s="94">
        <v>1</v>
      </c>
      <c r="T45" s="128">
        <v>45562</v>
      </c>
      <c r="U45" s="97">
        <v>8759</v>
      </c>
    </row>
    <row r="46" spans="1:21" ht="12" hidden="1" x14ac:dyDescent="0.25">
      <c r="A46" s="94">
        <v>45</v>
      </c>
      <c r="B46" s="94" t="s">
        <v>20</v>
      </c>
      <c r="C46" s="94" t="s">
        <v>21</v>
      </c>
      <c r="D46" s="94" t="s">
        <v>21</v>
      </c>
      <c r="E46" s="94" t="s">
        <v>281</v>
      </c>
      <c r="F46" s="94" t="s">
        <v>18</v>
      </c>
      <c r="G46" s="94">
        <v>2024</v>
      </c>
      <c r="H46" s="94">
        <v>-1</v>
      </c>
      <c r="I46" s="95"/>
      <c r="J46" s="96"/>
      <c r="K46" s="94">
        <v>1</v>
      </c>
      <c r="L46" s="117">
        <v>45533</v>
      </c>
      <c r="M46" s="94">
        <v>1</v>
      </c>
      <c r="N46" s="97">
        <v>34347</v>
      </c>
      <c r="O46" s="126">
        <v>220</v>
      </c>
      <c r="P46" s="127">
        <v>45575</v>
      </c>
      <c r="Q46" s="94">
        <v>1</v>
      </c>
      <c r="R46" s="97">
        <v>34347</v>
      </c>
      <c r="S46" s="94">
        <v>1</v>
      </c>
      <c r="T46" s="128">
        <v>45583</v>
      </c>
      <c r="U46" s="97">
        <v>34347</v>
      </c>
    </row>
    <row r="47" spans="1:21" ht="12" hidden="1" x14ac:dyDescent="0.25">
      <c r="A47" s="94">
        <v>46</v>
      </c>
      <c r="B47" s="94" t="s">
        <v>20</v>
      </c>
      <c r="C47" s="94" t="s">
        <v>21</v>
      </c>
      <c r="D47" s="94" t="s">
        <v>21</v>
      </c>
      <c r="E47" s="94" t="s">
        <v>281</v>
      </c>
      <c r="F47" s="94" t="s">
        <v>18</v>
      </c>
      <c r="G47" s="94">
        <v>2024</v>
      </c>
      <c r="H47" s="94">
        <v>-1</v>
      </c>
      <c r="I47" s="95"/>
      <c r="J47" s="96"/>
      <c r="K47" s="94">
        <v>1</v>
      </c>
      <c r="L47" s="117">
        <v>45565</v>
      </c>
      <c r="M47" s="94">
        <v>2</v>
      </c>
      <c r="N47" s="97">
        <v>18000</v>
      </c>
      <c r="O47" s="126">
        <v>222</v>
      </c>
      <c r="P47" s="127">
        <v>45575</v>
      </c>
      <c r="Q47" s="94">
        <v>1</v>
      </c>
      <c r="R47" s="97">
        <v>18000</v>
      </c>
      <c r="S47" s="94">
        <v>1</v>
      </c>
      <c r="T47" s="128">
        <v>45583</v>
      </c>
      <c r="U47" s="97">
        <v>18000</v>
      </c>
    </row>
    <row r="48" spans="1:21" ht="12" hidden="1" x14ac:dyDescent="0.25">
      <c r="A48" s="94">
        <v>47</v>
      </c>
      <c r="B48" s="94" t="s">
        <v>20</v>
      </c>
      <c r="C48" s="94" t="s">
        <v>21</v>
      </c>
      <c r="D48" s="94" t="s">
        <v>21</v>
      </c>
      <c r="E48" s="94" t="s">
        <v>281</v>
      </c>
      <c r="F48" s="94" t="s">
        <v>18</v>
      </c>
      <c r="G48" s="94">
        <v>2024</v>
      </c>
      <c r="H48" s="94">
        <v>-1</v>
      </c>
      <c r="I48" s="95"/>
      <c r="J48" s="96"/>
      <c r="K48" s="94">
        <v>1</v>
      </c>
      <c r="L48" s="117">
        <v>45625</v>
      </c>
      <c r="M48" s="94">
        <v>3</v>
      </c>
      <c r="N48" s="97">
        <v>11821</v>
      </c>
      <c r="O48" s="139">
        <v>244</v>
      </c>
      <c r="P48" s="127">
        <v>45645</v>
      </c>
      <c r="Q48" s="94">
        <v>1</v>
      </c>
      <c r="R48" s="97">
        <v>11821</v>
      </c>
      <c r="S48" s="94">
        <v>1</v>
      </c>
      <c r="T48" s="128">
        <v>45653</v>
      </c>
      <c r="U48" s="108">
        <v>11821</v>
      </c>
    </row>
    <row r="49" spans="1:21" ht="12" hidden="1" x14ac:dyDescent="0.25">
      <c r="A49" s="94">
        <v>48</v>
      </c>
      <c r="B49" s="94" t="s">
        <v>20</v>
      </c>
      <c r="C49" s="94" t="s">
        <v>21</v>
      </c>
      <c r="D49" s="94" t="s">
        <v>21</v>
      </c>
      <c r="E49" s="94" t="s">
        <v>281</v>
      </c>
      <c r="F49" s="94" t="s">
        <v>18</v>
      </c>
      <c r="G49" s="94">
        <v>2024</v>
      </c>
      <c r="H49" s="94">
        <v>-1</v>
      </c>
      <c r="I49" s="95"/>
      <c r="J49" s="96"/>
      <c r="K49" s="94">
        <v>1</v>
      </c>
      <c r="L49" s="117">
        <v>45652</v>
      </c>
      <c r="M49" s="94">
        <v>4</v>
      </c>
      <c r="N49" s="97">
        <v>12357</v>
      </c>
      <c r="O49" s="126">
        <v>260</v>
      </c>
      <c r="P49" s="127">
        <v>45684</v>
      </c>
      <c r="Q49" s="94">
        <v>1</v>
      </c>
      <c r="R49" s="97">
        <v>12357</v>
      </c>
      <c r="S49" s="94">
        <v>1</v>
      </c>
      <c r="T49" s="128">
        <v>45695</v>
      </c>
      <c r="U49" s="108">
        <v>12823</v>
      </c>
    </row>
    <row r="50" spans="1:21" ht="12" hidden="1" customHeight="1" x14ac:dyDescent="0.25">
      <c r="A50" s="94">
        <v>49</v>
      </c>
      <c r="B50" s="94" t="s">
        <v>20</v>
      </c>
      <c r="C50" s="94" t="s">
        <v>21</v>
      </c>
      <c r="D50" s="94" t="s">
        <v>21</v>
      </c>
      <c r="E50" s="94" t="s">
        <v>281</v>
      </c>
      <c r="F50" s="94" t="s">
        <v>18</v>
      </c>
      <c r="G50" s="94">
        <v>2025</v>
      </c>
      <c r="H50" s="94">
        <v>-1</v>
      </c>
      <c r="I50" s="95"/>
      <c r="J50" s="96"/>
      <c r="K50" s="94">
        <v>1</v>
      </c>
      <c r="L50" s="117">
        <v>45687</v>
      </c>
      <c r="M50" s="94">
        <v>5</v>
      </c>
      <c r="N50" s="97">
        <v>7816</v>
      </c>
      <c r="O50" s="126">
        <v>262</v>
      </c>
      <c r="P50" s="127">
        <v>45712</v>
      </c>
      <c r="Q50" s="94">
        <v>1</v>
      </c>
      <c r="R50" s="97">
        <v>7816</v>
      </c>
      <c r="S50" s="94">
        <v>1</v>
      </c>
      <c r="T50" s="128">
        <v>45723</v>
      </c>
      <c r="U50" s="97">
        <v>8110.6632000000009</v>
      </c>
    </row>
    <row r="51" spans="1:21" ht="12" hidden="1" customHeight="1" x14ac:dyDescent="0.25">
      <c r="A51" s="94">
        <v>50</v>
      </c>
      <c r="B51" s="94" t="s">
        <v>20</v>
      </c>
      <c r="C51" s="94" t="s">
        <v>21</v>
      </c>
      <c r="D51" s="94" t="s">
        <v>21</v>
      </c>
      <c r="E51" s="94" t="s">
        <v>281</v>
      </c>
      <c r="F51" s="94" t="s">
        <v>18</v>
      </c>
      <c r="G51" s="94">
        <v>2025</v>
      </c>
      <c r="H51" s="94">
        <v>-1</v>
      </c>
      <c r="I51" s="95"/>
      <c r="J51" s="96"/>
      <c r="K51" s="94">
        <v>1</v>
      </c>
      <c r="L51" s="117">
        <v>45713</v>
      </c>
      <c r="M51" s="94">
        <v>6</v>
      </c>
      <c r="N51" s="97">
        <v>10739</v>
      </c>
      <c r="O51" s="126">
        <v>280</v>
      </c>
      <c r="P51" s="127">
        <v>45737</v>
      </c>
      <c r="Q51" s="94">
        <v>1</v>
      </c>
      <c r="R51" s="97">
        <v>10739</v>
      </c>
      <c r="S51" s="94">
        <v>1</v>
      </c>
      <c r="T51" s="128">
        <v>45751</v>
      </c>
      <c r="U51" s="97">
        <v>11158</v>
      </c>
    </row>
    <row r="52" spans="1:21" ht="12" hidden="1" x14ac:dyDescent="0.25">
      <c r="A52" s="94">
        <v>51</v>
      </c>
      <c r="B52" s="94" t="s">
        <v>20</v>
      </c>
      <c r="C52" s="94" t="s">
        <v>21</v>
      </c>
      <c r="D52" s="94" t="s">
        <v>21</v>
      </c>
      <c r="E52" s="94" t="s">
        <v>281</v>
      </c>
      <c r="F52" s="94" t="s">
        <v>18</v>
      </c>
      <c r="G52" s="94">
        <v>2025</v>
      </c>
      <c r="H52" s="94">
        <v>-1</v>
      </c>
      <c r="I52" s="95"/>
      <c r="J52" s="96"/>
      <c r="K52" s="94">
        <v>1</v>
      </c>
      <c r="L52" s="117">
        <v>45747</v>
      </c>
      <c r="M52" s="94">
        <v>7</v>
      </c>
      <c r="N52" s="97">
        <v>8828</v>
      </c>
      <c r="O52" s="126">
        <v>294</v>
      </c>
      <c r="P52" s="127">
        <v>45782</v>
      </c>
      <c r="Q52" s="94">
        <v>1</v>
      </c>
      <c r="R52" s="97">
        <v>8828</v>
      </c>
      <c r="S52" s="94">
        <v>1</v>
      </c>
      <c r="T52" s="128">
        <v>45793</v>
      </c>
      <c r="U52" s="97">
        <v>8828</v>
      </c>
    </row>
    <row r="53" spans="1:21" ht="12" hidden="1" x14ac:dyDescent="0.25">
      <c r="A53" s="94">
        <v>52</v>
      </c>
      <c r="B53" s="94" t="s">
        <v>20</v>
      </c>
      <c r="C53" s="94" t="s">
        <v>21</v>
      </c>
      <c r="D53" s="94" t="s">
        <v>21</v>
      </c>
      <c r="E53" s="94" t="s">
        <v>281</v>
      </c>
      <c r="F53" s="94" t="s">
        <v>18</v>
      </c>
      <c r="G53" s="94">
        <v>2025</v>
      </c>
      <c r="H53" s="94">
        <v>-1</v>
      </c>
      <c r="I53" s="95"/>
      <c r="J53" s="96"/>
      <c r="K53" s="94">
        <v>1</v>
      </c>
      <c r="L53" s="95">
        <v>45776</v>
      </c>
      <c r="M53" s="94">
        <v>8</v>
      </c>
      <c r="N53" s="97">
        <v>4263</v>
      </c>
      <c r="O53" s="126">
        <v>295</v>
      </c>
      <c r="P53" s="127">
        <v>45782</v>
      </c>
      <c r="Q53" s="94">
        <v>1</v>
      </c>
      <c r="R53" s="97">
        <v>4263</v>
      </c>
      <c r="S53" s="94">
        <v>1</v>
      </c>
      <c r="T53" s="128">
        <v>45793</v>
      </c>
      <c r="U53" s="136">
        <v>4263</v>
      </c>
    </row>
    <row r="54" spans="1:21" ht="12" hidden="1" x14ac:dyDescent="0.25">
      <c r="A54" s="94">
        <v>53</v>
      </c>
      <c r="B54" s="94" t="s">
        <v>282</v>
      </c>
      <c r="C54" s="94" t="s">
        <v>283</v>
      </c>
      <c r="D54" s="94" t="s">
        <v>283</v>
      </c>
      <c r="E54" s="94" t="s">
        <v>281</v>
      </c>
      <c r="F54" s="94" t="s">
        <v>18</v>
      </c>
      <c r="G54" s="94">
        <v>2024</v>
      </c>
      <c r="H54" s="94">
        <v>1</v>
      </c>
      <c r="I54" s="95">
        <v>45383</v>
      </c>
      <c r="J54" s="96">
        <v>54990</v>
      </c>
      <c r="K54" s="94">
        <v>1</v>
      </c>
      <c r="L54" s="117">
        <v>45407</v>
      </c>
      <c r="M54" s="94">
        <v>1</v>
      </c>
      <c r="N54" s="136">
        <v>31730</v>
      </c>
      <c r="O54" s="126">
        <v>183</v>
      </c>
      <c r="P54" s="127">
        <v>45427</v>
      </c>
      <c r="Q54" s="94">
        <v>1</v>
      </c>
      <c r="R54" s="97">
        <v>31730</v>
      </c>
      <c r="S54" s="94">
        <v>1</v>
      </c>
      <c r="T54" s="128">
        <v>45436</v>
      </c>
      <c r="U54" s="97">
        <v>31730</v>
      </c>
    </row>
    <row r="55" spans="1:21" ht="12" hidden="1" x14ac:dyDescent="0.25">
      <c r="A55" s="94">
        <v>54</v>
      </c>
      <c r="B55" s="94" t="s">
        <v>282</v>
      </c>
      <c r="C55" s="94" t="s">
        <v>283</v>
      </c>
      <c r="D55" s="121" t="s">
        <v>283</v>
      </c>
      <c r="E55" s="94" t="s">
        <v>281</v>
      </c>
      <c r="F55" s="94" t="s">
        <v>18</v>
      </c>
      <c r="G55" s="94">
        <v>2024</v>
      </c>
      <c r="H55" s="94">
        <v>1</v>
      </c>
      <c r="I55" s="95">
        <v>45444</v>
      </c>
      <c r="J55" s="96">
        <v>33341.5</v>
      </c>
      <c r="K55" s="94">
        <v>1</v>
      </c>
      <c r="L55" s="117">
        <v>45469</v>
      </c>
      <c r="M55" s="94">
        <v>2</v>
      </c>
      <c r="N55" s="97">
        <v>21884</v>
      </c>
      <c r="O55" s="126">
        <v>200</v>
      </c>
      <c r="P55" s="127">
        <v>45505</v>
      </c>
      <c r="Q55" s="94">
        <v>1</v>
      </c>
      <c r="R55" s="97">
        <v>21884</v>
      </c>
      <c r="S55" s="94">
        <v>1</v>
      </c>
      <c r="T55" s="128">
        <v>45513</v>
      </c>
      <c r="U55" s="136">
        <v>24919.504235150136</v>
      </c>
    </row>
    <row r="56" spans="1:21" ht="12" hidden="1" x14ac:dyDescent="0.25">
      <c r="A56" s="94">
        <v>55</v>
      </c>
      <c r="B56" s="94" t="s">
        <v>282</v>
      </c>
      <c r="C56" s="94" t="s">
        <v>283</v>
      </c>
      <c r="D56" s="94" t="s">
        <v>283</v>
      </c>
      <c r="E56" s="94" t="s">
        <v>281</v>
      </c>
      <c r="F56" s="94" t="s">
        <v>18</v>
      </c>
      <c r="G56" s="94">
        <v>2024</v>
      </c>
      <c r="H56" s="94">
        <v>-1</v>
      </c>
      <c r="I56" s="95"/>
      <c r="J56" s="96"/>
      <c r="K56" s="94">
        <v>1</v>
      </c>
      <c r="L56" s="95">
        <v>45498</v>
      </c>
      <c r="M56" s="94">
        <v>3</v>
      </c>
      <c r="N56" s="97">
        <v>15305</v>
      </c>
      <c r="O56" s="126">
        <v>210</v>
      </c>
      <c r="P56" s="127">
        <v>45531</v>
      </c>
      <c r="Q56" s="94">
        <v>1</v>
      </c>
      <c r="R56" s="97">
        <v>15305</v>
      </c>
      <c r="S56" s="94">
        <v>1</v>
      </c>
      <c r="T56" s="128">
        <v>45562</v>
      </c>
      <c r="U56" s="136">
        <v>15305</v>
      </c>
    </row>
    <row r="57" spans="1:21" ht="12" hidden="1" x14ac:dyDescent="0.25">
      <c r="A57" s="94">
        <v>56</v>
      </c>
      <c r="B57" s="94" t="s">
        <v>282</v>
      </c>
      <c r="C57" s="94" t="s">
        <v>283</v>
      </c>
      <c r="D57" s="94" t="s">
        <v>283</v>
      </c>
      <c r="E57" s="94" t="s">
        <v>281</v>
      </c>
      <c r="F57" s="94" t="s">
        <v>18</v>
      </c>
      <c r="G57" s="94">
        <v>2024</v>
      </c>
      <c r="H57" s="94">
        <v>-1</v>
      </c>
      <c r="I57" s="95"/>
      <c r="J57" s="96"/>
      <c r="K57" s="94">
        <v>1</v>
      </c>
      <c r="L57" s="95">
        <v>45565</v>
      </c>
      <c r="M57" s="94">
        <v>4</v>
      </c>
      <c r="N57" s="97">
        <v>19723</v>
      </c>
      <c r="O57" s="126">
        <v>225</v>
      </c>
      <c r="P57" s="127">
        <v>45579</v>
      </c>
      <c r="Q57" s="94">
        <v>1</v>
      </c>
      <c r="R57" s="97">
        <v>19723</v>
      </c>
      <c r="S57" s="94">
        <v>1</v>
      </c>
      <c r="T57" s="128">
        <v>45583</v>
      </c>
      <c r="U57" s="97">
        <v>19723</v>
      </c>
    </row>
    <row r="58" spans="1:21" ht="12" hidden="1" x14ac:dyDescent="0.25">
      <c r="A58" s="94">
        <v>57</v>
      </c>
      <c r="B58" s="94" t="s">
        <v>284</v>
      </c>
      <c r="C58" s="94" t="s">
        <v>721</v>
      </c>
      <c r="D58" s="94" t="s">
        <v>285</v>
      </c>
      <c r="E58" s="94" t="s">
        <v>281</v>
      </c>
      <c r="F58" s="94" t="s">
        <v>18</v>
      </c>
      <c r="G58" s="94">
        <v>2023</v>
      </c>
      <c r="H58" s="94">
        <v>-1</v>
      </c>
      <c r="I58" s="95">
        <v>45170</v>
      </c>
      <c r="J58" s="96">
        <v>0</v>
      </c>
      <c r="K58" s="94">
        <v>1</v>
      </c>
      <c r="L58" s="95">
        <v>45194</v>
      </c>
      <c r="M58" s="94">
        <v>1</v>
      </c>
      <c r="N58" s="97">
        <v>30338</v>
      </c>
      <c r="O58" s="126">
        <v>115</v>
      </c>
      <c r="P58" s="127">
        <v>45205</v>
      </c>
      <c r="Q58" s="94">
        <v>1</v>
      </c>
      <c r="R58" s="97">
        <v>30338</v>
      </c>
      <c r="S58" s="94">
        <v>1</v>
      </c>
      <c r="T58" s="128">
        <v>45219</v>
      </c>
      <c r="U58" s="97">
        <v>30338</v>
      </c>
    </row>
    <row r="59" spans="1:21" ht="12" hidden="1" x14ac:dyDescent="0.25">
      <c r="A59" s="94">
        <v>58</v>
      </c>
      <c r="B59" s="94" t="s">
        <v>284</v>
      </c>
      <c r="C59" s="94" t="s">
        <v>721</v>
      </c>
      <c r="D59" s="94" t="s">
        <v>285</v>
      </c>
      <c r="E59" s="94" t="s">
        <v>281</v>
      </c>
      <c r="F59" s="94" t="s">
        <v>18</v>
      </c>
      <c r="G59" s="94">
        <v>2023</v>
      </c>
      <c r="H59" s="94">
        <v>1</v>
      </c>
      <c r="I59" s="95">
        <v>45200</v>
      </c>
      <c r="J59" s="96">
        <v>40000</v>
      </c>
      <c r="K59" s="94">
        <v>1</v>
      </c>
      <c r="L59" s="95">
        <v>45222</v>
      </c>
      <c r="M59" s="94">
        <v>2</v>
      </c>
      <c r="N59" s="97">
        <v>105098</v>
      </c>
      <c r="O59" s="126">
        <v>122</v>
      </c>
      <c r="P59" s="127">
        <v>45224</v>
      </c>
      <c r="Q59" s="94">
        <v>1</v>
      </c>
      <c r="R59" s="97">
        <v>105098</v>
      </c>
      <c r="S59" s="94">
        <v>1</v>
      </c>
      <c r="T59" s="128">
        <v>45233</v>
      </c>
      <c r="U59" s="97">
        <v>105098</v>
      </c>
    </row>
    <row r="60" spans="1:21" ht="12" hidden="1" x14ac:dyDescent="0.25">
      <c r="A60" s="94">
        <v>59</v>
      </c>
      <c r="B60" s="94" t="s">
        <v>284</v>
      </c>
      <c r="C60" s="94" t="s">
        <v>721</v>
      </c>
      <c r="D60" s="94" t="s">
        <v>285</v>
      </c>
      <c r="E60" s="94" t="s">
        <v>281</v>
      </c>
      <c r="F60" s="94" t="s">
        <v>18</v>
      </c>
      <c r="G60" s="94">
        <v>2023</v>
      </c>
      <c r="H60" s="94">
        <v>1</v>
      </c>
      <c r="I60" s="95">
        <v>45231</v>
      </c>
      <c r="J60" s="96">
        <v>43769.1</v>
      </c>
      <c r="K60" s="94">
        <v>1</v>
      </c>
      <c r="L60" s="95">
        <v>45250</v>
      </c>
      <c r="M60" s="94">
        <v>3</v>
      </c>
      <c r="N60" s="97">
        <v>60311</v>
      </c>
      <c r="O60" s="126">
        <v>128</v>
      </c>
      <c r="P60" s="127">
        <v>45265</v>
      </c>
      <c r="Q60" s="94">
        <v>1</v>
      </c>
      <c r="R60" s="97">
        <v>60311</v>
      </c>
      <c r="S60" s="94">
        <v>1</v>
      </c>
      <c r="T60" s="128">
        <v>45275</v>
      </c>
      <c r="U60" s="97">
        <v>60311</v>
      </c>
    </row>
    <row r="61" spans="1:21" ht="12" hidden="1" x14ac:dyDescent="0.25">
      <c r="A61" s="94">
        <v>60</v>
      </c>
      <c r="B61" s="94" t="s">
        <v>284</v>
      </c>
      <c r="C61" s="94" t="s">
        <v>721</v>
      </c>
      <c r="D61" s="94" t="s">
        <v>285</v>
      </c>
      <c r="E61" s="94" t="s">
        <v>281</v>
      </c>
      <c r="F61" s="94" t="s">
        <v>18</v>
      </c>
      <c r="G61" s="94">
        <v>2023</v>
      </c>
      <c r="H61" s="94">
        <v>1</v>
      </c>
      <c r="I61" s="95">
        <v>45261</v>
      </c>
      <c r="J61" s="96">
        <v>172360</v>
      </c>
      <c r="K61" s="94">
        <v>1</v>
      </c>
      <c r="L61" s="95">
        <v>45281</v>
      </c>
      <c r="M61" s="94">
        <v>4</v>
      </c>
      <c r="N61" s="97">
        <v>186082</v>
      </c>
      <c r="O61" s="126">
        <v>132</v>
      </c>
      <c r="P61" s="127">
        <v>45289</v>
      </c>
      <c r="Q61" s="94">
        <v>1</v>
      </c>
      <c r="R61" s="97">
        <v>186082</v>
      </c>
      <c r="S61" s="94">
        <v>1</v>
      </c>
      <c r="T61" s="128">
        <v>45296</v>
      </c>
      <c r="U61" s="97">
        <v>186082</v>
      </c>
    </row>
    <row r="62" spans="1:21" ht="12" hidden="1" x14ac:dyDescent="0.25">
      <c r="A62" s="94">
        <v>61</v>
      </c>
      <c r="B62" s="94" t="s">
        <v>284</v>
      </c>
      <c r="C62" s="94" t="s">
        <v>721</v>
      </c>
      <c r="D62" s="94" t="s">
        <v>285</v>
      </c>
      <c r="E62" s="94" t="s">
        <v>281</v>
      </c>
      <c r="F62" s="94" t="s">
        <v>18</v>
      </c>
      <c r="G62" s="94">
        <v>2023</v>
      </c>
      <c r="H62" s="94">
        <v>-1</v>
      </c>
      <c r="I62" s="95">
        <v>45261</v>
      </c>
      <c r="J62" s="96">
        <v>0</v>
      </c>
      <c r="K62" s="94">
        <v>1</v>
      </c>
      <c r="L62" s="117">
        <v>45288</v>
      </c>
      <c r="M62" s="94">
        <v>5</v>
      </c>
      <c r="N62" s="97">
        <v>45403</v>
      </c>
      <c r="O62" s="126">
        <v>133</v>
      </c>
      <c r="P62" s="127">
        <v>45289</v>
      </c>
      <c r="Q62" s="94">
        <v>1</v>
      </c>
      <c r="R62" s="97">
        <v>45403</v>
      </c>
      <c r="S62" s="94">
        <v>1</v>
      </c>
      <c r="T62" s="128">
        <v>45303</v>
      </c>
      <c r="U62" s="108">
        <v>45403</v>
      </c>
    </row>
    <row r="63" spans="1:21" ht="12" hidden="1" x14ac:dyDescent="0.25">
      <c r="A63" s="94">
        <v>62</v>
      </c>
      <c r="B63" s="94" t="s">
        <v>22</v>
      </c>
      <c r="C63" s="94" t="s">
        <v>23</v>
      </c>
      <c r="D63" s="94" t="s">
        <v>23</v>
      </c>
      <c r="E63" s="94" t="s">
        <v>281</v>
      </c>
      <c r="F63" s="94" t="s">
        <v>18</v>
      </c>
      <c r="G63" s="94">
        <v>2025</v>
      </c>
      <c r="H63" s="94">
        <v>-1</v>
      </c>
      <c r="I63" s="95"/>
      <c r="J63" s="96"/>
      <c r="K63" s="94">
        <v>1</v>
      </c>
      <c r="L63" s="117">
        <v>45708</v>
      </c>
      <c r="M63" s="94">
        <v>1</v>
      </c>
      <c r="N63" s="97">
        <v>31900</v>
      </c>
      <c r="O63" s="126">
        <v>266</v>
      </c>
      <c r="P63" s="127">
        <v>45712</v>
      </c>
      <c r="Q63" s="94">
        <v>1</v>
      </c>
      <c r="R63" s="97">
        <v>31885</v>
      </c>
      <c r="S63" s="94">
        <v>1</v>
      </c>
      <c r="T63" s="128">
        <v>45723</v>
      </c>
      <c r="U63" s="97">
        <v>33087.0645</v>
      </c>
    </row>
    <row r="64" spans="1:21" ht="12" hidden="1" x14ac:dyDescent="0.25">
      <c r="A64" s="94">
        <v>63</v>
      </c>
      <c r="B64" s="94" t="s">
        <v>22</v>
      </c>
      <c r="C64" s="94" t="s">
        <v>23</v>
      </c>
      <c r="D64" s="94" t="s">
        <v>23</v>
      </c>
      <c r="E64" s="94" t="s">
        <v>281</v>
      </c>
      <c r="F64" s="94" t="s">
        <v>18</v>
      </c>
      <c r="G64" s="94">
        <v>2025</v>
      </c>
      <c r="H64" s="94">
        <v>-1</v>
      </c>
      <c r="I64" s="95"/>
      <c r="J64" s="96"/>
      <c r="K64" s="94">
        <v>1</v>
      </c>
      <c r="L64" s="117">
        <v>45722</v>
      </c>
      <c r="M64" s="94">
        <v>2</v>
      </c>
      <c r="N64" s="97">
        <v>32888</v>
      </c>
      <c r="O64" s="126">
        <v>283</v>
      </c>
      <c r="P64" s="127">
        <v>45749</v>
      </c>
      <c r="Q64" s="94">
        <v>1</v>
      </c>
      <c r="R64" s="97">
        <v>32888</v>
      </c>
      <c r="S64" s="94">
        <v>1</v>
      </c>
      <c r="T64" s="128">
        <v>45758</v>
      </c>
      <c r="U64" s="97">
        <v>32888</v>
      </c>
    </row>
    <row r="65" spans="1:22" ht="12" hidden="1" x14ac:dyDescent="0.25">
      <c r="A65" s="94">
        <v>64</v>
      </c>
      <c r="B65" s="94" t="s">
        <v>22</v>
      </c>
      <c r="C65" s="94" t="s">
        <v>23</v>
      </c>
      <c r="D65" s="94" t="s">
        <v>23</v>
      </c>
      <c r="E65" s="94" t="s">
        <v>281</v>
      </c>
      <c r="F65" s="94" t="s">
        <v>18</v>
      </c>
      <c r="G65" s="94">
        <v>2025</v>
      </c>
      <c r="H65" s="94">
        <v>-1</v>
      </c>
      <c r="I65" s="95"/>
      <c r="J65" s="96"/>
      <c r="K65" s="94">
        <v>1</v>
      </c>
      <c r="L65" s="117">
        <v>45747</v>
      </c>
      <c r="M65" s="94">
        <v>3</v>
      </c>
      <c r="N65" s="97">
        <v>30364.67</v>
      </c>
      <c r="O65" s="126">
        <v>284</v>
      </c>
      <c r="P65" s="127">
        <v>45749</v>
      </c>
      <c r="Q65" s="94">
        <v>1</v>
      </c>
      <c r="R65" s="97">
        <v>30365</v>
      </c>
      <c r="S65" s="94">
        <v>1</v>
      </c>
      <c r="T65" s="128">
        <v>45758</v>
      </c>
      <c r="U65" s="97">
        <v>30365</v>
      </c>
    </row>
    <row r="66" spans="1:22" ht="12" hidden="1" customHeight="1" x14ac:dyDescent="0.25">
      <c r="A66" s="94">
        <v>65</v>
      </c>
      <c r="B66" s="94" t="s">
        <v>22</v>
      </c>
      <c r="C66" s="94" t="s">
        <v>23</v>
      </c>
      <c r="D66" s="94" t="s">
        <v>23</v>
      </c>
      <c r="E66" s="94" t="s">
        <v>281</v>
      </c>
      <c r="F66" s="94" t="s">
        <v>18</v>
      </c>
      <c r="G66" s="94">
        <v>2025</v>
      </c>
      <c r="H66" s="94">
        <v>-1</v>
      </c>
      <c r="I66" s="95"/>
      <c r="J66" s="96"/>
      <c r="K66" s="94">
        <v>1</v>
      </c>
      <c r="L66" s="117">
        <v>45776</v>
      </c>
      <c r="M66" s="94">
        <v>4</v>
      </c>
      <c r="N66" s="97">
        <v>39293</v>
      </c>
      <c r="O66" s="126">
        <v>315</v>
      </c>
      <c r="P66" s="127">
        <v>45842</v>
      </c>
      <c r="Q66" s="94">
        <v>1</v>
      </c>
      <c r="R66" s="137">
        <v>39293</v>
      </c>
      <c r="S66" s="94">
        <v>1</v>
      </c>
      <c r="T66" s="128">
        <v>45856</v>
      </c>
      <c r="U66" s="97">
        <v>39293</v>
      </c>
    </row>
    <row r="67" spans="1:22" ht="12" hidden="1" x14ac:dyDescent="0.25">
      <c r="A67" s="94">
        <v>66</v>
      </c>
      <c r="B67" s="94" t="s">
        <v>286</v>
      </c>
      <c r="C67" s="94" t="s">
        <v>24</v>
      </c>
      <c r="D67" s="94" t="s">
        <v>24</v>
      </c>
      <c r="E67" s="94" t="s">
        <v>287</v>
      </c>
      <c r="F67" s="94" t="s">
        <v>18</v>
      </c>
      <c r="G67" s="94">
        <v>2025</v>
      </c>
      <c r="H67" s="94">
        <v>-1</v>
      </c>
      <c r="I67" s="95"/>
      <c r="J67" s="96"/>
      <c r="K67" s="94">
        <v>1</v>
      </c>
      <c r="L67" s="117">
        <v>45776</v>
      </c>
      <c r="M67" s="94">
        <v>1</v>
      </c>
      <c r="N67" s="97">
        <v>62417</v>
      </c>
      <c r="O67" s="126">
        <v>320</v>
      </c>
      <c r="P67" s="127">
        <v>45847</v>
      </c>
      <c r="Q67" s="94">
        <v>1</v>
      </c>
      <c r="R67" s="97">
        <v>62417</v>
      </c>
      <c r="S67" s="94">
        <v>1</v>
      </c>
      <c r="T67" s="128">
        <v>45876</v>
      </c>
      <c r="U67" s="108">
        <v>62417</v>
      </c>
    </row>
    <row r="68" spans="1:22" ht="12" hidden="1" x14ac:dyDescent="0.25">
      <c r="A68" s="94">
        <v>67</v>
      </c>
      <c r="B68" s="94" t="s">
        <v>25</v>
      </c>
      <c r="C68" s="94" t="s">
        <v>26</v>
      </c>
      <c r="D68" s="94" t="s">
        <v>26</v>
      </c>
      <c r="E68" s="94" t="s">
        <v>287</v>
      </c>
      <c r="F68" s="94" t="s">
        <v>18</v>
      </c>
      <c r="G68" s="94">
        <v>2025</v>
      </c>
      <c r="H68" s="94">
        <v>-1</v>
      </c>
      <c r="I68" s="95"/>
      <c r="J68" s="96"/>
      <c r="K68" s="94">
        <v>1</v>
      </c>
      <c r="L68" s="117">
        <v>45708</v>
      </c>
      <c r="M68" s="94">
        <v>1</v>
      </c>
      <c r="N68" s="97">
        <v>5211</v>
      </c>
      <c r="O68" s="126">
        <v>268</v>
      </c>
      <c r="P68" s="127">
        <v>45716</v>
      </c>
      <c r="Q68" s="94">
        <v>1</v>
      </c>
      <c r="R68" s="97">
        <v>5211</v>
      </c>
      <c r="S68" s="94">
        <v>-1</v>
      </c>
      <c r="T68" s="128">
        <v>45743</v>
      </c>
    </row>
    <row r="69" spans="1:22" ht="12" hidden="1" x14ac:dyDescent="0.25">
      <c r="A69" s="94">
        <v>68</v>
      </c>
      <c r="B69" s="94" t="s">
        <v>25</v>
      </c>
      <c r="C69" s="94" t="s">
        <v>26</v>
      </c>
      <c r="D69" s="94" t="s">
        <v>26</v>
      </c>
      <c r="E69" s="94" t="s">
        <v>287</v>
      </c>
      <c r="F69" s="94" t="s">
        <v>18</v>
      </c>
      <c r="G69" s="94">
        <v>2025</v>
      </c>
      <c r="H69" s="94">
        <v>-1</v>
      </c>
      <c r="I69" s="95"/>
      <c r="J69" s="96"/>
      <c r="K69" s="94">
        <v>1</v>
      </c>
      <c r="L69" s="117">
        <v>45736</v>
      </c>
      <c r="M69" s="94">
        <v>2</v>
      </c>
      <c r="N69" s="97">
        <v>10435</v>
      </c>
      <c r="O69" s="126">
        <v>282</v>
      </c>
      <c r="P69" s="127">
        <v>45744</v>
      </c>
      <c r="Q69" s="94">
        <v>1</v>
      </c>
      <c r="R69" s="97">
        <v>10435</v>
      </c>
      <c r="S69" s="94">
        <v>-1</v>
      </c>
      <c r="T69" s="128">
        <v>45771</v>
      </c>
    </row>
    <row r="70" spans="1:22" ht="12" hidden="1" x14ac:dyDescent="0.25">
      <c r="A70" s="94">
        <v>69</v>
      </c>
      <c r="B70" s="94" t="s">
        <v>25</v>
      </c>
      <c r="C70" s="94" t="s">
        <v>26</v>
      </c>
      <c r="D70" s="94" t="s">
        <v>26</v>
      </c>
      <c r="E70" s="94" t="s">
        <v>287</v>
      </c>
      <c r="F70" s="94" t="s">
        <v>18</v>
      </c>
      <c r="G70" s="94">
        <v>2025</v>
      </c>
      <c r="H70" s="94">
        <v>-1</v>
      </c>
      <c r="I70" s="95"/>
      <c r="J70" s="96"/>
      <c r="K70" s="94">
        <v>1</v>
      </c>
      <c r="L70" s="117">
        <v>45767</v>
      </c>
      <c r="M70" s="94">
        <v>3</v>
      </c>
      <c r="N70" s="97">
        <v>38772.33</v>
      </c>
      <c r="O70" s="126">
        <v>287</v>
      </c>
      <c r="P70" s="127">
        <v>45768</v>
      </c>
      <c r="Q70" s="94">
        <v>1</v>
      </c>
      <c r="R70" s="97">
        <v>38772</v>
      </c>
      <c r="S70" s="94">
        <v>-1</v>
      </c>
      <c r="T70" s="128">
        <v>45792</v>
      </c>
    </row>
    <row r="71" spans="1:22" ht="12" hidden="1" x14ac:dyDescent="0.25">
      <c r="A71" s="94">
        <v>70</v>
      </c>
      <c r="B71" s="94" t="s">
        <v>25</v>
      </c>
      <c r="C71" s="94" t="s">
        <v>26</v>
      </c>
      <c r="D71" s="94" t="s">
        <v>26</v>
      </c>
      <c r="E71" s="94" t="s">
        <v>287</v>
      </c>
      <c r="F71" s="94" t="s">
        <v>18</v>
      </c>
      <c r="G71" s="94">
        <v>2025</v>
      </c>
      <c r="H71" s="94">
        <v>-1</v>
      </c>
      <c r="I71" s="95"/>
      <c r="J71" s="96"/>
      <c r="K71" s="94">
        <v>1</v>
      </c>
      <c r="L71" s="117">
        <v>45797</v>
      </c>
      <c r="M71" s="94">
        <v>4</v>
      </c>
      <c r="N71" s="96">
        <v>66963</v>
      </c>
      <c r="O71" s="140">
        <v>305</v>
      </c>
      <c r="P71" s="127">
        <v>45804</v>
      </c>
      <c r="Q71" s="94">
        <v>1</v>
      </c>
      <c r="R71" s="137">
        <v>66963</v>
      </c>
      <c r="S71" s="94">
        <v>-1</v>
      </c>
      <c r="T71" s="128">
        <v>45839</v>
      </c>
    </row>
    <row r="72" spans="1:22" ht="12" hidden="1" x14ac:dyDescent="0.25">
      <c r="A72" s="94">
        <v>71</v>
      </c>
      <c r="B72" s="94" t="s">
        <v>25</v>
      </c>
      <c r="C72" s="94" t="s">
        <v>26</v>
      </c>
      <c r="D72" s="94" t="s">
        <v>26</v>
      </c>
      <c r="E72" s="94" t="s">
        <v>287</v>
      </c>
      <c r="F72" s="94" t="s">
        <v>18</v>
      </c>
      <c r="G72" s="94">
        <v>2025</v>
      </c>
      <c r="H72" s="94">
        <v>-1</v>
      </c>
      <c r="I72" s="95"/>
      <c r="J72" s="96"/>
      <c r="K72" s="94">
        <v>1</v>
      </c>
      <c r="L72" s="117">
        <v>45828</v>
      </c>
      <c r="M72" s="94">
        <v>5</v>
      </c>
      <c r="N72" s="96">
        <v>17604</v>
      </c>
      <c r="O72" s="140">
        <v>319</v>
      </c>
      <c r="P72" s="127">
        <v>45846</v>
      </c>
      <c r="Q72" s="94">
        <v>1</v>
      </c>
      <c r="R72" s="97">
        <v>17604</v>
      </c>
      <c r="S72" s="94">
        <v>-1</v>
      </c>
      <c r="T72" s="128">
        <v>45876</v>
      </c>
    </row>
    <row r="73" spans="1:22" ht="12" hidden="1" x14ac:dyDescent="0.25">
      <c r="A73" s="94">
        <v>72</v>
      </c>
      <c r="B73" s="94" t="s">
        <v>25</v>
      </c>
      <c r="C73" s="94" t="s">
        <v>26</v>
      </c>
      <c r="D73" s="94" t="s">
        <v>26</v>
      </c>
      <c r="E73" s="94" t="s">
        <v>287</v>
      </c>
      <c r="F73" s="94" t="s">
        <v>18</v>
      </c>
      <c r="G73" s="94">
        <v>2025</v>
      </c>
      <c r="H73" s="94">
        <v>-1</v>
      </c>
      <c r="I73" s="95"/>
      <c r="J73" s="96"/>
      <c r="K73" s="94">
        <v>1</v>
      </c>
      <c r="L73" s="117">
        <v>45858</v>
      </c>
      <c r="M73" s="94">
        <v>6</v>
      </c>
      <c r="N73" s="96">
        <v>18605</v>
      </c>
      <c r="O73" s="140">
        <v>328</v>
      </c>
      <c r="P73" s="127">
        <v>45873</v>
      </c>
      <c r="Q73" s="94">
        <v>1</v>
      </c>
      <c r="R73" s="96">
        <v>18605</v>
      </c>
      <c r="S73" s="94">
        <v>-1</v>
      </c>
      <c r="T73" s="128">
        <v>45897</v>
      </c>
    </row>
    <row r="74" spans="1:22" ht="12" hidden="1" x14ac:dyDescent="0.25">
      <c r="A74" s="94">
        <v>73</v>
      </c>
      <c r="B74" s="94" t="s">
        <v>25</v>
      </c>
      <c r="C74" s="94" t="s">
        <v>26</v>
      </c>
      <c r="D74" s="94" t="s">
        <v>26</v>
      </c>
      <c r="E74" s="94" t="s">
        <v>287</v>
      </c>
      <c r="F74" s="94" t="s">
        <v>18</v>
      </c>
      <c r="G74" s="94">
        <v>2025</v>
      </c>
      <c r="H74" s="94">
        <v>-1</v>
      </c>
      <c r="I74" s="95"/>
      <c r="J74" s="96"/>
      <c r="K74" s="94">
        <v>1</v>
      </c>
      <c r="L74" s="117">
        <v>45889</v>
      </c>
      <c r="M74" s="94">
        <v>7</v>
      </c>
      <c r="N74" s="96">
        <v>3431</v>
      </c>
      <c r="O74" s="140">
        <v>335</v>
      </c>
      <c r="P74" s="127">
        <v>45896</v>
      </c>
      <c r="Q74" s="94">
        <v>1</v>
      </c>
      <c r="R74" s="97">
        <v>3431</v>
      </c>
      <c r="S74" s="94">
        <v>-1</v>
      </c>
      <c r="T74" s="128">
        <v>45925</v>
      </c>
    </row>
    <row r="75" spans="1:22" ht="12" hidden="1" x14ac:dyDescent="0.25">
      <c r="A75" s="94">
        <v>74</v>
      </c>
      <c r="B75" s="94" t="s">
        <v>25</v>
      </c>
      <c r="C75" s="94" t="s">
        <v>26</v>
      </c>
      <c r="D75" s="94" t="s">
        <v>26</v>
      </c>
      <c r="E75" s="94" t="s">
        <v>287</v>
      </c>
      <c r="F75" s="94" t="s">
        <v>18</v>
      </c>
      <c r="G75" s="94">
        <v>2025</v>
      </c>
      <c r="H75" s="94">
        <v>-1</v>
      </c>
      <c r="I75" s="95"/>
      <c r="J75" s="96"/>
      <c r="K75" s="94">
        <v>-1</v>
      </c>
      <c r="L75" s="117">
        <v>45923</v>
      </c>
      <c r="M75" s="94">
        <v>8</v>
      </c>
      <c r="N75" s="96"/>
      <c r="O75" s="140" t="s">
        <v>705</v>
      </c>
      <c r="P75" s="127"/>
      <c r="Q75" s="94">
        <v>-1</v>
      </c>
      <c r="R75" s="96"/>
      <c r="S75" s="94">
        <v>-1</v>
      </c>
      <c r="T75" s="128"/>
      <c r="V75" s="94" t="s">
        <v>288</v>
      </c>
    </row>
    <row r="76" spans="1:22" ht="12" hidden="1" x14ac:dyDescent="0.25">
      <c r="A76" s="94">
        <v>75</v>
      </c>
      <c r="B76" s="94" t="s">
        <v>25</v>
      </c>
      <c r="C76" s="94" t="s">
        <v>26</v>
      </c>
      <c r="D76" s="94" t="s">
        <v>26</v>
      </c>
      <c r="E76" s="94" t="s">
        <v>287</v>
      </c>
      <c r="F76" s="94" t="s">
        <v>18</v>
      </c>
      <c r="G76" s="94">
        <v>2025</v>
      </c>
      <c r="H76" s="94">
        <v>-1</v>
      </c>
      <c r="I76" s="95"/>
      <c r="J76" s="96"/>
      <c r="K76" s="94">
        <v>-1</v>
      </c>
      <c r="L76" s="117">
        <v>45954</v>
      </c>
      <c r="M76" s="94">
        <v>9</v>
      </c>
      <c r="O76" s="126" t="s">
        <v>705</v>
      </c>
      <c r="P76" s="127"/>
      <c r="Q76" s="94">
        <v>-1</v>
      </c>
      <c r="S76" s="94">
        <v>-1</v>
      </c>
      <c r="T76" s="128"/>
      <c r="V76" s="94" t="s">
        <v>289</v>
      </c>
    </row>
    <row r="77" spans="1:22" ht="12" hidden="1" x14ac:dyDescent="0.25">
      <c r="A77" s="94">
        <v>76</v>
      </c>
      <c r="B77" s="94" t="s">
        <v>4</v>
      </c>
      <c r="C77" s="94" t="s">
        <v>5</v>
      </c>
      <c r="D77" s="94" t="s">
        <v>5</v>
      </c>
      <c r="E77" s="94" t="s">
        <v>290</v>
      </c>
      <c r="F77" s="94" t="s">
        <v>6</v>
      </c>
      <c r="G77" s="94">
        <v>2025</v>
      </c>
      <c r="H77" s="94">
        <v>-1</v>
      </c>
      <c r="I77" s="95"/>
      <c r="J77" s="96"/>
      <c r="K77" s="94">
        <v>1</v>
      </c>
      <c r="L77" s="117">
        <v>45678</v>
      </c>
      <c r="M77" s="94">
        <v>1</v>
      </c>
      <c r="N77" s="97">
        <v>54144</v>
      </c>
      <c r="O77" s="126">
        <v>60</v>
      </c>
      <c r="P77" s="127">
        <v>45684</v>
      </c>
      <c r="Q77" s="94">
        <v>1</v>
      </c>
      <c r="R77" s="97">
        <v>52931</v>
      </c>
      <c r="S77" s="94">
        <v>1</v>
      </c>
      <c r="T77" s="128">
        <v>45721</v>
      </c>
      <c r="U77" s="97">
        <v>52931.26</v>
      </c>
    </row>
    <row r="78" spans="1:22" ht="12" hidden="1" x14ac:dyDescent="0.25">
      <c r="A78" s="94">
        <v>77</v>
      </c>
      <c r="B78" s="94" t="s">
        <v>4</v>
      </c>
      <c r="C78" s="94" t="s">
        <v>5</v>
      </c>
      <c r="D78" s="94" t="s">
        <v>5</v>
      </c>
      <c r="E78" s="94" t="s">
        <v>290</v>
      </c>
      <c r="F78" s="94" t="s">
        <v>6</v>
      </c>
      <c r="G78" s="94">
        <v>2025</v>
      </c>
      <c r="H78" s="94">
        <v>-1</v>
      </c>
      <c r="I78" s="95"/>
      <c r="J78" s="96"/>
      <c r="K78" s="94">
        <v>1</v>
      </c>
      <c r="L78" s="117">
        <v>45709</v>
      </c>
      <c r="M78" s="94">
        <v>2</v>
      </c>
      <c r="N78" s="97">
        <v>58804</v>
      </c>
      <c r="O78" s="126">
        <v>62</v>
      </c>
      <c r="P78" s="128">
        <v>45727</v>
      </c>
      <c r="Q78" s="94">
        <v>1</v>
      </c>
      <c r="R78" s="97">
        <v>54268</v>
      </c>
      <c r="S78" s="94">
        <v>1</v>
      </c>
      <c r="T78" s="128">
        <v>45769</v>
      </c>
      <c r="U78" s="97">
        <v>54268</v>
      </c>
    </row>
    <row r="79" spans="1:22" ht="12" hidden="1" x14ac:dyDescent="0.25">
      <c r="A79" s="94">
        <v>78</v>
      </c>
      <c r="B79" s="94" t="s">
        <v>4</v>
      </c>
      <c r="C79" s="94" t="s">
        <v>5</v>
      </c>
      <c r="D79" s="94" t="s">
        <v>5</v>
      </c>
      <c r="E79" s="94" t="s">
        <v>290</v>
      </c>
      <c r="F79" s="94" t="s">
        <v>6</v>
      </c>
      <c r="G79" s="94">
        <v>2025</v>
      </c>
      <c r="H79" s="94">
        <v>-1</v>
      </c>
      <c r="I79" s="95"/>
      <c r="J79" s="96"/>
      <c r="K79" s="94">
        <v>1</v>
      </c>
      <c r="L79" s="117">
        <v>45737</v>
      </c>
      <c r="M79" s="94">
        <v>3</v>
      </c>
      <c r="N79" s="97">
        <v>20260.62</v>
      </c>
      <c r="O79" s="126">
        <v>66</v>
      </c>
      <c r="P79" s="128">
        <v>45740</v>
      </c>
      <c r="Q79" s="94">
        <v>1</v>
      </c>
      <c r="R79" s="97">
        <v>28982</v>
      </c>
      <c r="S79" s="94">
        <v>1</v>
      </c>
      <c r="T79" s="128">
        <v>45797</v>
      </c>
      <c r="U79" s="97">
        <v>28982</v>
      </c>
    </row>
    <row r="80" spans="1:22" ht="12" hidden="1" x14ac:dyDescent="0.25">
      <c r="A80" s="94">
        <v>79</v>
      </c>
      <c r="B80" s="94" t="s">
        <v>4</v>
      </c>
      <c r="C80" s="94" t="s">
        <v>5</v>
      </c>
      <c r="D80" s="94" t="s">
        <v>5</v>
      </c>
      <c r="E80" s="94" t="s">
        <v>290</v>
      </c>
      <c r="F80" s="94" t="s">
        <v>6</v>
      </c>
      <c r="G80" s="94">
        <v>2025</v>
      </c>
      <c r="H80" s="94">
        <v>-1</v>
      </c>
      <c r="I80" s="95"/>
      <c r="J80" s="96"/>
      <c r="K80" s="94">
        <v>1</v>
      </c>
      <c r="L80" s="117">
        <v>45768</v>
      </c>
      <c r="M80" s="94">
        <v>4</v>
      </c>
      <c r="N80" s="97">
        <v>46562</v>
      </c>
      <c r="O80" s="126">
        <v>68</v>
      </c>
      <c r="P80" s="128">
        <v>45786</v>
      </c>
      <c r="Q80" s="94">
        <v>1</v>
      </c>
      <c r="R80" s="97">
        <v>41295</v>
      </c>
      <c r="S80" s="94">
        <v>1</v>
      </c>
      <c r="T80" s="128">
        <v>45828</v>
      </c>
      <c r="U80" s="97">
        <v>41295</v>
      </c>
    </row>
    <row r="81" spans="1:22" ht="12" hidden="1" x14ac:dyDescent="0.25">
      <c r="A81" s="94">
        <v>80</v>
      </c>
      <c r="B81" s="94" t="s">
        <v>4</v>
      </c>
      <c r="C81" s="94" t="s">
        <v>5</v>
      </c>
      <c r="D81" s="94" t="s">
        <v>5</v>
      </c>
      <c r="E81" s="94" t="s">
        <v>290</v>
      </c>
      <c r="F81" s="94" t="s">
        <v>6</v>
      </c>
      <c r="G81" s="94">
        <v>2025</v>
      </c>
      <c r="H81" s="94">
        <v>-1</v>
      </c>
      <c r="I81" s="95"/>
      <c r="J81" s="96"/>
      <c r="K81" s="94">
        <v>1</v>
      </c>
      <c r="L81" s="117">
        <v>45798</v>
      </c>
      <c r="M81" s="94">
        <v>5</v>
      </c>
      <c r="N81" s="97">
        <v>23599</v>
      </c>
      <c r="O81" s="126">
        <v>76</v>
      </c>
      <c r="P81" s="128">
        <v>45852</v>
      </c>
      <c r="Q81" s="94">
        <v>1</v>
      </c>
      <c r="R81" s="97">
        <v>21546.13</v>
      </c>
      <c r="S81" s="94">
        <v>1</v>
      </c>
      <c r="T81" s="128">
        <v>45863</v>
      </c>
      <c r="U81" s="97">
        <v>21546.13</v>
      </c>
    </row>
    <row r="82" spans="1:22" ht="12" hidden="1" x14ac:dyDescent="0.25">
      <c r="A82" s="94">
        <v>81</v>
      </c>
      <c r="B82" s="94" t="s">
        <v>4</v>
      </c>
      <c r="C82" s="94" t="s">
        <v>5</v>
      </c>
      <c r="D82" s="94" t="s">
        <v>5</v>
      </c>
      <c r="E82" s="94" t="s">
        <v>290</v>
      </c>
      <c r="F82" s="94" t="s">
        <v>6</v>
      </c>
      <c r="G82" s="94">
        <v>2025</v>
      </c>
      <c r="H82" s="94">
        <v>-1</v>
      </c>
      <c r="I82" s="95"/>
      <c r="J82" s="96"/>
      <c r="K82" s="94">
        <v>1</v>
      </c>
      <c r="L82" s="117">
        <v>45829</v>
      </c>
      <c r="M82" s="94">
        <v>6</v>
      </c>
      <c r="N82" s="97">
        <v>30544</v>
      </c>
      <c r="O82" s="126">
        <v>77</v>
      </c>
      <c r="P82" s="128">
        <v>45852</v>
      </c>
      <c r="Q82" s="94">
        <v>1</v>
      </c>
      <c r="R82" s="97">
        <v>25680.84</v>
      </c>
      <c r="S82" s="94">
        <v>1</v>
      </c>
      <c r="T82" s="128">
        <v>45863</v>
      </c>
      <c r="U82" s="97">
        <v>25680.84</v>
      </c>
    </row>
    <row r="83" spans="1:22" ht="12" hidden="1" x14ac:dyDescent="0.25">
      <c r="A83" s="94">
        <v>82</v>
      </c>
      <c r="B83" s="94" t="s">
        <v>4</v>
      </c>
      <c r="C83" s="94" t="s">
        <v>5</v>
      </c>
      <c r="D83" s="94" t="s">
        <v>5</v>
      </c>
      <c r="E83" s="94" t="s">
        <v>290</v>
      </c>
      <c r="F83" s="94" t="s">
        <v>6</v>
      </c>
      <c r="G83" s="94">
        <v>2025</v>
      </c>
      <c r="H83" s="94">
        <v>-1</v>
      </c>
      <c r="I83" s="95"/>
      <c r="J83" s="96"/>
      <c r="K83" s="94">
        <v>1</v>
      </c>
      <c r="L83" s="117">
        <v>45859</v>
      </c>
      <c r="M83" s="94">
        <v>7</v>
      </c>
      <c r="N83" s="97">
        <v>29078</v>
      </c>
      <c r="O83" s="126">
        <v>83</v>
      </c>
      <c r="P83" s="128">
        <v>45874</v>
      </c>
      <c r="Q83" s="94">
        <v>1</v>
      </c>
      <c r="R83" s="97">
        <v>28239</v>
      </c>
      <c r="S83" s="94">
        <v>1</v>
      </c>
      <c r="T83" s="128">
        <v>45905</v>
      </c>
      <c r="U83" s="97">
        <v>28549</v>
      </c>
    </row>
    <row r="84" spans="1:22" ht="12" hidden="1" x14ac:dyDescent="0.25">
      <c r="A84" s="94">
        <v>83</v>
      </c>
      <c r="B84" s="94" t="s">
        <v>4</v>
      </c>
      <c r="C84" s="94" t="s">
        <v>5</v>
      </c>
      <c r="D84" s="94" t="s">
        <v>5</v>
      </c>
      <c r="E84" s="94" t="s">
        <v>290</v>
      </c>
      <c r="F84" s="94" t="s">
        <v>6</v>
      </c>
      <c r="G84" s="94">
        <v>2025</v>
      </c>
      <c r="H84" s="94">
        <v>-1</v>
      </c>
      <c r="I84" s="95"/>
      <c r="J84" s="96"/>
      <c r="K84" s="94">
        <v>1</v>
      </c>
      <c r="L84" s="117">
        <v>45889</v>
      </c>
      <c r="M84" s="94">
        <v>8</v>
      </c>
      <c r="N84" s="97">
        <v>19194</v>
      </c>
      <c r="O84" s="126">
        <v>91</v>
      </c>
      <c r="P84" s="128">
        <v>45905</v>
      </c>
      <c r="Q84" s="94">
        <v>1</v>
      </c>
      <c r="R84" s="97">
        <v>20203</v>
      </c>
      <c r="S84" s="94">
        <v>1</v>
      </c>
      <c r="T84" s="128">
        <v>45950</v>
      </c>
      <c r="U84" s="97">
        <v>19014.259259259259</v>
      </c>
    </row>
    <row r="85" spans="1:22" ht="12" hidden="1" x14ac:dyDescent="0.25">
      <c r="A85" s="94">
        <v>84</v>
      </c>
      <c r="B85" s="94" t="s">
        <v>4</v>
      </c>
      <c r="C85" s="94" t="s">
        <v>5</v>
      </c>
      <c r="D85" s="94" t="s">
        <v>5</v>
      </c>
      <c r="E85" s="94" t="s">
        <v>290</v>
      </c>
      <c r="F85" s="94" t="s">
        <v>6</v>
      </c>
      <c r="G85" s="94">
        <v>2025</v>
      </c>
      <c r="H85" s="94">
        <v>-1</v>
      </c>
      <c r="I85" s="95"/>
      <c r="J85" s="96"/>
      <c r="K85" s="94">
        <v>1</v>
      </c>
      <c r="L85" s="117">
        <v>45915</v>
      </c>
      <c r="M85" s="94">
        <v>9</v>
      </c>
      <c r="N85" s="97">
        <v>16193</v>
      </c>
      <c r="O85" s="126">
        <v>98</v>
      </c>
      <c r="P85" s="128">
        <v>45936</v>
      </c>
      <c r="Q85" s="94">
        <v>1</v>
      </c>
      <c r="R85" s="97">
        <v>17271</v>
      </c>
      <c r="S85" s="94">
        <v>1</v>
      </c>
      <c r="T85" s="128">
        <v>45966</v>
      </c>
      <c r="U85" s="97">
        <v>16041</v>
      </c>
    </row>
    <row r="86" spans="1:22" ht="12" hidden="1" x14ac:dyDescent="0.25">
      <c r="A86" s="94">
        <v>85</v>
      </c>
      <c r="B86" s="94" t="s">
        <v>4</v>
      </c>
      <c r="C86" s="94" t="s">
        <v>5</v>
      </c>
      <c r="D86" s="94" t="s">
        <v>5</v>
      </c>
      <c r="E86" s="94" t="s">
        <v>290</v>
      </c>
      <c r="F86" s="94" t="s">
        <v>6</v>
      </c>
      <c r="G86" s="94">
        <v>2025</v>
      </c>
      <c r="H86" s="94">
        <v>-1</v>
      </c>
      <c r="I86" s="95"/>
      <c r="J86" s="96"/>
      <c r="K86" s="94">
        <v>1</v>
      </c>
      <c r="L86" s="117">
        <v>45945</v>
      </c>
      <c r="M86" s="94">
        <v>10</v>
      </c>
      <c r="N86" s="97">
        <v>11621</v>
      </c>
      <c r="O86" s="126">
        <v>110</v>
      </c>
      <c r="P86" s="117">
        <v>45974</v>
      </c>
      <c r="Q86" s="94">
        <v>1</v>
      </c>
      <c r="R86" s="97">
        <v>9828</v>
      </c>
      <c r="S86" s="94">
        <v>1</v>
      </c>
      <c r="T86" s="128">
        <v>46011</v>
      </c>
      <c r="U86" s="97">
        <v>9828</v>
      </c>
    </row>
    <row r="87" spans="1:22" ht="12" hidden="1" x14ac:dyDescent="0.25">
      <c r="A87" s="94">
        <v>86</v>
      </c>
      <c r="B87" s="94" t="s">
        <v>291</v>
      </c>
      <c r="C87" s="94" t="s">
        <v>292</v>
      </c>
      <c r="D87" s="94" t="s">
        <v>292</v>
      </c>
      <c r="E87" s="94" t="s">
        <v>293</v>
      </c>
      <c r="F87" s="94" t="s">
        <v>70</v>
      </c>
      <c r="G87" s="94">
        <v>2024</v>
      </c>
      <c r="H87" s="94">
        <v>1</v>
      </c>
      <c r="I87" s="95">
        <v>45444</v>
      </c>
      <c r="J87" s="96">
        <v>13339.999999999998</v>
      </c>
      <c r="K87" s="94">
        <v>1</v>
      </c>
      <c r="L87" s="117">
        <v>45467</v>
      </c>
      <c r="M87" s="94">
        <v>1</v>
      </c>
      <c r="N87" s="97">
        <v>88166</v>
      </c>
      <c r="O87" s="126" t="s">
        <v>255</v>
      </c>
      <c r="P87" s="127">
        <v>45467</v>
      </c>
      <c r="Q87" s="94">
        <v>1</v>
      </c>
      <c r="R87" s="97">
        <v>88166</v>
      </c>
      <c r="S87" s="94">
        <v>1</v>
      </c>
      <c r="T87" s="128">
        <v>45470</v>
      </c>
      <c r="U87" s="108">
        <v>88166</v>
      </c>
      <c r="V87" s="94" t="s">
        <v>62</v>
      </c>
    </row>
    <row r="88" spans="1:22" ht="12" hidden="1" x14ac:dyDescent="0.25">
      <c r="A88" s="94">
        <v>87</v>
      </c>
      <c r="B88" s="94" t="s">
        <v>27</v>
      </c>
      <c r="C88" s="94" t="s">
        <v>28</v>
      </c>
      <c r="D88" s="94" t="s">
        <v>28</v>
      </c>
      <c r="E88" s="94" t="s">
        <v>294</v>
      </c>
      <c r="F88" s="94" t="s">
        <v>18</v>
      </c>
      <c r="G88" s="94">
        <v>2025</v>
      </c>
      <c r="H88" s="94">
        <v>-1</v>
      </c>
      <c r="I88" s="95"/>
      <c r="J88" s="96"/>
      <c r="K88" s="94">
        <v>1</v>
      </c>
      <c r="L88" s="117">
        <v>45713</v>
      </c>
      <c r="M88" s="94">
        <v>1</v>
      </c>
      <c r="N88" s="97">
        <v>29950</v>
      </c>
      <c r="O88" s="126">
        <v>275</v>
      </c>
      <c r="P88" s="127">
        <v>45728</v>
      </c>
      <c r="Q88" s="94">
        <v>1</v>
      </c>
      <c r="R88" s="97">
        <v>29950</v>
      </c>
      <c r="S88" s="94">
        <v>1</v>
      </c>
      <c r="T88" s="128">
        <v>45735</v>
      </c>
      <c r="U88" s="108">
        <v>31079.115000000002</v>
      </c>
    </row>
    <row r="89" spans="1:22" ht="12" hidden="1" x14ac:dyDescent="0.25">
      <c r="A89" s="94">
        <v>88</v>
      </c>
      <c r="B89" s="94" t="s">
        <v>27</v>
      </c>
      <c r="C89" s="94" t="s">
        <v>28</v>
      </c>
      <c r="D89" s="94" t="s">
        <v>28</v>
      </c>
      <c r="E89" s="94" t="s">
        <v>294</v>
      </c>
      <c r="F89" s="94" t="s">
        <v>18</v>
      </c>
      <c r="G89" s="94">
        <v>2025</v>
      </c>
      <c r="H89" s="94">
        <v>-1</v>
      </c>
      <c r="I89" s="95"/>
      <c r="J89" s="96"/>
      <c r="K89" s="94">
        <v>1</v>
      </c>
      <c r="L89" s="117">
        <v>45756</v>
      </c>
      <c r="M89" s="94">
        <v>2</v>
      </c>
      <c r="N89" s="97">
        <v>11230</v>
      </c>
      <c r="O89" s="126">
        <v>303</v>
      </c>
      <c r="P89" s="127">
        <v>45803</v>
      </c>
      <c r="Q89" s="94">
        <v>1</v>
      </c>
      <c r="R89" s="97">
        <v>11230</v>
      </c>
      <c r="S89" s="94">
        <v>1</v>
      </c>
      <c r="T89" s="128">
        <v>45834</v>
      </c>
      <c r="U89" s="108">
        <v>11230</v>
      </c>
    </row>
    <row r="90" spans="1:22" ht="12" hidden="1" x14ac:dyDescent="0.25">
      <c r="A90" s="94">
        <v>89</v>
      </c>
      <c r="B90" s="94" t="s">
        <v>27</v>
      </c>
      <c r="C90" s="94" t="s">
        <v>28</v>
      </c>
      <c r="D90" s="94" t="s">
        <v>28</v>
      </c>
      <c r="E90" s="94" t="s">
        <v>294</v>
      </c>
      <c r="F90" s="94" t="s">
        <v>18</v>
      </c>
      <c r="G90" s="94">
        <v>2025</v>
      </c>
      <c r="H90" s="94">
        <v>-1</v>
      </c>
      <c r="I90" s="95"/>
      <c r="J90" s="96"/>
      <c r="K90" s="94">
        <v>1</v>
      </c>
      <c r="L90" s="117">
        <v>45807</v>
      </c>
      <c r="M90" s="94">
        <v>3</v>
      </c>
      <c r="N90" s="97">
        <v>6410</v>
      </c>
      <c r="O90" s="126">
        <v>312</v>
      </c>
      <c r="P90" s="127">
        <v>45817</v>
      </c>
      <c r="Q90" s="94">
        <v>1</v>
      </c>
      <c r="R90" s="97">
        <v>6410</v>
      </c>
      <c r="S90" s="94">
        <v>1</v>
      </c>
      <c r="T90" s="128">
        <v>45824</v>
      </c>
      <c r="U90" s="108">
        <v>6410</v>
      </c>
    </row>
    <row r="91" spans="1:22" ht="12" hidden="1" x14ac:dyDescent="0.25">
      <c r="A91" s="94">
        <v>90</v>
      </c>
      <c r="B91" s="94" t="s">
        <v>29</v>
      </c>
      <c r="C91" s="94" t="s">
        <v>30</v>
      </c>
      <c r="D91" s="94" t="s">
        <v>30</v>
      </c>
      <c r="E91" s="94" t="s">
        <v>294</v>
      </c>
      <c r="F91" s="94" t="s">
        <v>18</v>
      </c>
      <c r="G91" s="94">
        <v>2025</v>
      </c>
      <c r="H91" s="94">
        <v>-1</v>
      </c>
      <c r="I91" s="95"/>
      <c r="J91" s="96"/>
      <c r="K91" s="94">
        <v>1</v>
      </c>
      <c r="L91" s="117">
        <v>45680</v>
      </c>
      <c r="M91" s="94">
        <v>1</v>
      </c>
      <c r="N91" s="97">
        <v>81369</v>
      </c>
      <c r="O91" s="126">
        <v>273</v>
      </c>
      <c r="P91" s="127">
        <v>45728</v>
      </c>
      <c r="Q91" s="94">
        <v>1</v>
      </c>
      <c r="R91" s="97">
        <v>81369</v>
      </c>
      <c r="S91" s="94">
        <v>1</v>
      </c>
      <c r="T91" s="128">
        <v>45735</v>
      </c>
      <c r="U91" s="108">
        <v>84436.611300000004</v>
      </c>
    </row>
    <row r="92" spans="1:22" s="99" customFormat="1" ht="12" hidden="1" x14ac:dyDescent="0.25">
      <c r="A92" s="94">
        <v>91</v>
      </c>
      <c r="B92" s="94" t="s">
        <v>29</v>
      </c>
      <c r="C92" s="94" t="s">
        <v>30</v>
      </c>
      <c r="D92" s="94" t="s">
        <v>30</v>
      </c>
      <c r="E92" s="94" t="s">
        <v>294</v>
      </c>
      <c r="F92" s="94" t="s">
        <v>18</v>
      </c>
      <c r="G92" s="94">
        <v>2025</v>
      </c>
      <c r="H92" s="94">
        <v>-1</v>
      </c>
      <c r="I92" s="95"/>
      <c r="J92" s="96"/>
      <c r="K92" s="94">
        <v>1</v>
      </c>
      <c r="L92" s="117">
        <v>45703</v>
      </c>
      <c r="M92" s="94">
        <v>2</v>
      </c>
      <c r="N92" s="97">
        <v>127260</v>
      </c>
      <c r="O92" s="126">
        <v>274</v>
      </c>
      <c r="P92" s="127">
        <v>45728</v>
      </c>
      <c r="Q92" s="94">
        <v>1</v>
      </c>
      <c r="R92" s="97">
        <v>127249.49</v>
      </c>
      <c r="S92" s="94">
        <v>1</v>
      </c>
      <c r="T92" s="128">
        <v>45735</v>
      </c>
      <c r="U92" s="97">
        <v>132046.2873</v>
      </c>
      <c r="V92" s="94"/>
    </row>
    <row r="93" spans="1:22" ht="12" hidden="1" x14ac:dyDescent="0.25">
      <c r="A93" s="94">
        <v>92</v>
      </c>
      <c r="B93" s="94" t="s">
        <v>29</v>
      </c>
      <c r="C93" s="94" t="s">
        <v>30</v>
      </c>
      <c r="D93" s="94" t="s">
        <v>30</v>
      </c>
      <c r="E93" s="94" t="s">
        <v>294</v>
      </c>
      <c r="F93" s="94" t="s">
        <v>18</v>
      </c>
      <c r="G93" s="94">
        <v>2025</v>
      </c>
      <c r="H93" s="94">
        <v>-1</v>
      </c>
      <c r="I93" s="95"/>
      <c r="J93" s="96"/>
      <c r="K93" s="94">
        <v>1</v>
      </c>
      <c r="L93" s="117">
        <v>45740</v>
      </c>
      <c r="M93" s="94">
        <v>3</v>
      </c>
      <c r="N93" s="97">
        <v>87736</v>
      </c>
      <c r="O93" s="126">
        <v>292</v>
      </c>
      <c r="P93" s="127">
        <v>45777</v>
      </c>
      <c r="Q93" s="94">
        <v>1</v>
      </c>
      <c r="R93" s="97">
        <v>87736</v>
      </c>
      <c r="S93" s="94">
        <v>1</v>
      </c>
      <c r="T93" s="128">
        <v>45785</v>
      </c>
      <c r="U93" s="97">
        <v>87736</v>
      </c>
    </row>
    <row r="94" spans="1:22" ht="12" hidden="1" x14ac:dyDescent="0.25">
      <c r="A94" s="94">
        <v>93</v>
      </c>
      <c r="B94" s="94" t="s">
        <v>29</v>
      </c>
      <c r="C94" s="94" t="s">
        <v>30</v>
      </c>
      <c r="D94" s="94" t="s">
        <v>30</v>
      </c>
      <c r="E94" s="94" t="s">
        <v>294</v>
      </c>
      <c r="F94" s="94" t="s">
        <v>18</v>
      </c>
      <c r="G94" s="94">
        <v>2025</v>
      </c>
      <c r="H94" s="94">
        <v>-1</v>
      </c>
      <c r="I94" s="95"/>
      <c r="J94" s="96"/>
      <c r="K94" s="94">
        <v>1</v>
      </c>
      <c r="L94" s="117">
        <v>45771</v>
      </c>
      <c r="M94" s="94">
        <v>4</v>
      </c>
      <c r="N94" s="96">
        <v>70761</v>
      </c>
      <c r="O94" s="140">
        <v>307</v>
      </c>
      <c r="P94" s="127">
        <v>45805</v>
      </c>
      <c r="Q94" s="94">
        <v>1</v>
      </c>
      <c r="R94" s="97">
        <v>70761</v>
      </c>
      <c r="S94" s="94">
        <v>1</v>
      </c>
      <c r="T94" s="128">
        <v>45812</v>
      </c>
      <c r="U94" s="97">
        <v>70761</v>
      </c>
    </row>
    <row r="95" spans="1:22" ht="12" hidden="1" x14ac:dyDescent="0.25">
      <c r="A95" s="94">
        <v>94</v>
      </c>
      <c r="B95" s="94" t="s">
        <v>29</v>
      </c>
      <c r="C95" s="94" t="s">
        <v>30</v>
      </c>
      <c r="D95" s="94" t="s">
        <v>30</v>
      </c>
      <c r="E95" s="94" t="s">
        <v>294</v>
      </c>
      <c r="F95" s="94" t="s">
        <v>18</v>
      </c>
      <c r="G95" s="94">
        <v>2025</v>
      </c>
      <c r="H95" s="94">
        <v>-1</v>
      </c>
      <c r="I95" s="95"/>
      <c r="J95" s="96"/>
      <c r="K95" s="94">
        <v>1</v>
      </c>
      <c r="L95" s="117">
        <v>45803</v>
      </c>
      <c r="M95" s="94">
        <v>5</v>
      </c>
      <c r="N95" s="97">
        <v>196358</v>
      </c>
      <c r="O95" s="126">
        <v>318</v>
      </c>
      <c r="P95" s="127">
        <v>45846</v>
      </c>
      <c r="Q95" s="94">
        <v>1</v>
      </c>
      <c r="R95" s="97">
        <v>196358</v>
      </c>
      <c r="S95" s="94">
        <v>1</v>
      </c>
      <c r="T95" s="128">
        <v>45853</v>
      </c>
      <c r="U95" s="97">
        <v>196358</v>
      </c>
    </row>
    <row r="96" spans="1:22" ht="12" hidden="1" x14ac:dyDescent="0.25">
      <c r="A96" s="94">
        <v>95</v>
      </c>
      <c r="B96" s="94" t="s">
        <v>29</v>
      </c>
      <c r="C96" s="94" t="s">
        <v>30</v>
      </c>
      <c r="D96" s="94" t="s">
        <v>30</v>
      </c>
      <c r="E96" s="94" t="s">
        <v>294</v>
      </c>
      <c r="F96" s="94" t="s">
        <v>18</v>
      </c>
      <c r="G96" s="94">
        <v>2025</v>
      </c>
      <c r="H96" s="94">
        <v>-1</v>
      </c>
      <c r="I96" s="95"/>
      <c r="J96" s="96"/>
      <c r="K96" s="94">
        <v>1</v>
      </c>
      <c r="L96" s="117">
        <v>45834</v>
      </c>
      <c r="M96" s="94">
        <v>6</v>
      </c>
      <c r="N96" s="97">
        <v>137233</v>
      </c>
      <c r="O96" s="140">
        <v>323</v>
      </c>
      <c r="P96" s="127">
        <v>45862</v>
      </c>
      <c r="Q96" s="94">
        <v>1</v>
      </c>
      <c r="R96" s="97">
        <v>137233</v>
      </c>
      <c r="S96" s="94">
        <v>1</v>
      </c>
      <c r="T96" s="128">
        <v>45869</v>
      </c>
      <c r="U96" s="97">
        <v>137233</v>
      </c>
    </row>
    <row r="97" spans="1:22" ht="12" hidden="1" x14ac:dyDescent="0.25">
      <c r="A97" s="94">
        <v>96</v>
      </c>
      <c r="B97" s="94" t="s">
        <v>29</v>
      </c>
      <c r="C97" s="94" t="s">
        <v>30</v>
      </c>
      <c r="D97" s="94" t="s">
        <v>30</v>
      </c>
      <c r="E97" s="94" t="s">
        <v>294</v>
      </c>
      <c r="F97" s="94" t="s">
        <v>18</v>
      </c>
      <c r="G97" s="94">
        <v>2025</v>
      </c>
      <c r="H97" s="94">
        <v>-1</v>
      </c>
      <c r="I97" s="95"/>
      <c r="J97" s="96"/>
      <c r="K97" s="94">
        <v>1</v>
      </c>
      <c r="L97" s="117">
        <v>45864</v>
      </c>
      <c r="M97" s="94">
        <v>7</v>
      </c>
      <c r="N97" s="97">
        <v>159375.44</v>
      </c>
      <c r="O97" s="141">
        <v>338</v>
      </c>
      <c r="P97" s="127">
        <v>45908</v>
      </c>
      <c r="Q97" s="94">
        <v>1</v>
      </c>
      <c r="R97" s="97">
        <v>159375.44</v>
      </c>
      <c r="S97" s="94">
        <v>1</v>
      </c>
      <c r="T97" s="128">
        <v>45915</v>
      </c>
      <c r="U97" s="97">
        <v>159375.44</v>
      </c>
    </row>
    <row r="98" spans="1:22" ht="12" hidden="1" x14ac:dyDescent="0.25">
      <c r="A98" s="94">
        <v>97</v>
      </c>
      <c r="B98" s="94" t="s">
        <v>29</v>
      </c>
      <c r="C98" s="94" t="s">
        <v>30</v>
      </c>
      <c r="D98" s="94" t="s">
        <v>30</v>
      </c>
      <c r="E98" s="94" t="s">
        <v>294</v>
      </c>
      <c r="F98" s="94" t="s">
        <v>18</v>
      </c>
      <c r="G98" s="94">
        <v>2025</v>
      </c>
      <c r="H98" s="94">
        <v>-1</v>
      </c>
      <c r="I98" s="95"/>
      <c r="J98" s="96"/>
      <c r="K98" s="94">
        <v>1</v>
      </c>
      <c r="L98" s="117">
        <v>45889</v>
      </c>
      <c r="M98" s="94">
        <v>8</v>
      </c>
      <c r="N98" s="97">
        <v>4640</v>
      </c>
      <c r="O98" s="141">
        <v>356</v>
      </c>
      <c r="P98" s="127">
        <v>45960</v>
      </c>
      <c r="Q98" s="94">
        <v>1</v>
      </c>
      <c r="R98" s="97">
        <v>4640</v>
      </c>
      <c r="S98" s="94">
        <v>1</v>
      </c>
      <c r="T98" s="128">
        <v>45967</v>
      </c>
      <c r="U98" s="97">
        <v>4640</v>
      </c>
    </row>
    <row r="99" spans="1:22" ht="12" hidden="1" customHeight="1" x14ac:dyDescent="0.25">
      <c r="A99" s="94">
        <v>98</v>
      </c>
      <c r="B99" s="94" t="s">
        <v>29</v>
      </c>
      <c r="C99" s="94" t="s">
        <v>30</v>
      </c>
      <c r="D99" s="94" t="s">
        <v>30</v>
      </c>
      <c r="E99" s="94" t="s">
        <v>294</v>
      </c>
      <c r="F99" s="94" t="s">
        <v>18</v>
      </c>
      <c r="G99" s="94">
        <v>2025</v>
      </c>
      <c r="H99" s="94">
        <v>-1</v>
      </c>
      <c r="I99" s="95"/>
      <c r="J99" s="96"/>
      <c r="K99" s="94">
        <v>1</v>
      </c>
      <c r="L99" s="117">
        <v>45925</v>
      </c>
      <c r="M99" s="94">
        <v>9</v>
      </c>
      <c r="N99" s="97">
        <v>40120</v>
      </c>
      <c r="O99" s="126">
        <v>358</v>
      </c>
      <c r="P99" s="127">
        <v>45960</v>
      </c>
      <c r="Q99" s="94">
        <v>1</v>
      </c>
      <c r="R99" s="97">
        <v>38602</v>
      </c>
      <c r="S99" s="94">
        <v>1</v>
      </c>
      <c r="T99" s="128">
        <v>45971</v>
      </c>
      <c r="U99" s="97">
        <v>38602</v>
      </c>
    </row>
    <row r="100" spans="1:22" ht="12" hidden="1" x14ac:dyDescent="0.25">
      <c r="A100" s="94">
        <v>99</v>
      </c>
      <c r="B100" s="94" t="s">
        <v>295</v>
      </c>
      <c r="C100" s="94" t="s">
        <v>31</v>
      </c>
      <c r="D100" s="94" t="s">
        <v>31</v>
      </c>
      <c r="E100" s="94" t="s">
        <v>294</v>
      </c>
      <c r="F100" s="94" t="s">
        <v>18</v>
      </c>
      <c r="G100" s="94">
        <v>2024</v>
      </c>
      <c r="H100" s="94">
        <v>-1</v>
      </c>
      <c r="I100" s="95"/>
      <c r="J100" s="96"/>
      <c r="K100" s="94">
        <v>1</v>
      </c>
      <c r="L100" s="117">
        <v>45532</v>
      </c>
      <c r="M100" s="94">
        <v>1</v>
      </c>
      <c r="N100" s="97">
        <v>24680</v>
      </c>
      <c r="O100" s="126">
        <v>212</v>
      </c>
      <c r="P100" s="127">
        <v>45546</v>
      </c>
      <c r="Q100" s="94">
        <v>1</v>
      </c>
      <c r="R100" s="97">
        <v>24680</v>
      </c>
      <c r="S100" s="94">
        <v>1</v>
      </c>
      <c r="T100" s="128">
        <v>45552</v>
      </c>
      <c r="U100" s="97">
        <v>24680</v>
      </c>
    </row>
    <row r="101" spans="1:22" ht="12" hidden="1" x14ac:dyDescent="0.25">
      <c r="A101" s="94">
        <v>100</v>
      </c>
      <c r="B101" s="94" t="s">
        <v>295</v>
      </c>
      <c r="C101" s="94" t="s">
        <v>31</v>
      </c>
      <c r="D101" s="94" t="s">
        <v>31</v>
      </c>
      <c r="E101" s="94" t="s">
        <v>294</v>
      </c>
      <c r="F101" s="94" t="s">
        <v>18</v>
      </c>
      <c r="G101" s="94">
        <v>2024</v>
      </c>
      <c r="H101" s="94">
        <v>-1</v>
      </c>
      <c r="I101" s="95"/>
      <c r="J101" s="96"/>
      <c r="K101" s="94">
        <v>1</v>
      </c>
      <c r="L101" s="117">
        <v>45561</v>
      </c>
      <c r="M101" s="94">
        <v>2</v>
      </c>
      <c r="N101" s="97">
        <v>13842</v>
      </c>
      <c r="O101" s="126">
        <v>224</v>
      </c>
      <c r="P101" s="127">
        <v>45579</v>
      </c>
      <c r="Q101" s="94">
        <v>1</v>
      </c>
      <c r="R101" s="97">
        <v>13842</v>
      </c>
      <c r="S101" s="94">
        <v>1</v>
      </c>
      <c r="T101" s="128">
        <v>45586</v>
      </c>
      <c r="U101" s="97">
        <v>13842</v>
      </c>
    </row>
    <row r="102" spans="1:22" ht="12" hidden="1" x14ac:dyDescent="0.25">
      <c r="A102" s="94">
        <v>101</v>
      </c>
      <c r="B102" s="94" t="s">
        <v>295</v>
      </c>
      <c r="C102" s="94" t="s">
        <v>31</v>
      </c>
      <c r="D102" s="94" t="s">
        <v>31</v>
      </c>
      <c r="E102" s="94" t="s">
        <v>294</v>
      </c>
      <c r="F102" s="94" t="s">
        <v>18</v>
      </c>
      <c r="G102" s="94">
        <v>2024</v>
      </c>
      <c r="H102" s="94">
        <v>-1</v>
      </c>
      <c r="I102" s="95"/>
      <c r="J102" s="96"/>
      <c r="K102" s="94">
        <v>1</v>
      </c>
      <c r="L102" s="117">
        <v>45589</v>
      </c>
      <c r="M102" s="94">
        <v>3</v>
      </c>
      <c r="N102" s="97">
        <v>7683</v>
      </c>
      <c r="O102" s="126">
        <v>239</v>
      </c>
      <c r="P102" s="127">
        <v>45623</v>
      </c>
      <c r="Q102" s="94">
        <v>1</v>
      </c>
      <c r="R102" s="97">
        <v>7683</v>
      </c>
      <c r="S102" s="94">
        <v>1</v>
      </c>
      <c r="T102" s="128">
        <v>45630</v>
      </c>
      <c r="U102" s="108">
        <v>7683</v>
      </c>
    </row>
    <row r="103" spans="1:22" ht="12" hidden="1" x14ac:dyDescent="0.25">
      <c r="A103" s="94">
        <v>102</v>
      </c>
      <c r="B103" s="94" t="s">
        <v>32</v>
      </c>
      <c r="C103" s="94" t="s">
        <v>33</v>
      </c>
      <c r="D103" s="94" t="s">
        <v>33</v>
      </c>
      <c r="E103" s="94" t="s">
        <v>294</v>
      </c>
      <c r="F103" s="94" t="s">
        <v>18</v>
      </c>
      <c r="G103" s="94">
        <v>2025</v>
      </c>
      <c r="H103" s="94">
        <v>-1</v>
      </c>
      <c r="I103" s="95"/>
      <c r="J103" s="96"/>
      <c r="K103" s="94">
        <v>1</v>
      </c>
      <c r="L103" s="95">
        <v>45713</v>
      </c>
      <c r="M103" s="94">
        <v>1</v>
      </c>
      <c r="N103" s="97">
        <v>37400</v>
      </c>
      <c r="O103" s="126">
        <v>278</v>
      </c>
      <c r="P103" s="127">
        <v>45736</v>
      </c>
      <c r="Q103" s="94">
        <v>1</v>
      </c>
      <c r="R103" s="97">
        <v>37400</v>
      </c>
      <c r="S103" s="94">
        <v>1</v>
      </c>
      <c r="T103" s="128">
        <v>45743</v>
      </c>
      <c r="U103" s="97">
        <v>38176.983</v>
      </c>
    </row>
    <row r="104" spans="1:22" ht="12" hidden="1" x14ac:dyDescent="0.25">
      <c r="A104" s="94">
        <v>103</v>
      </c>
      <c r="B104" s="94" t="s">
        <v>34</v>
      </c>
      <c r="C104" s="94" t="s">
        <v>35</v>
      </c>
      <c r="D104" s="94" t="s">
        <v>35</v>
      </c>
      <c r="E104" s="94" t="s">
        <v>294</v>
      </c>
      <c r="F104" s="94" t="s">
        <v>18</v>
      </c>
      <c r="G104" s="94">
        <v>2024</v>
      </c>
      <c r="H104" s="94">
        <v>-1</v>
      </c>
      <c r="I104" s="95"/>
      <c r="J104" s="96"/>
      <c r="K104" s="94">
        <v>1</v>
      </c>
      <c r="L104" s="95">
        <v>45441</v>
      </c>
      <c r="M104" s="94">
        <v>1</v>
      </c>
      <c r="N104" s="97">
        <v>35036</v>
      </c>
      <c r="O104" s="126">
        <v>293</v>
      </c>
      <c r="P104" s="127">
        <v>45777</v>
      </c>
      <c r="Q104" s="94">
        <v>1</v>
      </c>
      <c r="R104" s="97">
        <v>35036</v>
      </c>
      <c r="S104" s="94">
        <v>1</v>
      </c>
      <c r="T104" s="128">
        <v>45785</v>
      </c>
      <c r="U104" s="97">
        <v>35036</v>
      </c>
    </row>
    <row r="105" spans="1:22" ht="12" hidden="1" x14ac:dyDescent="0.25">
      <c r="A105" s="94">
        <v>104</v>
      </c>
      <c r="B105" s="94" t="s">
        <v>34</v>
      </c>
      <c r="C105" s="94" t="s">
        <v>35</v>
      </c>
      <c r="D105" s="94" t="s">
        <v>35</v>
      </c>
      <c r="E105" s="94" t="s">
        <v>294</v>
      </c>
      <c r="F105" s="94" t="s">
        <v>18</v>
      </c>
      <c r="G105" s="94">
        <v>2025</v>
      </c>
      <c r="H105" s="94">
        <v>-1</v>
      </c>
      <c r="I105" s="95"/>
      <c r="J105" s="96"/>
      <c r="K105" s="94">
        <v>1</v>
      </c>
      <c r="L105" s="95">
        <v>45776</v>
      </c>
      <c r="M105" s="94">
        <v>2</v>
      </c>
      <c r="N105" s="97">
        <v>48790</v>
      </c>
      <c r="O105" s="126">
        <v>296</v>
      </c>
      <c r="P105" s="127">
        <v>45783</v>
      </c>
      <c r="Q105" s="94">
        <v>1</v>
      </c>
      <c r="R105" s="97">
        <v>48790</v>
      </c>
      <c r="S105" s="94">
        <v>1</v>
      </c>
      <c r="T105" s="128">
        <v>45790</v>
      </c>
      <c r="U105" s="97">
        <v>48790</v>
      </c>
    </row>
    <row r="106" spans="1:22" ht="12" hidden="1" x14ac:dyDescent="0.25">
      <c r="A106" s="94">
        <v>105</v>
      </c>
      <c r="B106" s="94" t="s">
        <v>34</v>
      </c>
      <c r="C106" s="94" t="s">
        <v>35</v>
      </c>
      <c r="D106" s="94" t="s">
        <v>35</v>
      </c>
      <c r="E106" s="94" t="s">
        <v>294</v>
      </c>
      <c r="F106" s="94" t="s">
        <v>18</v>
      </c>
      <c r="G106" s="94">
        <v>2025</v>
      </c>
      <c r="H106" s="94">
        <v>-1</v>
      </c>
      <c r="I106" s="95"/>
      <c r="J106" s="96"/>
      <c r="K106" s="94">
        <v>1</v>
      </c>
      <c r="L106" s="95">
        <v>45803</v>
      </c>
      <c r="M106" s="94">
        <v>3</v>
      </c>
      <c r="N106" s="97">
        <v>32748</v>
      </c>
      <c r="O106" s="126">
        <v>310</v>
      </c>
      <c r="P106" s="127">
        <v>45812</v>
      </c>
      <c r="Q106" s="94">
        <v>1</v>
      </c>
      <c r="R106" s="97">
        <v>32748</v>
      </c>
      <c r="S106" s="94">
        <v>1</v>
      </c>
      <c r="T106" s="128">
        <v>45819</v>
      </c>
      <c r="U106" s="97">
        <v>32748</v>
      </c>
    </row>
    <row r="107" spans="1:22" ht="12" hidden="1" x14ac:dyDescent="0.25">
      <c r="A107" s="94">
        <v>106</v>
      </c>
      <c r="B107" s="94" t="s">
        <v>34</v>
      </c>
      <c r="C107" s="94" t="s">
        <v>35</v>
      </c>
      <c r="D107" s="94" t="s">
        <v>35</v>
      </c>
      <c r="E107" s="94" t="s">
        <v>294</v>
      </c>
      <c r="F107" s="94" t="s">
        <v>18</v>
      </c>
      <c r="G107" s="94">
        <v>2025</v>
      </c>
      <c r="H107" s="94">
        <v>-1</v>
      </c>
      <c r="I107" s="95"/>
      <c r="J107" s="96"/>
      <c r="K107" s="94">
        <v>1</v>
      </c>
      <c r="L107" s="95">
        <v>45834</v>
      </c>
      <c r="M107" s="94">
        <v>4</v>
      </c>
      <c r="N107" s="97">
        <v>40426</v>
      </c>
      <c r="O107" s="126">
        <v>316</v>
      </c>
      <c r="P107" s="127">
        <v>45842</v>
      </c>
      <c r="Q107" s="94">
        <v>1</v>
      </c>
      <c r="R107" s="97">
        <v>40426</v>
      </c>
      <c r="S107" s="94">
        <v>1</v>
      </c>
      <c r="T107" s="128">
        <v>45849</v>
      </c>
      <c r="U107" s="97">
        <v>40426</v>
      </c>
    </row>
    <row r="108" spans="1:22" ht="12" hidden="1" x14ac:dyDescent="0.25">
      <c r="A108" s="94">
        <v>107</v>
      </c>
      <c r="B108" s="94" t="s">
        <v>34</v>
      </c>
      <c r="C108" s="94" t="s">
        <v>35</v>
      </c>
      <c r="D108" s="94" t="s">
        <v>35</v>
      </c>
      <c r="E108" s="94" t="s">
        <v>294</v>
      </c>
      <c r="F108" s="94" t="s">
        <v>18</v>
      </c>
      <c r="G108" s="94">
        <v>2025</v>
      </c>
      <c r="H108" s="94">
        <v>-1</v>
      </c>
      <c r="I108" s="95"/>
      <c r="J108" s="96"/>
      <c r="K108" s="94">
        <v>1</v>
      </c>
      <c r="L108" s="95">
        <v>45864</v>
      </c>
      <c r="M108" s="94">
        <v>5</v>
      </c>
      <c r="N108" s="97">
        <v>30025</v>
      </c>
      <c r="O108" s="126">
        <v>330</v>
      </c>
      <c r="P108" s="127">
        <v>45877</v>
      </c>
      <c r="Q108" s="94">
        <v>1</v>
      </c>
      <c r="R108" s="97">
        <v>30025</v>
      </c>
      <c r="S108" s="94">
        <v>1</v>
      </c>
      <c r="T108" s="128">
        <v>45883</v>
      </c>
      <c r="U108" s="97">
        <v>30025</v>
      </c>
    </row>
    <row r="109" spans="1:22" ht="12" hidden="1" x14ac:dyDescent="0.25">
      <c r="A109" s="94">
        <v>108</v>
      </c>
      <c r="B109" s="94" t="s">
        <v>34</v>
      </c>
      <c r="C109" s="94" t="s">
        <v>35</v>
      </c>
      <c r="D109" s="94" t="s">
        <v>35</v>
      </c>
      <c r="E109" s="94" t="s">
        <v>294</v>
      </c>
      <c r="F109" s="94" t="s">
        <v>18</v>
      </c>
      <c r="G109" s="94">
        <v>2025</v>
      </c>
      <c r="H109" s="94">
        <v>-1</v>
      </c>
      <c r="I109" s="95"/>
      <c r="J109" s="142"/>
      <c r="K109" s="94">
        <v>1</v>
      </c>
      <c r="L109" s="95">
        <v>45894</v>
      </c>
      <c r="M109" s="94">
        <v>6</v>
      </c>
      <c r="N109" s="137">
        <v>11895</v>
      </c>
      <c r="O109" s="126">
        <v>339</v>
      </c>
      <c r="P109" s="127">
        <v>45908</v>
      </c>
      <c r="Q109" s="94">
        <v>1</v>
      </c>
      <c r="R109" s="97">
        <v>11895</v>
      </c>
      <c r="S109" s="94">
        <v>1</v>
      </c>
      <c r="T109" s="138">
        <v>45915</v>
      </c>
      <c r="U109" s="97">
        <v>11895</v>
      </c>
    </row>
    <row r="110" spans="1:22" ht="12" hidden="1" customHeight="1" x14ac:dyDescent="0.25">
      <c r="A110" s="94">
        <v>109</v>
      </c>
      <c r="B110" s="94" t="s">
        <v>296</v>
      </c>
      <c r="C110" s="94" t="s">
        <v>297</v>
      </c>
      <c r="D110" s="94" t="s">
        <v>297</v>
      </c>
      <c r="E110" s="94" t="s">
        <v>298</v>
      </c>
      <c r="F110" s="94" t="s">
        <v>18</v>
      </c>
      <c r="G110" s="94">
        <v>2024</v>
      </c>
      <c r="H110" s="94">
        <v>1</v>
      </c>
      <c r="I110" s="95">
        <v>45352</v>
      </c>
      <c r="J110" s="142">
        <v>50000</v>
      </c>
      <c r="K110" s="94">
        <v>1</v>
      </c>
      <c r="L110" s="95">
        <v>45358</v>
      </c>
      <c r="M110" s="94">
        <v>1</v>
      </c>
      <c r="N110" s="96">
        <v>54706</v>
      </c>
      <c r="O110" s="126">
        <v>174</v>
      </c>
      <c r="P110" s="127">
        <v>45372</v>
      </c>
      <c r="Q110" s="94">
        <v>1</v>
      </c>
      <c r="R110" s="97">
        <v>54706</v>
      </c>
      <c r="S110" s="94">
        <v>1</v>
      </c>
      <c r="T110" s="128">
        <v>45401</v>
      </c>
      <c r="U110" s="97">
        <v>54706</v>
      </c>
    </row>
    <row r="111" spans="1:22" ht="12" hidden="1" customHeight="1" x14ac:dyDescent="0.25">
      <c r="A111" s="94">
        <v>110</v>
      </c>
      <c r="B111" s="94" t="s">
        <v>299</v>
      </c>
      <c r="C111" s="94" t="s">
        <v>300</v>
      </c>
      <c r="D111" s="94" t="s">
        <v>300</v>
      </c>
      <c r="E111" s="94" t="s">
        <v>298</v>
      </c>
      <c r="F111" s="94" t="s">
        <v>18</v>
      </c>
      <c r="G111" s="94">
        <v>2024</v>
      </c>
      <c r="H111" s="94">
        <v>-1</v>
      </c>
      <c r="I111" s="95"/>
      <c r="J111" s="96"/>
      <c r="K111" s="94">
        <v>1</v>
      </c>
      <c r="L111" s="95">
        <v>45498</v>
      </c>
      <c r="M111" s="94">
        <v>1</v>
      </c>
      <c r="N111" s="97">
        <v>40000</v>
      </c>
      <c r="O111" s="126">
        <v>1</v>
      </c>
      <c r="P111" s="127">
        <v>45544</v>
      </c>
      <c r="Q111" s="94">
        <v>1</v>
      </c>
      <c r="R111" s="97">
        <v>40000</v>
      </c>
      <c r="S111" s="94">
        <v>1</v>
      </c>
      <c r="T111" s="128">
        <v>45579</v>
      </c>
      <c r="U111" s="97">
        <v>40000</v>
      </c>
      <c r="V111" s="94" t="s">
        <v>301</v>
      </c>
    </row>
    <row r="112" spans="1:22" ht="12" hidden="1" x14ac:dyDescent="0.25">
      <c r="A112" s="94">
        <v>111</v>
      </c>
      <c r="B112" s="94" t="s">
        <v>302</v>
      </c>
      <c r="C112" s="94" t="s">
        <v>726</v>
      </c>
      <c r="D112" s="94" t="s">
        <v>303</v>
      </c>
      <c r="E112" s="94" t="s">
        <v>304</v>
      </c>
      <c r="F112" s="94" t="s">
        <v>18</v>
      </c>
      <c r="G112" s="94">
        <v>2023</v>
      </c>
      <c r="H112" s="94">
        <v>-1</v>
      </c>
      <c r="I112" s="95"/>
      <c r="J112" s="96"/>
      <c r="K112" s="94">
        <v>1</v>
      </c>
      <c r="L112" s="95">
        <v>45009</v>
      </c>
      <c r="M112" s="94">
        <v>1</v>
      </c>
      <c r="N112" s="97">
        <v>88780</v>
      </c>
      <c r="O112" s="126">
        <v>69</v>
      </c>
      <c r="P112" s="127">
        <v>45061</v>
      </c>
      <c r="Q112" s="94">
        <v>1</v>
      </c>
      <c r="R112" s="97">
        <v>90837</v>
      </c>
      <c r="S112" s="94">
        <v>1</v>
      </c>
      <c r="T112" s="127">
        <v>45089</v>
      </c>
      <c r="U112" s="97">
        <v>90837</v>
      </c>
    </row>
    <row r="113" spans="1:22" ht="12" hidden="1" x14ac:dyDescent="0.25">
      <c r="A113" s="94">
        <v>112</v>
      </c>
      <c r="B113" s="94" t="s">
        <v>302</v>
      </c>
      <c r="C113" s="94" t="s">
        <v>726</v>
      </c>
      <c r="D113" s="94" t="s">
        <v>303</v>
      </c>
      <c r="E113" s="94" t="s">
        <v>304</v>
      </c>
      <c r="F113" s="94" t="s">
        <v>18</v>
      </c>
      <c r="G113" s="94">
        <v>2023</v>
      </c>
      <c r="H113" s="94">
        <v>-1</v>
      </c>
      <c r="I113" s="95"/>
      <c r="J113" s="96"/>
      <c r="K113" s="94">
        <v>1</v>
      </c>
      <c r="L113" s="95">
        <v>45037</v>
      </c>
      <c r="M113" s="94">
        <v>2</v>
      </c>
      <c r="N113" s="97">
        <v>28476</v>
      </c>
      <c r="O113" s="126">
        <v>84</v>
      </c>
      <c r="P113" s="127">
        <v>45107</v>
      </c>
      <c r="Q113" s="94">
        <v>1</v>
      </c>
      <c r="R113" s="97">
        <v>28476</v>
      </c>
      <c r="S113" s="94">
        <v>1</v>
      </c>
      <c r="T113" s="127">
        <v>45128</v>
      </c>
      <c r="U113" s="97">
        <v>28476</v>
      </c>
    </row>
    <row r="114" spans="1:22" ht="12" hidden="1" x14ac:dyDescent="0.25">
      <c r="A114" s="94">
        <v>113</v>
      </c>
      <c r="B114" s="94" t="s">
        <v>302</v>
      </c>
      <c r="C114" s="94" t="s">
        <v>726</v>
      </c>
      <c r="D114" s="94" t="s">
        <v>303</v>
      </c>
      <c r="E114" s="94" t="s">
        <v>304</v>
      </c>
      <c r="F114" s="94" t="s">
        <v>18</v>
      </c>
      <c r="G114" s="94">
        <v>2023</v>
      </c>
      <c r="H114" s="94">
        <v>-1</v>
      </c>
      <c r="I114" s="95"/>
      <c r="J114" s="96"/>
      <c r="K114" s="94">
        <v>1</v>
      </c>
      <c r="L114" s="95">
        <v>45067</v>
      </c>
      <c r="M114" s="94">
        <v>3</v>
      </c>
      <c r="N114" s="97">
        <v>8190</v>
      </c>
      <c r="O114" s="126">
        <v>85</v>
      </c>
      <c r="P114" s="127">
        <v>45107</v>
      </c>
      <c r="Q114" s="94">
        <v>1</v>
      </c>
      <c r="R114" s="97">
        <v>8190</v>
      </c>
      <c r="S114" s="94">
        <v>1</v>
      </c>
      <c r="T114" s="128">
        <v>45128</v>
      </c>
      <c r="U114" s="97">
        <v>8190</v>
      </c>
      <c r="V114" s="94" t="s">
        <v>305</v>
      </c>
    </row>
    <row r="115" spans="1:22" ht="12" hidden="1" x14ac:dyDescent="0.25">
      <c r="A115" s="94">
        <v>114</v>
      </c>
      <c r="B115" s="94" t="s">
        <v>302</v>
      </c>
      <c r="C115" s="94" t="s">
        <v>726</v>
      </c>
      <c r="D115" s="94" t="s">
        <v>303</v>
      </c>
      <c r="E115" s="94" t="s">
        <v>304</v>
      </c>
      <c r="F115" s="94" t="s">
        <v>18</v>
      </c>
      <c r="G115" s="94">
        <v>2023</v>
      </c>
      <c r="H115" s="94">
        <v>-1</v>
      </c>
      <c r="I115" s="95"/>
      <c r="J115" s="96"/>
      <c r="K115" s="94">
        <v>1</v>
      </c>
      <c r="L115" s="117">
        <v>45132</v>
      </c>
      <c r="M115" s="94">
        <v>4</v>
      </c>
      <c r="N115" s="97">
        <v>13446</v>
      </c>
      <c r="O115" s="126">
        <v>114</v>
      </c>
      <c r="P115" s="127">
        <v>45204</v>
      </c>
      <c r="Q115" s="94">
        <v>1</v>
      </c>
      <c r="R115" s="97">
        <v>13446</v>
      </c>
      <c r="S115" s="94">
        <v>1</v>
      </c>
      <c r="T115" s="128">
        <v>45225</v>
      </c>
      <c r="U115" s="97">
        <v>13446</v>
      </c>
    </row>
    <row r="116" spans="1:22" ht="12" hidden="1" x14ac:dyDescent="0.25">
      <c r="A116" s="94">
        <v>115</v>
      </c>
      <c r="B116" s="94" t="s">
        <v>36</v>
      </c>
      <c r="C116" s="94" t="s">
        <v>37</v>
      </c>
      <c r="D116" s="94" t="s">
        <v>37</v>
      </c>
      <c r="E116" s="94" t="s">
        <v>306</v>
      </c>
      <c r="F116" s="94" t="s">
        <v>18</v>
      </c>
      <c r="G116" s="94">
        <v>2024</v>
      </c>
      <c r="H116" s="94">
        <v>-1</v>
      </c>
      <c r="I116" s="95"/>
      <c r="J116" s="96"/>
      <c r="K116" s="94">
        <v>1</v>
      </c>
      <c r="L116" s="117">
        <v>45498</v>
      </c>
      <c r="M116" s="94">
        <v>1</v>
      </c>
      <c r="N116" s="136">
        <v>62422</v>
      </c>
      <c r="O116" s="126">
        <v>204</v>
      </c>
      <c r="P116" s="127">
        <v>45520</v>
      </c>
      <c r="Q116" s="94">
        <v>1</v>
      </c>
      <c r="R116" s="97">
        <v>61918</v>
      </c>
      <c r="S116" s="94">
        <v>1</v>
      </c>
      <c r="T116" s="128">
        <v>45618</v>
      </c>
      <c r="U116" s="97">
        <v>61918</v>
      </c>
    </row>
    <row r="117" spans="1:22" ht="12" hidden="1" x14ac:dyDescent="0.25">
      <c r="A117" s="94">
        <v>116</v>
      </c>
      <c r="B117" s="94" t="s">
        <v>36</v>
      </c>
      <c r="C117" s="94" t="s">
        <v>37</v>
      </c>
      <c r="D117" s="94" t="s">
        <v>37</v>
      </c>
      <c r="E117" s="94" t="s">
        <v>306</v>
      </c>
      <c r="F117" s="94" t="s">
        <v>18</v>
      </c>
      <c r="G117" s="94">
        <v>2024</v>
      </c>
      <c r="H117" s="94">
        <v>-1</v>
      </c>
      <c r="I117" s="95"/>
      <c r="J117" s="96"/>
      <c r="K117" s="94">
        <v>1</v>
      </c>
      <c r="L117" s="117">
        <v>45530</v>
      </c>
      <c r="M117" s="94">
        <v>2</v>
      </c>
      <c r="N117" s="97">
        <v>82409</v>
      </c>
      <c r="O117" s="126">
        <v>217</v>
      </c>
      <c r="P117" s="143">
        <v>45559</v>
      </c>
      <c r="Q117" s="94">
        <v>1</v>
      </c>
      <c r="R117" s="97">
        <v>82408</v>
      </c>
      <c r="S117" s="94">
        <v>1</v>
      </c>
      <c r="T117" s="128">
        <v>45646</v>
      </c>
      <c r="U117" s="122">
        <v>82408</v>
      </c>
    </row>
    <row r="118" spans="1:22" ht="12" hidden="1" x14ac:dyDescent="0.25">
      <c r="A118" s="94">
        <v>117</v>
      </c>
      <c r="B118" s="94" t="s">
        <v>36</v>
      </c>
      <c r="C118" s="94" t="s">
        <v>37</v>
      </c>
      <c r="D118" s="94" t="s">
        <v>37</v>
      </c>
      <c r="E118" s="94" t="s">
        <v>306</v>
      </c>
      <c r="F118" s="94" t="s">
        <v>18</v>
      </c>
      <c r="G118" s="94">
        <v>2024</v>
      </c>
      <c r="H118" s="94">
        <v>-1</v>
      </c>
      <c r="I118" s="95"/>
      <c r="J118" s="96"/>
      <c r="K118" s="94">
        <v>1</v>
      </c>
      <c r="L118" s="117">
        <v>45561</v>
      </c>
      <c r="M118" s="94">
        <v>3</v>
      </c>
      <c r="N118" s="97">
        <v>37000</v>
      </c>
      <c r="O118" s="126">
        <v>235</v>
      </c>
      <c r="P118" s="143">
        <v>45615</v>
      </c>
      <c r="Q118" s="94">
        <v>1</v>
      </c>
      <c r="R118" s="97">
        <v>37255</v>
      </c>
      <c r="S118" s="94">
        <v>1</v>
      </c>
      <c r="T118" s="128">
        <v>45674</v>
      </c>
      <c r="U118" s="122">
        <v>38659.513500000001</v>
      </c>
    </row>
    <row r="119" spans="1:22" ht="12" hidden="1" x14ac:dyDescent="0.25">
      <c r="A119" s="94">
        <v>118</v>
      </c>
      <c r="B119" s="94" t="s">
        <v>36</v>
      </c>
      <c r="C119" s="94" t="s">
        <v>37</v>
      </c>
      <c r="D119" s="94" t="s">
        <v>37</v>
      </c>
      <c r="E119" s="94" t="s">
        <v>306</v>
      </c>
      <c r="F119" s="94" t="s">
        <v>18</v>
      </c>
      <c r="G119" s="94">
        <v>2024</v>
      </c>
      <c r="H119" s="94">
        <v>-1</v>
      </c>
      <c r="I119" s="95"/>
      <c r="J119" s="96"/>
      <c r="K119" s="94">
        <v>1</v>
      </c>
      <c r="L119" s="117">
        <v>45589</v>
      </c>
      <c r="M119" s="94">
        <v>4</v>
      </c>
      <c r="N119" s="97">
        <v>12795</v>
      </c>
      <c r="O119" s="126">
        <v>236</v>
      </c>
      <c r="P119" s="128">
        <v>45615</v>
      </c>
      <c r="Q119" s="94">
        <v>1</v>
      </c>
      <c r="R119" s="97">
        <v>12813</v>
      </c>
      <c r="S119" s="94">
        <v>1</v>
      </c>
      <c r="T119" s="128">
        <v>45674</v>
      </c>
      <c r="U119" s="96">
        <v>13296.0501</v>
      </c>
    </row>
    <row r="120" spans="1:22" ht="12" hidden="1" customHeight="1" x14ac:dyDescent="0.25">
      <c r="A120" s="94">
        <v>119</v>
      </c>
      <c r="B120" s="94" t="s">
        <v>36</v>
      </c>
      <c r="C120" s="94" t="s">
        <v>37</v>
      </c>
      <c r="D120" s="94" t="s">
        <v>37</v>
      </c>
      <c r="E120" s="94" t="s">
        <v>306</v>
      </c>
      <c r="F120" s="94" t="s">
        <v>62</v>
      </c>
      <c r="G120" s="94">
        <v>2024</v>
      </c>
      <c r="H120" s="94">
        <v>-1</v>
      </c>
      <c r="I120" s="95"/>
      <c r="J120" s="96"/>
      <c r="K120" s="94">
        <v>1</v>
      </c>
      <c r="L120" s="117">
        <v>45622</v>
      </c>
      <c r="M120" s="94">
        <v>5</v>
      </c>
      <c r="N120" s="97">
        <v>45478</v>
      </c>
      <c r="O120" s="126" t="s">
        <v>255</v>
      </c>
      <c r="P120" s="127">
        <v>45665</v>
      </c>
      <c r="Q120" s="94">
        <v>1</v>
      </c>
      <c r="R120" s="97">
        <v>45478</v>
      </c>
      <c r="S120" s="94">
        <v>1</v>
      </c>
      <c r="T120" s="128">
        <v>45720</v>
      </c>
      <c r="U120" s="97">
        <v>45478</v>
      </c>
      <c r="V120" s="94" t="s">
        <v>62</v>
      </c>
    </row>
    <row r="121" spans="1:22" ht="12" hidden="1" x14ac:dyDescent="0.25">
      <c r="A121" s="94">
        <v>120</v>
      </c>
      <c r="B121" s="94" t="s">
        <v>36</v>
      </c>
      <c r="C121" s="94" t="s">
        <v>37</v>
      </c>
      <c r="D121" s="94" t="s">
        <v>37</v>
      </c>
      <c r="E121" s="94" t="s">
        <v>306</v>
      </c>
      <c r="F121" s="94" t="s">
        <v>62</v>
      </c>
      <c r="G121" s="94">
        <v>2024</v>
      </c>
      <c r="H121" s="94">
        <v>-1</v>
      </c>
      <c r="I121" s="95"/>
      <c r="J121" s="96"/>
      <c r="K121" s="94">
        <v>1</v>
      </c>
      <c r="L121" s="117">
        <v>45652</v>
      </c>
      <c r="M121" s="94">
        <v>6</v>
      </c>
      <c r="N121" s="97">
        <v>21682</v>
      </c>
      <c r="O121" s="144" t="s">
        <v>255</v>
      </c>
      <c r="P121" s="127">
        <v>45665</v>
      </c>
      <c r="Q121" s="94">
        <v>1</v>
      </c>
      <c r="R121" s="97">
        <v>21682</v>
      </c>
      <c r="S121" s="94">
        <v>1</v>
      </c>
      <c r="T121" s="128">
        <v>45702</v>
      </c>
      <c r="U121" s="108">
        <v>21682</v>
      </c>
      <c r="V121" s="94" t="s">
        <v>62</v>
      </c>
    </row>
    <row r="122" spans="1:22" ht="12" hidden="1" x14ac:dyDescent="0.25">
      <c r="A122" s="94">
        <v>121</v>
      </c>
      <c r="B122" s="94" t="s">
        <v>38</v>
      </c>
      <c r="C122" s="94" t="s">
        <v>39</v>
      </c>
      <c r="D122" s="94" t="s">
        <v>39</v>
      </c>
      <c r="E122" s="94" t="s">
        <v>306</v>
      </c>
      <c r="F122" s="94" t="s">
        <v>18</v>
      </c>
      <c r="G122" s="94">
        <v>2024</v>
      </c>
      <c r="H122" s="94">
        <v>-1</v>
      </c>
      <c r="I122" s="95"/>
      <c r="J122" s="96"/>
      <c r="K122" s="94">
        <v>1</v>
      </c>
      <c r="L122" s="117">
        <v>45619</v>
      </c>
      <c r="M122" s="94">
        <v>1</v>
      </c>
      <c r="N122" s="97">
        <v>31291</v>
      </c>
      <c r="O122" s="144">
        <v>247</v>
      </c>
      <c r="P122" s="127">
        <v>45653</v>
      </c>
      <c r="Q122" s="94">
        <v>1</v>
      </c>
      <c r="R122" s="97">
        <v>31291</v>
      </c>
      <c r="S122" s="94">
        <v>1</v>
      </c>
      <c r="T122" s="128">
        <v>45698</v>
      </c>
      <c r="U122" s="108">
        <v>33657.799500000001</v>
      </c>
    </row>
    <row r="123" spans="1:22" ht="12" hidden="1" x14ac:dyDescent="0.25">
      <c r="A123" s="94">
        <v>122</v>
      </c>
      <c r="B123" s="94" t="s">
        <v>38</v>
      </c>
      <c r="C123" s="94" t="s">
        <v>39</v>
      </c>
      <c r="D123" s="94" t="s">
        <v>39</v>
      </c>
      <c r="E123" s="94" t="s">
        <v>306</v>
      </c>
      <c r="F123" s="94" t="s">
        <v>18</v>
      </c>
      <c r="G123" s="94">
        <v>2024</v>
      </c>
      <c r="H123" s="94">
        <v>-1</v>
      </c>
      <c r="I123" s="95"/>
      <c r="J123" s="96"/>
      <c r="K123" s="94">
        <v>1</v>
      </c>
      <c r="L123" s="117">
        <v>45649</v>
      </c>
      <c r="M123" s="94">
        <v>2</v>
      </c>
      <c r="N123" s="97">
        <v>128932</v>
      </c>
      <c r="O123" s="126">
        <v>248</v>
      </c>
      <c r="P123" s="127">
        <v>45653</v>
      </c>
      <c r="Q123" s="94">
        <v>1</v>
      </c>
      <c r="R123" s="97">
        <v>128932</v>
      </c>
      <c r="S123" s="94">
        <v>1</v>
      </c>
      <c r="T123" s="128">
        <v>45698</v>
      </c>
      <c r="U123" s="97">
        <v>138684.45420000001</v>
      </c>
    </row>
    <row r="124" spans="1:22" ht="12" hidden="1" x14ac:dyDescent="0.25">
      <c r="A124" s="94">
        <v>123</v>
      </c>
      <c r="B124" s="94" t="s">
        <v>38</v>
      </c>
      <c r="C124" s="94" t="s">
        <v>39</v>
      </c>
      <c r="D124" s="94" t="s">
        <v>39</v>
      </c>
      <c r="E124" s="94" t="s">
        <v>306</v>
      </c>
      <c r="F124" s="94" t="s">
        <v>18</v>
      </c>
      <c r="G124" s="94">
        <v>2025</v>
      </c>
      <c r="H124" s="94">
        <v>-1</v>
      </c>
      <c r="I124" s="95"/>
      <c r="J124" s="96"/>
      <c r="K124" s="94">
        <v>1</v>
      </c>
      <c r="L124" s="117">
        <v>45685</v>
      </c>
      <c r="M124" s="94">
        <v>3</v>
      </c>
      <c r="N124" s="97">
        <v>31129</v>
      </c>
      <c r="O124" s="126">
        <v>298</v>
      </c>
      <c r="P124" s="127">
        <v>45785</v>
      </c>
      <c r="Q124" s="94">
        <v>1</v>
      </c>
      <c r="R124" s="97">
        <v>31129</v>
      </c>
      <c r="S124" s="94">
        <v>1</v>
      </c>
      <c r="T124" s="128">
        <v>45793</v>
      </c>
      <c r="U124" s="97">
        <v>31129</v>
      </c>
    </row>
    <row r="125" spans="1:22" ht="12" hidden="1" x14ac:dyDescent="0.25">
      <c r="A125" s="94">
        <v>124</v>
      </c>
      <c r="B125" s="94" t="s">
        <v>38</v>
      </c>
      <c r="C125" s="94" t="s">
        <v>39</v>
      </c>
      <c r="D125" s="94" t="s">
        <v>39</v>
      </c>
      <c r="E125" s="94" t="s">
        <v>306</v>
      </c>
      <c r="F125" s="94" t="s">
        <v>18</v>
      </c>
      <c r="G125" s="94">
        <v>2025</v>
      </c>
      <c r="H125" s="94">
        <v>-1</v>
      </c>
      <c r="I125" s="95"/>
      <c r="J125" s="96"/>
      <c r="K125" s="94">
        <v>1</v>
      </c>
      <c r="L125" s="117">
        <v>45713</v>
      </c>
      <c r="M125" s="94">
        <v>4</v>
      </c>
      <c r="N125" s="97">
        <v>4648</v>
      </c>
      <c r="O125" s="126">
        <v>299</v>
      </c>
      <c r="P125" s="127">
        <v>45785</v>
      </c>
      <c r="Q125" s="94">
        <v>1</v>
      </c>
      <c r="R125" s="97">
        <v>4648</v>
      </c>
      <c r="S125" s="94">
        <v>1</v>
      </c>
      <c r="T125" s="128">
        <v>45793</v>
      </c>
      <c r="U125" s="97">
        <v>4648</v>
      </c>
    </row>
    <row r="126" spans="1:22" ht="12" hidden="1" x14ac:dyDescent="0.25">
      <c r="A126" s="94">
        <v>125</v>
      </c>
      <c r="B126" s="94" t="s">
        <v>307</v>
      </c>
      <c r="C126" s="125" t="s">
        <v>203</v>
      </c>
      <c r="D126" s="94" t="s">
        <v>203</v>
      </c>
      <c r="E126" s="94" t="s">
        <v>306</v>
      </c>
      <c r="F126" s="94" t="s">
        <v>18</v>
      </c>
      <c r="G126" s="94">
        <v>2025</v>
      </c>
      <c r="H126" s="94">
        <v>-1</v>
      </c>
      <c r="I126" s="95"/>
      <c r="J126" s="96"/>
      <c r="K126" s="94">
        <v>1</v>
      </c>
      <c r="L126" s="117">
        <v>45898</v>
      </c>
      <c r="M126" s="94">
        <v>1</v>
      </c>
      <c r="N126" s="97">
        <v>39515</v>
      </c>
      <c r="O126" s="126" t="s">
        <v>308</v>
      </c>
      <c r="P126" s="127">
        <v>45925</v>
      </c>
      <c r="Q126" s="94">
        <v>1</v>
      </c>
      <c r="R126" s="97">
        <v>39515</v>
      </c>
      <c r="S126" s="94">
        <v>1</v>
      </c>
      <c r="T126" s="128">
        <v>45940</v>
      </c>
      <c r="U126" s="97">
        <v>39515</v>
      </c>
      <c r="V126" s="94" t="s">
        <v>692</v>
      </c>
    </row>
    <row r="127" spans="1:22" ht="12" hidden="1" x14ac:dyDescent="0.25">
      <c r="A127" s="94">
        <v>126</v>
      </c>
      <c r="B127" s="94" t="s">
        <v>307</v>
      </c>
      <c r="C127" s="125" t="s">
        <v>203</v>
      </c>
      <c r="D127" s="94" t="s">
        <v>203</v>
      </c>
      <c r="E127" s="94" t="s">
        <v>306</v>
      </c>
      <c r="F127" s="94" t="s">
        <v>18</v>
      </c>
      <c r="G127" s="94">
        <v>2025</v>
      </c>
      <c r="H127" s="94">
        <v>-1</v>
      </c>
      <c r="I127" s="95"/>
      <c r="J127" s="96"/>
      <c r="K127" s="94">
        <v>1</v>
      </c>
      <c r="L127" s="117">
        <v>45925</v>
      </c>
      <c r="M127" s="94">
        <v>2</v>
      </c>
      <c r="N127" s="97">
        <v>48782</v>
      </c>
      <c r="O127" s="126" t="s">
        <v>309</v>
      </c>
      <c r="P127" s="127">
        <v>45947</v>
      </c>
      <c r="Q127" s="94">
        <v>1</v>
      </c>
      <c r="R127" s="97">
        <v>27100</v>
      </c>
      <c r="S127" s="94">
        <v>1</v>
      </c>
      <c r="T127" s="128">
        <v>46003</v>
      </c>
      <c r="U127" s="97">
        <v>33550</v>
      </c>
      <c r="V127" s="94" t="s">
        <v>693</v>
      </c>
    </row>
    <row r="128" spans="1:22" ht="12" hidden="1" x14ac:dyDescent="0.25">
      <c r="A128" s="94">
        <v>127</v>
      </c>
      <c r="B128" s="94" t="s">
        <v>307</v>
      </c>
      <c r="C128" s="94" t="s">
        <v>203</v>
      </c>
      <c r="D128" s="94" t="s">
        <v>203</v>
      </c>
      <c r="E128" s="94" t="s">
        <v>306</v>
      </c>
      <c r="F128" s="94" t="s">
        <v>18</v>
      </c>
      <c r="G128" s="94">
        <v>2025</v>
      </c>
      <c r="H128" s="94">
        <v>-1</v>
      </c>
      <c r="I128" s="95"/>
      <c r="J128" s="96"/>
      <c r="K128" s="94">
        <v>1</v>
      </c>
      <c r="L128" s="117">
        <v>45955</v>
      </c>
      <c r="M128" s="94">
        <v>3</v>
      </c>
      <c r="N128" s="97">
        <v>59984</v>
      </c>
      <c r="O128" s="126" t="s">
        <v>679</v>
      </c>
      <c r="P128" s="127">
        <v>45993</v>
      </c>
      <c r="Q128" s="94">
        <v>1</v>
      </c>
      <c r="R128" s="97">
        <v>28270</v>
      </c>
      <c r="S128" s="94">
        <v>1</v>
      </c>
      <c r="T128" s="128">
        <v>46024</v>
      </c>
      <c r="U128" s="97">
        <v>28270</v>
      </c>
      <c r="V128" s="94" t="s">
        <v>694</v>
      </c>
    </row>
    <row r="129" spans="1:22" ht="12" hidden="1" x14ac:dyDescent="0.25">
      <c r="B129" s="94" t="s">
        <v>307</v>
      </c>
      <c r="C129" s="94" t="s">
        <v>203</v>
      </c>
      <c r="D129" s="94" t="s">
        <v>203</v>
      </c>
      <c r="E129" s="94" t="s">
        <v>306</v>
      </c>
      <c r="F129" s="94" t="s">
        <v>18</v>
      </c>
      <c r="G129" s="94">
        <v>2025</v>
      </c>
      <c r="H129" s="94">
        <f>+IF(Tabla13[[#This Row],[Proyectado USD]]&gt;0,1,-1)</f>
        <v>-1</v>
      </c>
      <c r="I129" s="95"/>
      <c r="J129" s="96"/>
      <c r="K129" s="94">
        <f>+IF(Tabla13[[#This Row],[Emitido USD]]&gt;0,1,-1)</f>
        <v>-1</v>
      </c>
      <c r="L129" s="117"/>
      <c r="M129" s="94"/>
      <c r="O129" s="126">
        <v>365</v>
      </c>
      <c r="P129" s="127">
        <v>45993</v>
      </c>
      <c r="Q129" s="94">
        <f>+IF(Tabla13[[#This Row],[Facturado USD]]&gt;0,1,-1)</f>
        <v>1</v>
      </c>
      <c r="R129" s="97">
        <v>15496</v>
      </c>
      <c r="S129" s="94">
        <v>1</v>
      </c>
      <c r="T129" s="128">
        <v>46080</v>
      </c>
      <c r="U129" s="97">
        <v>15496</v>
      </c>
    </row>
    <row r="130" spans="1:22" ht="12" hidden="1" x14ac:dyDescent="0.25">
      <c r="A130" s="94">
        <v>128</v>
      </c>
      <c r="B130" s="94" t="s">
        <v>310</v>
      </c>
      <c r="C130" s="94" t="s">
        <v>205</v>
      </c>
      <c r="D130" s="94" t="s">
        <v>205</v>
      </c>
      <c r="E130" s="94" t="s">
        <v>311</v>
      </c>
      <c r="F130" s="94" t="s">
        <v>6</v>
      </c>
      <c r="G130" s="94">
        <v>2025</v>
      </c>
      <c r="H130" s="94">
        <v>-1</v>
      </c>
      <c r="I130" s="95"/>
      <c r="J130" s="96"/>
      <c r="K130" s="94">
        <v>1</v>
      </c>
      <c r="L130" s="117">
        <v>45915</v>
      </c>
      <c r="M130" s="94">
        <v>1</v>
      </c>
      <c r="N130" s="97">
        <v>28949</v>
      </c>
      <c r="O130" s="126">
        <v>97</v>
      </c>
      <c r="P130" s="127">
        <v>45924</v>
      </c>
      <c r="Q130" s="94">
        <v>1</v>
      </c>
      <c r="R130" s="97">
        <v>28366.788990825688</v>
      </c>
      <c r="S130" s="94">
        <v>1</v>
      </c>
      <c r="T130" s="128">
        <v>45985</v>
      </c>
      <c r="U130" s="97">
        <v>27222</v>
      </c>
    </row>
    <row r="131" spans="1:22" ht="12" x14ac:dyDescent="0.25">
      <c r="A131" s="94">
        <v>129</v>
      </c>
      <c r="B131" s="94" t="s">
        <v>310</v>
      </c>
      <c r="C131" s="94" t="s">
        <v>205</v>
      </c>
      <c r="D131" s="94" t="s">
        <v>205</v>
      </c>
      <c r="E131" s="94" t="s">
        <v>311</v>
      </c>
      <c r="F131" s="94" t="s">
        <v>6</v>
      </c>
      <c r="G131" s="94">
        <v>2025</v>
      </c>
      <c r="H131" s="94">
        <v>-1</v>
      </c>
      <c r="I131" s="95"/>
      <c r="J131" s="96"/>
      <c r="K131" s="94">
        <v>1</v>
      </c>
      <c r="L131" s="117">
        <v>45945</v>
      </c>
      <c r="M131" s="94">
        <v>2</v>
      </c>
      <c r="N131" s="97">
        <v>31572</v>
      </c>
      <c r="O131" s="126">
        <v>109</v>
      </c>
      <c r="P131" s="127">
        <v>45947</v>
      </c>
      <c r="Q131" s="94">
        <v>1</v>
      </c>
      <c r="R131" s="97">
        <v>29686</v>
      </c>
      <c r="S131" s="94">
        <v>1</v>
      </c>
      <c r="T131" s="128">
        <v>46027</v>
      </c>
      <c r="U131" s="97">
        <v>28966</v>
      </c>
      <c r="V131" s="94" t="s">
        <v>312</v>
      </c>
    </row>
    <row r="132" spans="1:22" ht="12" hidden="1" x14ac:dyDescent="0.25">
      <c r="A132" s="94">
        <v>130</v>
      </c>
      <c r="B132" s="94" t="s">
        <v>310</v>
      </c>
      <c r="C132" s="94" t="s">
        <v>205</v>
      </c>
      <c r="D132" s="94" t="s">
        <v>205</v>
      </c>
      <c r="E132" s="94" t="s">
        <v>311</v>
      </c>
      <c r="F132" s="94" t="s">
        <v>6</v>
      </c>
      <c r="G132" s="94">
        <v>2025</v>
      </c>
      <c r="H132" s="94">
        <v>-1</v>
      </c>
      <c r="I132" s="95"/>
      <c r="J132" s="96"/>
      <c r="K132" s="94">
        <v>1</v>
      </c>
      <c r="L132" s="117">
        <v>45976</v>
      </c>
      <c r="M132" s="94">
        <v>3</v>
      </c>
      <c r="N132" s="97">
        <v>11994</v>
      </c>
      <c r="O132" s="126">
        <v>112</v>
      </c>
      <c r="P132" s="127">
        <v>45978</v>
      </c>
      <c r="Q132" s="94">
        <v>1</v>
      </c>
      <c r="R132" s="97">
        <v>11994</v>
      </c>
      <c r="S132" s="94">
        <v>-1</v>
      </c>
      <c r="T132" s="128">
        <v>46070</v>
      </c>
      <c r="U132" s="97">
        <v>11994</v>
      </c>
    </row>
    <row r="133" spans="1:22" ht="12" hidden="1" x14ac:dyDescent="0.25">
      <c r="A133" s="94">
        <v>131</v>
      </c>
      <c r="B133" s="94" t="s">
        <v>310</v>
      </c>
      <c r="C133" s="94" t="s">
        <v>205</v>
      </c>
      <c r="D133" s="94" t="s">
        <v>205</v>
      </c>
      <c r="E133" s="94" t="s">
        <v>311</v>
      </c>
      <c r="F133" s="94" t="s">
        <v>6</v>
      </c>
      <c r="G133" s="94">
        <v>2026</v>
      </c>
      <c r="H133" s="94">
        <v>-1</v>
      </c>
      <c r="I133" s="95"/>
      <c r="J133" s="96"/>
      <c r="K133" s="94">
        <v>1</v>
      </c>
      <c r="L133" s="117">
        <v>46042</v>
      </c>
      <c r="M133" s="94">
        <v>4</v>
      </c>
      <c r="N133" s="97">
        <v>7778</v>
      </c>
      <c r="O133" s="126">
        <v>1</v>
      </c>
      <c r="P133" s="127">
        <v>46044</v>
      </c>
      <c r="Q133" s="94">
        <v>1</v>
      </c>
      <c r="R133" s="97">
        <v>7778</v>
      </c>
      <c r="S133" s="94">
        <v>-1</v>
      </c>
      <c r="T133" s="128">
        <v>46075</v>
      </c>
      <c r="U133" s="97">
        <v>7778</v>
      </c>
    </row>
    <row r="134" spans="1:22" ht="12" hidden="1" x14ac:dyDescent="0.25">
      <c r="A134" s="94">
        <v>132</v>
      </c>
      <c r="B134" s="94" t="s">
        <v>71</v>
      </c>
      <c r="C134" s="94" t="s">
        <v>72</v>
      </c>
      <c r="D134" s="94" t="s">
        <v>72</v>
      </c>
      <c r="E134" s="94" t="s">
        <v>313</v>
      </c>
      <c r="F134" s="94" t="s">
        <v>70</v>
      </c>
      <c r="G134" s="94">
        <v>2024</v>
      </c>
      <c r="H134" s="94">
        <v>-1</v>
      </c>
      <c r="I134" s="95"/>
      <c r="J134" s="96"/>
      <c r="K134" s="94">
        <v>1</v>
      </c>
      <c r="L134" s="95">
        <v>45619</v>
      </c>
      <c r="M134" s="94">
        <v>1</v>
      </c>
      <c r="N134" s="97">
        <v>12843</v>
      </c>
      <c r="O134" s="126" t="s">
        <v>314</v>
      </c>
      <c r="P134" s="127">
        <v>45632</v>
      </c>
      <c r="Q134" s="94">
        <v>1</v>
      </c>
      <c r="R134" s="97">
        <v>12843</v>
      </c>
      <c r="S134" s="94">
        <v>1</v>
      </c>
      <c r="T134" s="128">
        <v>45681</v>
      </c>
      <c r="U134" s="97">
        <v>13240</v>
      </c>
    </row>
    <row r="135" spans="1:22" ht="12" hidden="1" x14ac:dyDescent="0.25">
      <c r="A135" s="94">
        <v>133</v>
      </c>
      <c r="B135" s="94" t="s">
        <v>71</v>
      </c>
      <c r="C135" s="94" t="s">
        <v>72</v>
      </c>
      <c r="D135" s="94" t="s">
        <v>72</v>
      </c>
      <c r="E135" s="94" t="s">
        <v>313</v>
      </c>
      <c r="F135" s="94" t="s">
        <v>70</v>
      </c>
      <c r="G135" s="94">
        <v>2024</v>
      </c>
      <c r="H135" s="94">
        <v>-1</v>
      </c>
      <c r="I135" s="95"/>
      <c r="J135" s="96"/>
      <c r="K135" s="94">
        <v>1</v>
      </c>
      <c r="L135" s="95">
        <v>45649</v>
      </c>
      <c r="M135" s="94">
        <v>2</v>
      </c>
      <c r="N135" s="97">
        <v>6857</v>
      </c>
      <c r="O135" s="126" t="s">
        <v>315</v>
      </c>
      <c r="P135" s="127">
        <v>45653</v>
      </c>
      <c r="Q135" s="94">
        <v>1</v>
      </c>
      <c r="R135" s="97">
        <v>6857</v>
      </c>
      <c r="S135" s="94">
        <v>1</v>
      </c>
      <c r="T135" s="128">
        <v>45684</v>
      </c>
      <c r="U135" s="97">
        <v>7216</v>
      </c>
    </row>
    <row r="136" spans="1:22" ht="12" hidden="1" x14ac:dyDescent="0.25">
      <c r="A136" s="94">
        <v>134</v>
      </c>
      <c r="B136" s="94" t="s">
        <v>316</v>
      </c>
      <c r="C136" s="94" t="s">
        <v>727</v>
      </c>
      <c r="D136" s="94" t="s">
        <v>317</v>
      </c>
      <c r="E136" s="94" t="s">
        <v>254</v>
      </c>
      <c r="F136" s="94" t="s">
        <v>18</v>
      </c>
      <c r="G136" s="94">
        <v>2022</v>
      </c>
      <c r="H136" s="94">
        <v>-1</v>
      </c>
      <c r="I136" s="95"/>
      <c r="J136" s="96"/>
      <c r="K136" s="94">
        <v>1</v>
      </c>
      <c r="L136" s="95">
        <v>44886</v>
      </c>
      <c r="M136" s="94">
        <v>1</v>
      </c>
      <c r="N136" s="97">
        <v>33776</v>
      </c>
      <c r="O136" s="126">
        <v>494</v>
      </c>
      <c r="P136" s="127">
        <v>44901</v>
      </c>
      <c r="Q136" s="94">
        <v>1</v>
      </c>
      <c r="R136" s="97">
        <v>33776</v>
      </c>
      <c r="S136" s="94">
        <v>1</v>
      </c>
      <c r="T136" s="128">
        <v>44926</v>
      </c>
      <c r="U136" s="97">
        <v>32087</v>
      </c>
    </row>
    <row r="137" spans="1:22" ht="12" hidden="1" x14ac:dyDescent="0.25">
      <c r="A137" s="94">
        <v>135</v>
      </c>
      <c r="B137" s="94" t="s">
        <v>316</v>
      </c>
      <c r="C137" s="94" t="s">
        <v>727</v>
      </c>
      <c r="D137" s="94" t="s">
        <v>317</v>
      </c>
      <c r="E137" s="94" t="s">
        <v>254</v>
      </c>
      <c r="F137" s="94" t="s">
        <v>18</v>
      </c>
      <c r="G137" s="94">
        <v>2022</v>
      </c>
      <c r="H137" s="94">
        <v>-1</v>
      </c>
      <c r="I137" s="95"/>
      <c r="J137" s="96"/>
      <c r="K137" s="94">
        <v>1</v>
      </c>
      <c r="L137" s="95">
        <v>44916</v>
      </c>
      <c r="M137" s="94">
        <v>2</v>
      </c>
      <c r="N137" s="97">
        <v>40354.33</v>
      </c>
      <c r="O137" s="126">
        <v>40</v>
      </c>
      <c r="P137" s="127">
        <v>44932</v>
      </c>
      <c r="Q137" s="94">
        <v>1</v>
      </c>
      <c r="R137" s="97">
        <v>40354</v>
      </c>
      <c r="S137" s="94">
        <v>1</v>
      </c>
      <c r="T137" s="128">
        <v>44958</v>
      </c>
      <c r="U137" s="97">
        <v>38336.299999999996</v>
      </c>
    </row>
    <row r="138" spans="1:22" ht="12" hidden="1" x14ac:dyDescent="0.25">
      <c r="A138" s="94">
        <v>136</v>
      </c>
      <c r="B138" s="94" t="s">
        <v>316</v>
      </c>
      <c r="C138" s="94" t="s">
        <v>727</v>
      </c>
      <c r="D138" s="94" t="s">
        <v>317</v>
      </c>
      <c r="E138" s="94" t="s">
        <v>254</v>
      </c>
      <c r="F138" s="94" t="s">
        <v>18</v>
      </c>
      <c r="G138" s="94">
        <v>2023</v>
      </c>
      <c r="H138" s="94">
        <v>-1</v>
      </c>
      <c r="I138" s="95"/>
      <c r="J138" s="96"/>
      <c r="K138" s="94">
        <v>1</v>
      </c>
      <c r="L138" s="95">
        <v>44947</v>
      </c>
      <c r="M138" s="94">
        <v>3</v>
      </c>
      <c r="N138" s="97">
        <v>49647.786124999999</v>
      </c>
      <c r="O138" s="126">
        <v>45</v>
      </c>
      <c r="P138" s="127">
        <v>44964</v>
      </c>
      <c r="Q138" s="94">
        <v>1</v>
      </c>
      <c r="R138" s="97">
        <v>49647.786124999999</v>
      </c>
      <c r="S138" s="94">
        <v>1</v>
      </c>
      <c r="T138" s="128">
        <v>44972</v>
      </c>
      <c r="U138" s="97">
        <v>47165.39681875</v>
      </c>
    </row>
    <row r="139" spans="1:22" ht="12" hidden="1" x14ac:dyDescent="0.25">
      <c r="A139" s="94">
        <v>137</v>
      </c>
      <c r="B139" s="94" t="s">
        <v>316</v>
      </c>
      <c r="C139" s="94" t="s">
        <v>727</v>
      </c>
      <c r="D139" s="94" t="s">
        <v>317</v>
      </c>
      <c r="E139" s="94" t="s">
        <v>254</v>
      </c>
      <c r="F139" s="94" t="s">
        <v>18</v>
      </c>
      <c r="G139" s="94">
        <v>2023</v>
      </c>
      <c r="H139" s="94">
        <v>-1</v>
      </c>
      <c r="I139" s="95"/>
      <c r="J139" s="96"/>
      <c r="K139" s="94">
        <v>1</v>
      </c>
      <c r="L139" s="95">
        <v>44978</v>
      </c>
      <c r="M139" s="94">
        <v>4</v>
      </c>
      <c r="N139" s="97">
        <v>96769.512499999997</v>
      </c>
      <c r="O139" s="126">
        <v>56</v>
      </c>
      <c r="P139" s="127">
        <v>44994</v>
      </c>
      <c r="Q139" s="94">
        <v>1</v>
      </c>
      <c r="R139" s="97">
        <v>96769.512499999997</v>
      </c>
      <c r="S139" s="94">
        <v>1</v>
      </c>
      <c r="T139" s="127">
        <v>45002</v>
      </c>
      <c r="U139" s="97">
        <v>91931.036874999991</v>
      </c>
    </row>
    <row r="140" spans="1:22" ht="12" hidden="1" x14ac:dyDescent="0.25">
      <c r="A140" s="94">
        <v>138</v>
      </c>
      <c r="B140" s="94" t="s">
        <v>316</v>
      </c>
      <c r="C140" s="94" t="s">
        <v>727</v>
      </c>
      <c r="D140" s="94" t="s">
        <v>317</v>
      </c>
      <c r="E140" s="94" t="s">
        <v>254</v>
      </c>
      <c r="F140" s="94" t="s">
        <v>18</v>
      </c>
      <c r="G140" s="94">
        <v>2023</v>
      </c>
      <c r="H140" s="94">
        <v>-1</v>
      </c>
      <c r="I140" s="95"/>
      <c r="J140" s="96"/>
      <c r="K140" s="94">
        <v>1</v>
      </c>
      <c r="L140" s="95">
        <v>45006</v>
      </c>
      <c r="M140" s="94">
        <v>5</v>
      </c>
      <c r="N140" s="97">
        <v>78184.511249999996</v>
      </c>
      <c r="O140" s="126">
        <v>61</v>
      </c>
      <c r="P140" s="127">
        <v>45021</v>
      </c>
      <c r="Q140" s="94">
        <v>1</v>
      </c>
      <c r="R140" s="97">
        <v>78184.511249999996</v>
      </c>
      <c r="S140" s="94">
        <v>1</v>
      </c>
      <c r="T140" s="127">
        <v>45037</v>
      </c>
      <c r="U140" s="97">
        <v>74275.2856875</v>
      </c>
    </row>
    <row r="141" spans="1:22" ht="12" hidden="1" x14ac:dyDescent="0.25">
      <c r="A141" s="94">
        <v>139</v>
      </c>
      <c r="B141" s="94" t="s">
        <v>316</v>
      </c>
      <c r="C141" s="94" t="s">
        <v>727</v>
      </c>
      <c r="D141" s="94" t="s">
        <v>317</v>
      </c>
      <c r="E141" s="94" t="s">
        <v>254</v>
      </c>
      <c r="F141" s="94" t="s">
        <v>18</v>
      </c>
      <c r="G141" s="94">
        <v>2023</v>
      </c>
      <c r="H141" s="94">
        <v>-1</v>
      </c>
      <c r="I141" s="95"/>
      <c r="J141" s="96"/>
      <c r="K141" s="94">
        <v>1</v>
      </c>
      <c r="L141" s="95">
        <v>45037</v>
      </c>
      <c r="M141" s="94">
        <v>6</v>
      </c>
      <c r="N141" s="97">
        <v>58833</v>
      </c>
      <c r="O141" s="126">
        <v>66</v>
      </c>
      <c r="P141" s="127">
        <v>45055</v>
      </c>
      <c r="Q141" s="94">
        <v>1</v>
      </c>
      <c r="R141" s="97">
        <v>59657.62</v>
      </c>
      <c r="S141" s="94">
        <v>1</v>
      </c>
      <c r="T141" s="128">
        <v>45070</v>
      </c>
      <c r="U141" s="97">
        <v>56674.739000000001</v>
      </c>
    </row>
    <row r="142" spans="1:22" ht="12" hidden="1" x14ac:dyDescent="0.25">
      <c r="A142" s="94">
        <v>140</v>
      </c>
      <c r="B142" s="94" t="s">
        <v>316</v>
      </c>
      <c r="C142" s="94" t="s">
        <v>727</v>
      </c>
      <c r="D142" s="94" t="s">
        <v>317</v>
      </c>
      <c r="E142" s="94" t="s">
        <v>254</v>
      </c>
      <c r="F142" s="94" t="s">
        <v>18</v>
      </c>
      <c r="G142" s="94">
        <v>2023</v>
      </c>
      <c r="H142" s="94">
        <v>-1</v>
      </c>
      <c r="I142" s="95"/>
      <c r="J142" s="96"/>
      <c r="K142" s="94">
        <v>1</v>
      </c>
      <c r="L142" s="95">
        <v>45067</v>
      </c>
      <c r="M142" s="94">
        <v>7</v>
      </c>
      <c r="N142" s="97">
        <v>99216.85</v>
      </c>
      <c r="O142" s="126">
        <v>79</v>
      </c>
      <c r="P142" s="127">
        <v>45083</v>
      </c>
      <c r="Q142" s="94">
        <v>1</v>
      </c>
      <c r="R142" s="97">
        <v>95359.006693910298</v>
      </c>
      <c r="S142" s="94">
        <v>1</v>
      </c>
      <c r="T142" s="128">
        <v>45100</v>
      </c>
      <c r="U142" s="97">
        <v>90591.056359214781</v>
      </c>
      <c r="V142" s="94" t="s">
        <v>318</v>
      </c>
    </row>
    <row r="143" spans="1:22" ht="12" hidden="1" x14ac:dyDescent="0.25">
      <c r="A143" s="94">
        <v>141</v>
      </c>
      <c r="B143" s="94" t="s">
        <v>316</v>
      </c>
      <c r="C143" s="94" t="s">
        <v>727</v>
      </c>
      <c r="D143" s="94" t="s">
        <v>317</v>
      </c>
      <c r="E143" s="94" t="s">
        <v>254</v>
      </c>
      <c r="F143" s="94" t="s">
        <v>18</v>
      </c>
      <c r="G143" s="94">
        <v>2023</v>
      </c>
      <c r="H143" s="94">
        <v>-1</v>
      </c>
      <c r="I143" s="95"/>
      <c r="J143" s="96"/>
      <c r="K143" s="94">
        <v>1</v>
      </c>
      <c r="L143" s="95">
        <v>45098</v>
      </c>
      <c r="M143" s="94">
        <v>8</v>
      </c>
      <c r="N143" s="97">
        <v>24676</v>
      </c>
      <c r="O143" s="126">
        <v>89</v>
      </c>
      <c r="P143" s="127">
        <v>45114</v>
      </c>
      <c r="Q143" s="94">
        <v>1</v>
      </c>
      <c r="R143" s="97">
        <v>24676</v>
      </c>
      <c r="S143" s="94">
        <v>1</v>
      </c>
      <c r="T143" s="128">
        <v>45128</v>
      </c>
      <c r="U143" s="97">
        <v>23442.199999999997</v>
      </c>
    </row>
    <row r="144" spans="1:22" ht="12" hidden="1" x14ac:dyDescent="0.25">
      <c r="A144" s="94">
        <v>142</v>
      </c>
      <c r="B144" s="94" t="s">
        <v>316</v>
      </c>
      <c r="C144" s="94" t="s">
        <v>727</v>
      </c>
      <c r="D144" s="94" t="s">
        <v>317</v>
      </c>
      <c r="E144" s="94" t="s">
        <v>254</v>
      </c>
      <c r="F144" s="94" t="s">
        <v>18</v>
      </c>
      <c r="G144" s="94">
        <v>2023</v>
      </c>
      <c r="H144" s="94">
        <v>-1</v>
      </c>
      <c r="I144" s="95"/>
      <c r="J144" s="96"/>
      <c r="K144" s="94">
        <v>1</v>
      </c>
      <c r="L144" s="95">
        <v>45132</v>
      </c>
      <c r="M144" s="94">
        <v>9</v>
      </c>
      <c r="N144" s="97">
        <v>33700.07</v>
      </c>
      <c r="O144" s="126">
        <v>101</v>
      </c>
      <c r="P144" s="127">
        <v>45147</v>
      </c>
      <c r="Q144" s="94">
        <v>1</v>
      </c>
      <c r="R144" s="97">
        <v>33700</v>
      </c>
      <c r="S144" s="94">
        <v>1</v>
      </c>
      <c r="T144" s="128">
        <v>45170</v>
      </c>
      <c r="U144" s="97">
        <v>32015</v>
      </c>
    </row>
    <row r="145" spans="1:22" ht="12" hidden="1" x14ac:dyDescent="0.25">
      <c r="A145" s="94">
        <v>143</v>
      </c>
      <c r="B145" s="94" t="s">
        <v>316</v>
      </c>
      <c r="C145" s="94" t="s">
        <v>727</v>
      </c>
      <c r="D145" s="94" t="s">
        <v>317</v>
      </c>
      <c r="E145" s="94" t="s">
        <v>254</v>
      </c>
      <c r="F145" s="94" t="s">
        <v>18</v>
      </c>
      <c r="G145" s="94">
        <v>2023</v>
      </c>
      <c r="H145" s="94">
        <v>-1</v>
      </c>
      <c r="I145" s="95"/>
      <c r="J145" s="96"/>
      <c r="K145" s="94">
        <v>1</v>
      </c>
      <c r="L145" s="95">
        <v>45163</v>
      </c>
      <c r="M145" s="94">
        <v>10</v>
      </c>
      <c r="N145" s="134">
        <v>10515</v>
      </c>
      <c r="O145" s="126">
        <v>102</v>
      </c>
      <c r="P145" s="127">
        <v>45169</v>
      </c>
      <c r="Q145" s="94">
        <v>1</v>
      </c>
      <c r="R145" s="97">
        <v>10515</v>
      </c>
      <c r="S145" s="94">
        <v>1</v>
      </c>
      <c r="T145" s="128">
        <v>45177</v>
      </c>
      <c r="U145" s="97">
        <v>9989.25</v>
      </c>
      <c r="V145" s="108"/>
    </row>
    <row r="146" spans="1:22" ht="12" hidden="1" x14ac:dyDescent="0.25">
      <c r="A146" s="94">
        <v>144</v>
      </c>
      <c r="B146" s="94" t="s">
        <v>316</v>
      </c>
      <c r="C146" s="94" t="s">
        <v>727</v>
      </c>
      <c r="D146" s="94" t="s">
        <v>317</v>
      </c>
      <c r="E146" s="94" t="s">
        <v>254</v>
      </c>
      <c r="F146" s="94" t="s">
        <v>18</v>
      </c>
      <c r="G146" s="94">
        <v>2023</v>
      </c>
      <c r="H146" s="94">
        <v>1</v>
      </c>
      <c r="I146" s="95">
        <v>45170</v>
      </c>
      <c r="J146" s="96">
        <v>45078</v>
      </c>
      <c r="K146" s="94">
        <v>1</v>
      </c>
      <c r="L146" s="95">
        <v>45194</v>
      </c>
      <c r="M146" s="94">
        <v>11</v>
      </c>
      <c r="N146" s="97">
        <v>41488</v>
      </c>
      <c r="O146" s="126">
        <v>113</v>
      </c>
      <c r="P146" s="127">
        <v>45202</v>
      </c>
      <c r="Q146" s="94">
        <v>1</v>
      </c>
      <c r="R146" s="97">
        <v>41488</v>
      </c>
      <c r="S146" s="94">
        <v>1</v>
      </c>
      <c r="T146" s="128">
        <v>45212</v>
      </c>
      <c r="U146" s="97">
        <v>39413.599999999999</v>
      </c>
      <c r="V146" s="94" t="s">
        <v>319</v>
      </c>
    </row>
    <row r="147" spans="1:22" ht="12" hidden="1" x14ac:dyDescent="0.25">
      <c r="A147" s="94">
        <v>145</v>
      </c>
      <c r="B147" s="94" t="s">
        <v>316</v>
      </c>
      <c r="C147" s="94" t="s">
        <v>727</v>
      </c>
      <c r="D147" s="94" t="s">
        <v>317</v>
      </c>
      <c r="E147" s="94" t="s">
        <v>254</v>
      </c>
      <c r="F147" s="94" t="s">
        <v>18</v>
      </c>
      <c r="G147" s="94">
        <v>2023</v>
      </c>
      <c r="H147" s="94">
        <v>1</v>
      </c>
      <c r="I147" s="95">
        <v>45200</v>
      </c>
      <c r="J147" s="96">
        <v>53215</v>
      </c>
      <c r="K147" s="94">
        <v>1</v>
      </c>
      <c r="L147" s="95">
        <v>45222</v>
      </c>
      <c r="M147" s="94">
        <v>12</v>
      </c>
      <c r="N147" s="97">
        <v>34737</v>
      </c>
      <c r="O147" s="126">
        <v>125</v>
      </c>
      <c r="P147" s="127">
        <v>45237</v>
      </c>
      <c r="Q147" s="94">
        <v>1</v>
      </c>
      <c r="R147" s="97">
        <v>34737</v>
      </c>
      <c r="S147" s="94">
        <v>1</v>
      </c>
      <c r="T147" s="128">
        <v>45247</v>
      </c>
      <c r="U147" s="97">
        <v>33000.15</v>
      </c>
    </row>
    <row r="148" spans="1:22" ht="12" hidden="1" x14ac:dyDescent="0.25">
      <c r="A148" s="94">
        <v>146</v>
      </c>
      <c r="B148" s="94" t="s">
        <v>316</v>
      </c>
      <c r="C148" s="94" t="s">
        <v>727</v>
      </c>
      <c r="D148" s="94" t="s">
        <v>317</v>
      </c>
      <c r="E148" s="94" t="s">
        <v>254</v>
      </c>
      <c r="F148" s="94" t="s">
        <v>18</v>
      </c>
      <c r="G148" s="94">
        <v>2023</v>
      </c>
      <c r="H148" s="94">
        <v>1</v>
      </c>
      <c r="I148" s="95">
        <v>45231</v>
      </c>
      <c r="J148" s="142">
        <v>78129</v>
      </c>
      <c r="K148" s="94">
        <v>1</v>
      </c>
      <c r="L148" s="95">
        <v>45250</v>
      </c>
      <c r="M148" s="94">
        <v>13</v>
      </c>
      <c r="N148" s="97">
        <v>31481</v>
      </c>
      <c r="O148" s="126">
        <v>127</v>
      </c>
      <c r="P148" s="127">
        <v>45265</v>
      </c>
      <c r="Q148" s="94">
        <v>1</v>
      </c>
      <c r="R148" s="97">
        <v>31481</v>
      </c>
      <c r="S148" s="94">
        <v>1</v>
      </c>
      <c r="T148" s="128">
        <v>45275</v>
      </c>
      <c r="U148" s="97">
        <v>29906.949999999997</v>
      </c>
    </row>
    <row r="149" spans="1:22" ht="12" hidden="1" x14ac:dyDescent="0.25">
      <c r="A149" s="94">
        <v>147</v>
      </c>
      <c r="B149" s="94" t="s">
        <v>316</v>
      </c>
      <c r="C149" s="94" t="s">
        <v>727</v>
      </c>
      <c r="D149" s="94" t="s">
        <v>317</v>
      </c>
      <c r="E149" s="94" t="s">
        <v>254</v>
      </c>
      <c r="F149" s="94" t="s">
        <v>18</v>
      </c>
      <c r="G149" s="94">
        <v>2023</v>
      </c>
      <c r="H149" s="94">
        <v>1</v>
      </c>
      <c r="I149" s="95">
        <v>45261</v>
      </c>
      <c r="J149" s="142">
        <v>46648</v>
      </c>
      <c r="K149" s="94">
        <v>1</v>
      </c>
      <c r="L149" s="95">
        <v>45281</v>
      </c>
      <c r="M149" s="94">
        <v>14</v>
      </c>
      <c r="N149" s="97">
        <v>15445</v>
      </c>
      <c r="O149" s="126">
        <v>137</v>
      </c>
      <c r="P149" s="127">
        <v>45296</v>
      </c>
      <c r="Q149" s="94">
        <v>1</v>
      </c>
      <c r="R149" s="97">
        <v>15445</v>
      </c>
      <c r="S149" s="94">
        <v>1</v>
      </c>
      <c r="T149" s="128">
        <v>45310</v>
      </c>
      <c r="U149" s="97">
        <v>14672.75</v>
      </c>
    </row>
    <row r="150" spans="1:22" ht="12" hidden="1" customHeight="1" x14ac:dyDescent="0.25">
      <c r="A150" s="94">
        <v>148</v>
      </c>
      <c r="B150" s="94" t="s">
        <v>316</v>
      </c>
      <c r="C150" s="94" t="s">
        <v>727</v>
      </c>
      <c r="D150" s="94" t="s">
        <v>317</v>
      </c>
      <c r="E150" s="94" t="s">
        <v>254</v>
      </c>
      <c r="F150" s="94" t="s">
        <v>18</v>
      </c>
      <c r="G150" s="94">
        <v>2024</v>
      </c>
      <c r="H150" s="94">
        <v>1</v>
      </c>
      <c r="I150" s="95">
        <v>45292</v>
      </c>
      <c r="J150" s="142">
        <v>31203</v>
      </c>
      <c r="K150" s="94">
        <v>1</v>
      </c>
      <c r="L150" s="95">
        <v>45316</v>
      </c>
      <c r="M150" s="94">
        <v>15</v>
      </c>
      <c r="N150" s="137">
        <v>17246</v>
      </c>
      <c r="O150" s="126">
        <v>160</v>
      </c>
      <c r="P150" s="127">
        <v>45329</v>
      </c>
      <c r="Q150" s="94">
        <v>1</v>
      </c>
      <c r="R150" s="97">
        <v>17246</v>
      </c>
      <c r="S150" s="94">
        <v>1</v>
      </c>
      <c r="T150" s="138">
        <v>45350</v>
      </c>
      <c r="U150" s="97">
        <v>16383.699999999999</v>
      </c>
    </row>
    <row r="151" spans="1:22" ht="12" hidden="1" x14ac:dyDescent="0.25">
      <c r="A151" s="94">
        <v>149</v>
      </c>
      <c r="B151" s="94" t="s">
        <v>316</v>
      </c>
      <c r="C151" s="94" t="s">
        <v>727</v>
      </c>
      <c r="D151" s="94" t="s">
        <v>317</v>
      </c>
      <c r="E151" s="94" t="s">
        <v>254</v>
      </c>
      <c r="F151" s="94" t="s">
        <v>18</v>
      </c>
      <c r="G151" s="94">
        <v>2024</v>
      </c>
      <c r="H151" s="94">
        <v>1</v>
      </c>
      <c r="I151" s="95">
        <v>45323</v>
      </c>
      <c r="J151" s="96">
        <v>13957</v>
      </c>
      <c r="K151" s="94">
        <v>1</v>
      </c>
      <c r="L151" s="95">
        <v>45347</v>
      </c>
      <c r="M151" s="94">
        <v>16</v>
      </c>
      <c r="N151" s="97">
        <v>10114</v>
      </c>
      <c r="O151" s="126">
        <v>173</v>
      </c>
      <c r="P151" s="127">
        <v>45369</v>
      </c>
      <c r="Q151" s="94">
        <v>1</v>
      </c>
      <c r="R151" s="97">
        <v>10114</v>
      </c>
      <c r="S151" s="94">
        <v>1</v>
      </c>
      <c r="T151" s="128">
        <v>45373</v>
      </c>
      <c r="U151" s="136">
        <v>9608.2999999999993</v>
      </c>
    </row>
    <row r="152" spans="1:22" ht="12" hidden="1" x14ac:dyDescent="0.25">
      <c r="A152" s="94">
        <v>150</v>
      </c>
      <c r="B152" s="94" t="s">
        <v>316</v>
      </c>
      <c r="C152" s="94" t="s">
        <v>727</v>
      </c>
      <c r="D152" s="94" t="s">
        <v>317</v>
      </c>
      <c r="E152" s="94" t="s">
        <v>254</v>
      </c>
      <c r="F152" s="94" t="s">
        <v>18</v>
      </c>
      <c r="G152" s="94">
        <v>2024</v>
      </c>
      <c r="H152" s="94">
        <v>1</v>
      </c>
      <c r="I152" s="95">
        <v>45352</v>
      </c>
      <c r="J152" s="96">
        <v>3161</v>
      </c>
      <c r="K152" s="94">
        <v>1</v>
      </c>
      <c r="L152" s="95">
        <v>45376</v>
      </c>
      <c r="M152" s="94">
        <v>17</v>
      </c>
      <c r="N152" s="97">
        <v>1847</v>
      </c>
      <c r="O152" s="126">
        <v>177</v>
      </c>
      <c r="P152" s="127">
        <v>45394</v>
      </c>
      <c r="Q152" s="94">
        <v>1</v>
      </c>
      <c r="R152" s="97">
        <v>1847</v>
      </c>
      <c r="S152" s="94">
        <v>1</v>
      </c>
      <c r="T152" s="128">
        <v>45412</v>
      </c>
      <c r="U152" s="97">
        <v>1754.6499999999999</v>
      </c>
    </row>
    <row r="153" spans="1:22" ht="12" hidden="1" x14ac:dyDescent="0.25">
      <c r="A153" s="94">
        <v>151</v>
      </c>
      <c r="B153" s="94" t="s">
        <v>316</v>
      </c>
      <c r="C153" s="94" t="s">
        <v>727</v>
      </c>
      <c r="D153" s="94" t="s">
        <v>317</v>
      </c>
      <c r="E153" s="94" t="s">
        <v>254</v>
      </c>
      <c r="F153" s="94" t="s">
        <v>18</v>
      </c>
      <c r="G153" s="94">
        <v>2024</v>
      </c>
      <c r="H153" s="94">
        <v>1</v>
      </c>
      <c r="I153" s="95">
        <v>45383</v>
      </c>
      <c r="J153" s="96">
        <v>12005</v>
      </c>
      <c r="K153" s="94">
        <v>1</v>
      </c>
      <c r="L153" s="95">
        <v>45407</v>
      </c>
      <c r="M153" s="94">
        <v>18</v>
      </c>
      <c r="N153" s="97">
        <v>1896</v>
      </c>
      <c r="O153" s="126">
        <v>187</v>
      </c>
      <c r="P153" s="127">
        <v>45429</v>
      </c>
      <c r="Q153" s="94">
        <v>1</v>
      </c>
      <c r="R153" s="97">
        <v>1896</v>
      </c>
      <c r="S153" s="94">
        <v>1</v>
      </c>
      <c r="T153" s="128">
        <v>45436</v>
      </c>
      <c r="U153" s="97">
        <v>1801.1999999999998</v>
      </c>
    </row>
    <row r="154" spans="1:22" ht="12" hidden="1" x14ac:dyDescent="0.25">
      <c r="A154" s="94">
        <v>152</v>
      </c>
      <c r="B154" s="94" t="s">
        <v>316</v>
      </c>
      <c r="C154" s="94" t="s">
        <v>727</v>
      </c>
      <c r="D154" s="94" t="s">
        <v>317</v>
      </c>
      <c r="E154" s="94" t="s">
        <v>254</v>
      </c>
      <c r="F154" s="94" t="s">
        <v>18</v>
      </c>
      <c r="G154" s="94">
        <v>2024</v>
      </c>
      <c r="H154" s="94">
        <v>1</v>
      </c>
      <c r="I154" s="95">
        <v>45413</v>
      </c>
      <c r="J154" s="96">
        <v>5015</v>
      </c>
      <c r="K154" s="94">
        <v>1</v>
      </c>
      <c r="L154" s="95">
        <v>45440</v>
      </c>
      <c r="M154" s="94">
        <v>19</v>
      </c>
      <c r="N154" s="97">
        <v>10289</v>
      </c>
      <c r="O154" s="126">
        <v>189</v>
      </c>
      <c r="P154" s="127">
        <v>45449</v>
      </c>
      <c r="Q154" s="94">
        <v>1</v>
      </c>
      <c r="R154" s="97">
        <v>10289</v>
      </c>
      <c r="S154" s="94">
        <v>1</v>
      </c>
      <c r="T154" s="128">
        <v>45456</v>
      </c>
      <c r="U154" s="97">
        <v>9774.5499999999993</v>
      </c>
    </row>
    <row r="155" spans="1:22" ht="12" hidden="1" x14ac:dyDescent="0.25">
      <c r="A155" s="94">
        <v>153</v>
      </c>
      <c r="B155" s="94" t="s">
        <v>316</v>
      </c>
      <c r="C155" s="94" t="s">
        <v>727</v>
      </c>
      <c r="D155" s="94" t="s">
        <v>317</v>
      </c>
      <c r="E155" s="94" t="s">
        <v>254</v>
      </c>
      <c r="F155" s="94" t="s">
        <v>18</v>
      </c>
      <c r="G155" s="94">
        <v>2024</v>
      </c>
      <c r="H155" s="94">
        <v>-1</v>
      </c>
      <c r="I155" s="95"/>
      <c r="J155" s="96"/>
      <c r="K155" s="94">
        <v>1</v>
      </c>
      <c r="L155" s="95">
        <v>45468</v>
      </c>
      <c r="M155" s="94">
        <v>20</v>
      </c>
      <c r="N155" s="97">
        <v>21258</v>
      </c>
      <c r="O155" s="126">
        <v>195</v>
      </c>
      <c r="P155" s="127">
        <v>45478</v>
      </c>
      <c r="Q155" s="94">
        <v>1</v>
      </c>
      <c r="R155" s="97">
        <v>21258</v>
      </c>
      <c r="S155" s="94">
        <v>1</v>
      </c>
      <c r="T155" s="128">
        <v>45493</v>
      </c>
      <c r="U155" s="97">
        <v>20195.099999999999</v>
      </c>
    </row>
    <row r="156" spans="1:22" ht="12" hidden="1" x14ac:dyDescent="0.25">
      <c r="A156" s="94">
        <v>154</v>
      </c>
      <c r="B156" s="94" t="s">
        <v>320</v>
      </c>
      <c r="C156" s="94" t="s">
        <v>722</v>
      </c>
      <c r="D156" s="94" t="s">
        <v>321</v>
      </c>
      <c r="E156" s="94" t="s">
        <v>254</v>
      </c>
      <c r="F156" s="94" t="s">
        <v>18</v>
      </c>
      <c r="G156" s="94">
        <v>2022</v>
      </c>
      <c r="H156" s="94">
        <v>-1</v>
      </c>
      <c r="I156" s="95"/>
      <c r="J156" s="96"/>
      <c r="K156" s="94">
        <v>1</v>
      </c>
      <c r="L156" s="95">
        <v>44886</v>
      </c>
      <c r="M156" s="94">
        <v>17</v>
      </c>
      <c r="N156" s="97">
        <v>33725.57</v>
      </c>
      <c r="O156" s="126">
        <v>506</v>
      </c>
      <c r="P156" s="127">
        <v>44924</v>
      </c>
      <c r="Q156" s="94">
        <v>1</v>
      </c>
      <c r="R156" s="97">
        <v>33725.57</v>
      </c>
      <c r="S156" s="94">
        <v>1</v>
      </c>
      <c r="T156" s="128">
        <v>44953</v>
      </c>
      <c r="U156" s="97">
        <v>32039.291499999999</v>
      </c>
    </row>
    <row r="157" spans="1:22" ht="12" hidden="1" x14ac:dyDescent="0.25">
      <c r="A157" s="94">
        <v>155</v>
      </c>
      <c r="B157" s="94" t="s">
        <v>320</v>
      </c>
      <c r="C157" s="94" t="s">
        <v>722</v>
      </c>
      <c r="D157" s="94" t="s">
        <v>321</v>
      </c>
      <c r="E157" s="94" t="s">
        <v>254</v>
      </c>
      <c r="F157" s="94" t="s">
        <v>18</v>
      </c>
      <c r="G157" s="94">
        <v>2023</v>
      </c>
      <c r="H157" s="94">
        <v>-1</v>
      </c>
      <c r="I157" s="95"/>
      <c r="J157" s="96"/>
      <c r="K157" s="94">
        <v>1</v>
      </c>
      <c r="L157" s="95">
        <v>44947</v>
      </c>
      <c r="M157" s="94">
        <v>18</v>
      </c>
      <c r="N157" s="97">
        <v>26141.51</v>
      </c>
      <c r="O157" s="126">
        <v>44</v>
      </c>
      <c r="P157" s="127">
        <v>44963</v>
      </c>
      <c r="Q157" s="94">
        <v>1</v>
      </c>
      <c r="R157" s="97">
        <v>26141.51</v>
      </c>
      <c r="S157" s="94">
        <v>1</v>
      </c>
      <c r="T157" s="128">
        <v>44993</v>
      </c>
      <c r="U157" s="97">
        <v>24834.434499999996</v>
      </c>
    </row>
    <row r="158" spans="1:22" ht="12" hidden="1" x14ac:dyDescent="0.25">
      <c r="A158" s="94">
        <v>156</v>
      </c>
      <c r="B158" s="94" t="s">
        <v>320</v>
      </c>
      <c r="C158" s="94" t="s">
        <v>722</v>
      </c>
      <c r="D158" s="94" t="s">
        <v>321</v>
      </c>
      <c r="E158" s="94" t="s">
        <v>254</v>
      </c>
      <c r="F158" s="94" t="s">
        <v>18</v>
      </c>
      <c r="G158" s="94">
        <v>2023</v>
      </c>
      <c r="H158" s="94">
        <v>-1</v>
      </c>
      <c r="I158" s="95"/>
      <c r="J158" s="96"/>
      <c r="K158" s="94">
        <v>1</v>
      </c>
      <c r="L158" s="95">
        <v>44978</v>
      </c>
      <c r="M158" s="94">
        <v>19</v>
      </c>
      <c r="N158" s="97">
        <v>36926.296249999999</v>
      </c>
      <c r="O158" s="126">
        <v>51</v>
      </c>
      <c r="P158" s="127">
        <v>44988</v>
      </c>
      <c r="Q158" s="94">
        <v>1</v>
      </c>
      <c r="R158" s="97">
        <v>36926.296249999999</v>
      </c>
      <c r="S158" s="94">
        <v>1</v>
      </c>
      <c r="T158" s="127">
        <v>45000</v>
      </c>
      <c r="U158" s="97">
        <v>35079.981437499999</v>
      </c>
    </row>
    <row r="159" spans="1:22" ht="12" hidden="1" x14ac:dyDescent="0.25">
      <c r="A159" s="94">
        <v>157</v>
      </c>
      <c r="B159" s="94" t="s">
        <v>320</v>
      </c>
      <c r="C159" s="94" t="s">
        <v>722</v>
      </c>
      <c r="D159" s="94" t="s">
        <v>321</v>
      </c>
      <c r="E159" s="94" t="s">
        <v>254</v>
      </c>
      <c r="F159" s="94" t="s">
        <v>18</v>
      </c>
      <c r="G159" s="94">
        <v>2023</v>
      </c>
      <c r="H159" s="94">
        <v>-1</v>
      </c>
      <c r="I159" s="95"/>
      <c r="J159" s="96"/>
      <c r="K159" s="94">
        <v>1</v>
      </c>
      <c r="L159" s="95">
        <v>45006</v>
      </c>
      <c r="M159" s="94">
        <v>20</v>
      </c>
      <c r="N159" s="97">
        <v>27037.27375</v>
      </c>
      <c r="O159" s="126">
        <v>65</v>
      </c>
      <c r="P159" s="127">
        <v>45035</v>
      </c>
      <c r="Q159" s="94">
        <v>1</v>
      </c>
      <c r="R159" s="97">
        <v>27037.27375</v>
      </c>
      <c r="S159" s="94">
        <v>1</v>
      </c>
      <c r="T159" s="128">
        <v>45044</v>
      </c>
      <c r="U159" s="97">
        <v>25685.410062499999</v>
      </c>
    </row>
    <row r="160" spans="1:22" ht="12" hidden="1" x14ac:dyDescent="0.25">
      <c r="A160" s="94">
        <v>158</v>
      </c>
      <c r="B160" s="94" t="s">
        <v>320</v>
      </c>
      <c r="C160" s="94" t="s">
        <v>722</v>
      </c>
      <c r="D160" s="94" t="s">
        <v>321</v>
      </c>
      <c r="E160" s="94" t="s">
        <v>254</v>
      </c>
      <c r="F160" s="94" t="s">
        <v>18</v>
      </c>
      <c r="G160" s="94">
        <v>2023</v>
      </c>
      <c r="H160" s="94">
        <v>-1</v>
      </c>
      <c r="I160" s="95"/>
      <c r="J160" s="96"/>
      <c r="K160" s="94">
        <v>1</v>
      </c>
      <c r="L160" s="117">
        <v>45037</v>
      </c>
      <c r="M160" s="94">
        <v>21</v>
      </c>
      <c r="N160" s="97">
        <v>25905</v>
      </c>
      <c r="O160" s="126">
        <v>73</v>
      </c>
      <c r="P160" s="127">
        <v>45068</v>
      </c>
      <c r="Q160" s="94">
        <v>1</v>
      </c>
      <c r="R160" s="97">
        <v>25905</v>
      </c>
      <c r="S160" s="94">
        <v>1</v>
      </c>
      <c r="T160" s="128">
        <v>45079</v>
      </c>
      <c r="U160" s="97">
        <v>24609.75</v>
      </c>
    </row>
    <row r="161" spans="1:22" ht="12" hidden="1" x14ac:dyDescent="0.25">
      <c r="A161" s="94">
        <v>159</v>
      </c>
      <c r="B161" s="94" t="s">
        <v>320</v>
      </c>
      <c r="C161" s="94" t="s">
        <v>722</v>
      </c>
      <c r="D161" s="94" t="s">
        <v>321</v>
      </c>
      <c r="E161" s="94" t="s">
        <v>254</v>
      </c>
      <c r="F161" s="94" t="s">
        <v>18</v>
      </c>
      <c r="G161" s="94">
        <v>2023</v>
      </c>
      <c r="H161" s="94">
        <v>-1</v>
      </c>
      <c r="I161" s="95"/>
      <c r="J161" s="96"/>
      <c r="K161" s="94">
        <v>1</v>
      </c>
      <c r="L161" s="117">
        <v>45098</v>
      </c>
      <c r="M161" s="94">
        <v>22</v>
      </c>
      <c r="N161" s="97">
        <v>12105</v>
      </c>
      <c r="O161" s="126">
        <v>93</v>
      </c>
      <c r="P161" s="127">
        <v>45133</v>
      </c>
      <c r="Q161" s="94">
        <v>1</v>
      </c>
      <c r="R161" s="97">
        <v>12105</v>
      </c>
      <c r="S161" s="94">
        <v>1</v>
      </c>
      <c r="T161" s="128">
        <v>45140</v>
      </c>
      <c r="U161" s="97">
        <v>11499.75</v>
      </c>
      <c r="V161" s="94" t="s">
        <v>322</v>
      </c>
    </row>
    <row r="162" spans="1:22" ht="12" hidden="1" x14ac:dyDescent="0.25">
      <c r="A162" s="94">
        <v>160</v>
      </c>
      <c r="B162" s="94" t="s">
        <v>323</v>
      </c>
      <c r="C162" s="94" t="s">
        <v>201</v>
      </c>
      <c r="D162" s="94" t="s">
        <v>201</v>
      </c>
      <c r="E162" s="94" t="s">
        <v>254</v>
      </c>
      <c r="F162" s="94" t="s">
        <v>18</v>
      </c>
      <c r="G162" s="94">
        <v>2025</v>
      </c>
      <c r="H162" s="94">
        <v>-1</v>
      </c>
      <c r="I162" s="95"/>
      <c r="J162" s="142"/>
      <c r="K162" s="94">
        <v>1</v>
      </c>
      <c r="L162" s="95">
        <v>45833</v>
      </c>
      <c r="M162" s="94">
        <v>1</v>
      </c>
      <c r="N162" s="97">
        <v>5398</v>
      </c>
      <c r="O162" s="126">
        <v>317</v>
      </c>
      <c r="P162" s="127">
        <v>45842</v>
      </c>
      <c r="Q162" s="94">
        <v>1</v>
      </c>
      <c r="R162" s="97">
        <v>5398</v>
      </c>
      <c r="S162" s="94">
        <v>1</v>
      </c>
      <c r="T162" s="128">
        <v>45856</v>
      </c>
      <c r="U162" s="97">
        <v>5398</v>
      </c>
      <c r="V162" s="110"/>
    </row>
    <row r="163" spans="1:22" ht="12" hidden="1" x14ac:dyDescent="0.25">
      <c r="A163" s="94">
        <v>161</v>
      </c>
      <c r="B163" s="94" t="s">
        <v>323</v>
      </c>
      <c r="C163" s="94" t="s">
        <v>201</v>
      </c>
      <c r="D163" s="94" t="s">
        <v>201</v>
      </c>
      <c r="E163" s="94" t="s">
        <v>254</v>
      </c>
      <c r="F163" s="94" t="s">
        <v>18</v>
      </c>
      <c r="G163" s="94">
        <v>2025</v>
      </c>
      <c r="H163" s="94">
        <v>-1</v>
      </c>
      <c r="I163" s="95"/>
      <c r="J163" s="96"/>
      <c r="K163" s="94">
        <v>1</v>
      </c>
      <c r="L163" s="117">
        <v>45930</v>
      </c>
      <c r="M163" s="94">
        <v>2</v>
      </c>
      <c r="N163" s="97">
        <v>15335</v>
      </c>
      <c r="O163" s="126">
        <v>352</v>
      </c>
      <c r="P163" s="127">
        <v>45958</v>
      </c>
      <c r="Q163" s="94">
        <v>1</v>
      </c>
      <c r="R163" s="97">
        <v>15335</v>
      </c>
      <c r="S163" s="94">
        <v>1</v>
      </c>
      <c r="T163" s="128">
        <v>45966</v>
      </c>
      <c r="U163" s="97">
        <v>14568.25</v>
      </c>
    </row>
    <row r="164" spans="1:22" ht="12" hidden="1" x14ac:dyDescent="0.25">
      <c r="A164" s="94">
        <v>162</v>
      </c>
      <c r="B164" s="94" t="s">
        <v>324</v>
      </c>
      <c r="C164" s="94" t="s">
        <v>728</v>
      </c>
      <c r="D164" s="94" t="s">
        <v>325</v>
      </c>
      <c r="E164" s="94" t="s">
        <v>254</v>
      </c>
      <c r="F164" s="94" t="s">
        <v>18</v>
      </c>
      <c r="G164" s="94">
        <v>2024</v>
      </c>
      <c r="H164" s="94">
        <v>1</v>
      </c>
      <c r="I164" s="95">
        <v>45352</v>
      </c>
      <c r="J164" s="96">
        <v>5642</v>
      </c>
      <c r="K164" s="94">
        <v>1</v>
      </c>
      <c r="L164" s="117">
        <v>45498</v>
      </c>
      <c r="M164" s="94">
        <v>1</v>
      </c>
      <c r="N164" s="97">
        <v>18800</v>
      </c>
      <c r="O164" s="126">
        <v>203</v>
      </c>
      <c r="P164" s="127">
        <v>45509</v>
      </c>
      <c r="Q164" s="94">
        <v>1</v>
      </c>
      <c r="R164" s="97">
        <v>16803</v>
      </c>
      <c r="S164" s="94">
        <v>1</v>
      </c>
      <c r="T164" s="128">
        <v>45518</v>
      </c>
      <c r="U164" s="97">
        <v>15122.7</v>
      </c>
    </row>
    <row r="165" spans="1:22" ht="12" hidden="1" x14ac:dyDescent="0.25">
      <c r="A165" s="94">
        <v>163</v>
      </c>
      <c r="B165" s="94" t="s">
        <v>40</v>
      </c>
      <c r="C165" s="94" t="s">
        <v>41</v>
      </c>
      <c r="D165" s="94" t="s">
        <v>41</v>
      </c>
      <c r="E165" s="94" t="s">
        <v>254</v>
      </c>
      <c r="F165" s="94" t="s">
        <v>18</v>
      </c>
      <c r="G165" s="94">
        <v>2024</v>
      </c>
      <c r="H165" s="94">
        <v>-1</v>
      </c>
      <c r="I165" s="95"/>
      <c r="J165" s="96"/>
      <c r="K165" s="94">
        <v>1</v>
      </c>
      <c r="L165" s="117">
        <v>45531</v>
      </c>
      <c r="M165" s="94">
        <v>1</v>
      </c>
      <c r="N165" s="97">
        <v>8906</v>
      </c>
      <c r="O165" s="126">
        <v>211</v>
      </c>
      <c r="P165" s="127">
        <v>45546</v>
      </c>
      <c r="Q165" s="94">
        <v>1</v>
      </c>
      <c r="R165" s="97">
        <v>8906</v>
      </c>
      <c r="S165" s="94">
        <v>1</v>
      </c>
      <c r="T165" s="128">
        <v>45576</v>
      </c>
      <c r="U165" s="97">
        <v>8460.6999999999989</v>
      </c>
    </row>
    <row r="166" spans="1:22" ht="12" hidden="1" x14ac:dyDescent="0.25">
      <c r="A166" s="94">
        <v>164</v>
      </c>
      <c r="B166" s="94" t="s">
        <v>40</v>
      </c>
      <c r="C166" s="94" t="s">
        <v>41</v>
      </c>
      <c r="D166" s="94" t="s">
        <v>41</v>
      </c>
      <c r="E166" s="94" t="s">
        <v>254</v>
      </c>
      <c r="F166" s="94" t="s">
        <v>18</v>
      </c>
      <c r="G166" s="94">
        <v>2024</v>
      </c>
      <c r="H166" s="94">
        <v>-1</v>
      </c>
      <c r="I166" s="95"/>
      <c r="J166" s="96"/>
      <c r="K166" s="94">
        <v>1</v>
      </c>
      <c r="L166" s="117">
        <v>45560</v>
      </c>
      <c r="M166" s="94">
        <v>2</v>
      </c>
      <c r="N166" s="97">
        <v>13808</v>
      </c>
      <c r="O166" s="126">
        <v>223</v>
      </c>
      <c r="P166" s="127">
        <v>45575</v>
      </c>
      <c r="Q166" s="94">
        <v>1</v>
      </c>
      <c r="R166" s="97">
        <v>13808</v>
      </c>
      <c r="S166" s="94">
        <v>1</v>
      </c>
      <c r="T166" s="128">
        <v>45583</v>
      </c>
      <c r="U166" s="97">
        <v>13117.599999999999</v>
      </c>
    </row>
    <row r="167" spans="1:22" ht="12" hidden="1" x14ac:dyDescent="0.25">
      <c r="A167" s="94">
        <v>165</v>
      </c>
      <c r="B167" s="94" t="s">
        <v>40</v>
      </c>
      <c r="C167" s="94" t="s">
        <v>41</v>
      </c>
      <c r="D167" s="94" t="s">
        <v>41</v>
      </c>
      <c r="E167" s="94" t="s">
        <v>254</v>
      </c>
      <c r="F167" s="94" t="s">
        <v>18</v>
      </c>
      <c r="G167" s="94">
        <v>2024</v>
      </c>
      <c r="H167" s="94">
        <v>-1</v>
      </c>
      <c r="I167" s="95"/>
      <c r="J167" s="96"/>
      <c r="K167" s="94">
        <v>1</v>
      </c>
      <c r="L167" s="117">
        <v>45588</v>
      </c>
      <c r="M167" s="94">
        <v>3</v>
      </c>
      <c r="N167" s="97">
        <v>3212</v>
      </c>
      <c r="O167" s="139">
        <v>234</v>
      </c>
      <c r="P167" s="127">
        <v>45604</v>
      </c>
      <c r="Q167" s="94">
        <v>1</v>
      </c>
      <c r="R167" s="97">
        <v>3212</v>
      </c>
      <c r="S167" s="94">
        <v>1</v>
      </c>
      <c r="T167" s="128">
        <v>45616</v>
      </c>
      <c r="U167" s="108">
        <v>3051.3999999999996</v>
      </c>
    </row>
    <row r="168" spans="1:22" ht="12" hidden="1" customHeight="1" x14ac:dyDescent="0.25">
      <c r="A168" s="94">
        <v>166</v>
      </c>
      <c r="B168" s="94" t="s">
        <v>40</v>
      </c>
      <c r="C168" s="94" t="s">
        <v>41</v>
      </c>
      <c r="D168" s="94" t="s">
        <v>41</v>
      </c>
      <c r="E168" s="94" t="s">
        <v>254</v>
      </c>
      <c r="F168" s="94" t="s">
        <v>18</v>
      </c>
      <c r="G168" s="94">
        <v>2024</v>
      </c>
      <c r="H168" s="94">
        <v>-1</v>
      </c>
      <c r="I168" s="95"/>
      <c r="J168" s="96"/>
      <c r="K168" s="94">
        <v>1</v>
      </c>
      <c r="L168" s="117">
        <v>45619</v>
      </c>
      <c r="M168" s="94">
        <v>4</v>
      </c>
      <c r="N168" s="97">
        <v>17309</v>
      </c>
      <c r="O168" s="126">
        <v>243</v>
      </c>
      <c r="P168" s="127">
        <v>45631</v>
      </c>
      <c r="Q168" s="94">
        <v>1</v>
      </c>
      <c r="R168" s="97">
        <v>17309</v>
      </c>
      <c r="S168" s="94">
        <v>1</v>
      </c>
      <c r="T168" s="128">
        <v>45644</v>
      </c>
      <c r="U168" s="97">
        <v>16443.55</v>
      </c>
    </row>
    <row r="169" spans="1:22" ht="12" hidden="1" customHeight="1" x14ac:dyDescent="0.25">
      <c r="A169" s="94">
        <v>167</v>
      </c>
      <c r="B169" s="94" t="s">
        <v>40</v>
      </c>
      <c r="C169" s="94" t="s">
        <v>41</v>
      </c>
      <c r="D169" s="94" t="s">
        <v>41</v>
      </c>
      <c r="E169" s="94" t="s">
        <v>254</v>
      </c>
      <c r="F169" s="94" t="s">
        <v>18</v>
      </c>
      <c r="G169" s="94">
        <v>2024</v>
      </c>
      <c r="H169" s="94">
        <v>-1</v>
      </c>
      <c r="I169" s="95"/>
      <c r="J169" s="96"/>
      <c r="K169" s="94">
        <v>1</v>
      </c>
      <c r="L169" s="117">
        <v>45649</v>
      </c>
      <c r="M169" s="94">
        <v>5</v>
      </c>
      <c r="N169" s="97">
        <v>36716</v>
      </c>
      <c r="O169" s="126">
        <v>265</v>
      </c>
      <c r="P169" s="127">
        <v>45712</v>
      </c>
      <c r="Q169" s="94">
        <v>1</v>
      </c>
      <c r="R169" s="97">
        <v>36716</v>
      </c>
      <c r="S169" s="94">
        <v>1</v>
      </c>
      <c r="T169" s="128">
        <v>45716</v>
      </c>
      <c r="U169" s="97">
        <v>36195.183539999998</v>
      </c>
    </row>
    <row r="170" spans="1:22" ht="12" hidden="1" customHeight="1" x14ac:dyDescent="0.25">
      <c r="A170" s="94">
        <v>168</v>
      </c>
      <c r="B170" s="94" t="s">
        <v>40</v>
      </c>
      <c r="C170" s="94" t="s">
        <v>41</v>
      </c>
      <c r="D170" s="94" t="s">
        <v>41</v>
      </c>
      <c r="E170" s="94" t="s">
        <v>254</v>
      </c>
      <c r="F170" s="94" t="s">
        <v>18</v>
      </c>
      <c r="G170" s="94">
        <v>2025</v>
      </c>
      <c r="H170" s="94">
        <v>-1</v>
      </c>
      <c r="I170" s="95"/>
      <c r="J170" s="96"/>
      <c r="K170" s="94">
        <v>1</v>
      </c>
      <c r="L170" s="117">
        <v>45681</v>
      </c>
      <c r="M170" s="94">
        <v>6</v>
      </c>
      <c r="N170" s="97">
        <v>14903</v>
      </c>
      <c r="O170" s="126">
        <v>301</v>
      </c>
      <c r="P170" s="127">
        <v>45789</v>
      </c>
      <c r="Q170" s="94">
        <v>1</v>
      </c>
      <c r="R170" s="97">
        <v>22365</v>
      </c>
      <c r="S170" s="94">
        <v>1</v>
      </c>
      <c r="T170" s="128">
        <v>45805</v>
      </c>
      <c r="U170" s="97">
        <v>21246.75</v>
      </c>
    </row>
    <row r="171" spans="1:22" ht="12" hidden="1" customHeight="1" x14ac:dyDescent="0.25">
      <c r="A171" s="94">
        <v>169</v>
      </c>
      <c r="B171" s="94" t="s">
        <v>326</v>
      </c>
      <c r="C171" s="94" t="s">
        <v>327</v>
      </c>
      <c r="D171" s="94" t="s">
        <v>327</v>
      </c>
      <c r="E171" s="94" t="s">
        <v>254</v>
      </c>
      <c r="F171" s="94" t="s">
        <v>18</v>
      </c>
      <c r="G171" s="94">
        <v>2024</v>
      </c>
      <c r="H171" s="94">
        <v>-1</v>
      </c>
      <c r="I171" s="95"/>
      <c r="J171" s="96"/>
      <c r="K171" s="94">
        <v>1</v>
      </c>
      <c r="L171" s="117">
        <v>45498</v>
      </c>
      <c r="M171" s="94">
        <v>1</v>
      </c>
      <c r="N171" s="97">
        <v>34041</v>
      </c>
      <c r="O171" s="139">
        <v>209</v>
      </c>
      <c r="P171" s="127">
        <v>45531</v>
      </c>
      <c r="Q171" s="94">
        <v>1</v>
      </c>
      <c r="R171" s="97">
        <v>34401</v>
      </c>
      <c r="S171" s="94">
        <v>1</v>
      </c>
      <c r="T171" s="128">
        <v>45562</v>
      </c>
      <c r="U171" s="108">
        <v>34401</v>
      </c>
    </row>
    <row r="172" spans="1:22" ht="12" hidden="1" x14ac:dyDescent="0.25">
      <c r="A172" s="94">
        <v>170</v>
      </c>
      <c r="B172" s="94" t="s">
        <v>42</v>
      </c>
      <c r="C172" s="94" t="s">
        <v>43</v>
      </c>
      <c r="D172" s="94" t="s">
        <v>43</v>
      </c>
      <c r="E172" s="94" t="s">
        <v>254</v>
      </c>
      <c r="F172" s="94" t="s">
        <v>18</v>
      </c>
      <c r="G172" s="94">
        <v>2024</v>
      </c>
      <c r="H172" s="94">
        <v>-1</v>
      </c>
      <c r="I172" s="95"/>
      <c r="J172" s="96"/>
      <c r="K172" s="94">
        <v>1</v>
      </c>
      <c r="L172" s="95">
        <v>45498</v>
      </c>
      <c r="M172" s="94">
        <v>1</v>
      </c>
      <c r="N172" s="97">
        <v>26563</v>
      </c>
      <c r="O172" s="126">
        <v>209</v>
      </c>
      <c r="P172" s="127">
        <v>45531</v>
      </c>
      <c r="Q172" s="94">
        <v>1</v>
      </c>
      <c r="R172" s="97">
        <v>26563</v>
      </c>
      <c r="S172" s="94">
        <v>1</v>
      </c>
      <c r="T172" s="128">
        <v>45562</v>
      </c>
      <c r="U172" s="97">
        <v>26563</v>
      </c>
      <c r="V172" s="110"/>
    </row>
    <row r="173" spans="1:22" ht="12" hidden="1" x14ac:dyDescent="0.25">
      <c r="A173" s="94">
        <v>171</v>
      </c>
      <c r="B173" s="94" t="s">
        <v>42</v>
      </c>
      <c r="C173" s="94" t="s">
        <v>43</v>
      </c>
      <c r="D173" s="94" t="s">
        <v>43</v>
      </c>
      <c r="E173" s="94" t="s">
        <v>254</v>
      </c>
      <c r="F173" s="94" t="s">
        <v>18</v>
      </c>
      <c r="G173" s="94">
        <v>2024</v>
      </c>
      <c r="H173" s="94">
        <v>-1</v>
      </c>
      <c r="I173" s="95"/>
      <c r="J173" s="142"/>
      <c r="K173" s="94">
        <v>1</v>
      </c>
      <c r="L173" s="95">
        <v>45589</v>
      </c>
      <c r="M173" s="94">
        <v>2</v>
      </c>
      <c r="N173" s="97">
        <v>34586</v>
      </c>
      <c r="O173" s="126">
        <v>261</v>
      </c>
      <c r="P173" s="127">
        <v>45684</v>
      </c>
      <c r="Q173" s="94">
        <v>1</v>
      </c>
      <c r="R173" s="97">
        <v>33111</v>
      </c>
      <c r="S173" s="94">
        <v>1</v>
      </c>
      <c r="T173" s="128">
        <v>45714</v>
      </c>
      <c r="U173" s="97">
        <v>36147.023883000002</v>
      </c>
      <c r="V173" s="110"/>
    </row>
    <row r="174" spans="1:22" ht="12" hidden="1" x14ac:dyDescent="0.25">
      <c r="A174" s="94">
        <v>172</v>
      </c>
      <c r="B174" s="94" t="s">
        <v>328</v>
      </c>
      <c r="C174" s="94" t="s">
        <v>329</v>
      </c>
      <c r="D174" s="94" t="s">
        <v>329</v>
      </c>
      <c r="E174" s="94" t="s">
        <v>254</v>
      </c>
      <c r="F174" s="94" t="s">
        <v>18</v>
      </c>
      <c r="G174" s="94">
        <v>2023</v>
      </c>
      <c r="H174" s="94">
        <v>-1</v>
      </c>
      <c r="I174" s="95">
        <v>45261</v>
      </c>
      <c r="J174" s="142">
        <v>0</v>
      </c>
      <c r="K174" s="94">
        <v>1</v>
      </c>
      <c r="L174" s="95">
        <v>45281</v>
      </c>
      <c r="M174" s="94">
        <v>1</v>
      </c>
      <c r="N174" s="97">
        <v>33661</v>
      </c>
      <c r="O174" s="126">
        <v>137</v>
      </c>
      <c r="P174" s="127">
        <v>45296</v>
      </c>
      <c r="Q174" s="94">
        <v>1</v>
      </c>
      <c r="R174" s="97">
        <v>33661</v>
      </c>
      <c r="S174" s="94">
        <v>1</v>
      </c>
      <c r="T174" s="128">
        <v>45310</v>
      </c>
      <c r="U174" s="97">
        <v>31977.949999999997</v>
      </c>
      <c r="V174" s="110"/>
    </row>
    <row r="175" spans="1:22" ht="12" hidden="1" x14ac:dyDescent="0.25">
      <c r="A175" s="94">
        <v>173</v>
      </c>
      <c r="B175" s="94" t="s">
        <v>328</v>
      </c>
      <c r="C175" s="94" t="s">
        <v>329</v>
      </c>
      <c r="D175" s="94" t="s">
        <v>329</v>
      </c>
      <c r="E175" s="94" t="s">
        <v>254</v>
      </c>
      <c r="F175" s="94" t="s">
        <v>18</v>
      </c>
      <c r="G175" s="94">
        <v>2024</v>
      </c>
      <c r="H175" s="94">
        <v>1</v>
      </c>
      <c r="I175" s="95">
        <v>45292</v>
      </c>
      <c r="J175" s="142">
        <v>93026</v>
      </c>
      <c r="K175" s="94">
        <v>1</v>
      </c>
      <c r="L175" s="95">
        <v>45316</v>
      </c>
      <c r="M175" s="94">
        <v>2</v>
      </c>
      <c r="N175" s="137">
        <v>16146</v>
      </c>
      <c r="O175" s="126">
        <v>160</v>
      </c>
      <c r="P175" s="127">
        <v>45329</v>
      </c>
      <c r="Q175" s="94">
        <v>1</v>
      </c>
      <c r="R175" s="97">
        <v>16146</v>
      </c>
      <c r="S175" s="94">
        <v>1</v>
      </c>
      <c r="T175" s="138">
        <v>45350</v>
      </c>
      <c r="U175" s="97">
        <v>15338.699999999999</v>
      </c>
      <c r="V175" s="110"/>
    </row>
    <row r="176" spans="1:22" ht="12" hidden="1" x14ac:dyDescent="0.25">
      <c r="A176" s="94">
        <v>174</v>
      </c>
      <c r="B176" s="94" t="s">
        <v>328</v>
      </c>
      <c r="C176" s="94" t="s">
        <v>329</v>
      </c>
      <c r="D176" s="94" t="s">
        <v>329</v>
      </c>
      <c r="E176" s="94" t="s">
        <v>254</v>
      </c>
      <c r="F176" s="94" t="s">
        <v>18</v>
      </c>
      <c r="G176" s="94">
        <v>2024</v>
      </c>
      <c r="H176" s="94">
        <v>1</v>
      </c>
      <c r="I176" s="95">
        <v>45323</v>
      </c>
      <c r="J176" s="96">
        <v>42563</v>
      </c>
      <c r="K176" s="94">
        <v>1</v>
      </c>
      <c r="L176" s="95">
        <v>45347</v>
      </c>
      <c r="M176" s="94">
        <v>3</v>
      </c>
      <c r="N176" s="97">
        <v>25645</v>
      </c>
      <c r="O176" s="126">
        <v>173</v>
      </c>
      <c r="P176" s="127">
        <v>45369</v>
      </c>
      <c r="Q176" s="94">
        <v>1</v>
      </c>
      <c r="R176" s="97">
        <v>25645</v>
      </c>
      <c r="S176" s="94">
        <v>1</v>
      </c>
      <c r="T176" s="128">
        <v>45373</v>
      </c>
      <c r="U176" s="136">
        <v>24362.75</v>
      </c>
      <c r="V176" s="110"/>
    </row>
    <row r="177" spans="1:22" ht="12" hidden="1" x14ac:dyDescent="0.25">
      <c r="A177" s="94">
        <v>175</v>
      </c>
      <c r="B177" s="94" t="s">
        <v>328</v>
      </c>
      <c r="C177" s="94" t="s">
        <v>329</v>
      </c>
      <c r="D177" s="94" t="s">
        <v>329</v>
      </c>
      <c r="E177" s="94" t="s">
        <v>254</v>
      </c>
      <c r="F177" s="94" t="s">
        <v>18</v>
      </c>
      <c r="G177" s="94">
        <v>2024</v>
      </c>
      <c r="H177" s="94">
        <v>1</v>
      </c>
      <c r="I177" s="95">
        <v>45352</v>
      </c>
      <c r="J177" s="96">
        <v>12000</v>
      </c>
      <c r="K177" s="94">
        <v>1</v>
      </c>
      <c r="L177" s="95">
        <v>45376</v>
      </c>
      <c r="M177" s="94">
        <v>4</v>
      </c>
      <c r="N177" s="97">
        <v>4969</v>
      </c>
      <c r="O177" s="126">
        <v>177</v>
      </c>
      <c r="P177" s="127">
        <v>45394</v>
      </c>
      <c r="Q177" s="94">
        <v>1</v>
      </c>
      <c r="R177" s="97">
        <v>4969</v>
      </c>
      <c r="S177" s="94">
        <v>1</v>
      </c>
      <c r="T177" s="128">
        <v>45412</v>
      </c>
      <c r="U177" s="136">
        <v>4720.55</v>
      </c>
      <c r="V177" s="110"/>
    </row>
    <row r="178" spans="1:22" ht="12" hidden="1" x14ac:dyDescent="0.25">
      <c r="A178" s="94">
        <v>176</v>
      </c>
      <c r="B178" s="94" t="s">
        <v>328</v>
      </c>
      <c r="C178" s="94" t="s">
        <v>329</v>
      </c>
      <c r="D178" s="94" t="s">
        <v>329</v>
      </c>
      <c r="E178" s="94" t="s">
        <v>254</v>
      </c>
      <c r="F178" s="94" t="s">
        <v>18</v>
      </c>
      <c r="G178" s="94">
        <v>2024</v>
      </c>
      <c r="H178" s="94">
        <v>1</v>
      </c>
      <c r="I178" s="95">
        <v>45383</v>
      </c>
      <c r="J178" s="96">
        <v>8629</v>
      </c>
      <c r="K178" s="94">
        <v>1</v>
      </c>
      <c r="L178" s="117">
        <v>45407</v>
      </c>
      <c r="M178" s="94">
        <v>5</v>
      </c>
      <c r="N178" s="97">
        <v>9436</v>
      </c>
      <c r="O178" s="126">
        <v>187</v>
      </c>
      <c r="P178" s="127">
        <v>45429</v>
      </c>
      <c r="Q178" s="94">
        <v>1</v>
      </c>
      <c r="R178" s="97">
        <v>9436</v>
      </c>
      <c r="S178" s="94">
        <v>1</v>
      </c>
      <c r="T178" s="128">
        <v>45436</v>
      </c>
      <c r="U178" s="108">
        <v>8964.1999999999989</v>
      </c>
    </row>
    <row r="179" spans="1:22" ht="12" hidden="1" x14ac:dyDescent="0.25">
      <c r="A179" s="94">
        <v>177</v>
      </c>
      <c r="B179" s="94" t="s">
        <v>328</v>
      </c>
      <c r="C179" s="94" t="s">
        <v>329</v>
      </c>
      <c r="D179" s="94" t="s">
        <v>329</v>
      </c>
      <c r="E179" s="94" t="s">
        <v>254</v>
      </c>
      <c r="F179" s="94" t="s">
        <v>18</v>
      </c>
      <c r="G179" s="94">
        <v>2024</v>
      </c>
      <c r="H179" s="94">
        <v>-1</v>
      </c>
      <c r="I179" s="95"/>
      <c r="J179" s="96"/>
      <c r="K179" s="94">
        <v>1</v>
      </c>
      <c r="L179" s="117">
        <v>45440</v>
      </c>
      <c r="M179" s="94">
        <v>6</v>
      </c>
      <c r="N179" s="97">
        <v>2974</v>
      </c>
      <c r="O179" s="139">
        <v>189</v>
      </c>
      <c r="P179" s="127">
        <v>45449</v>
      </c>
      <c r="Q179" s="94">
        <v>1</v>
      </c>
      <c r="R179" s="97">
        <v>2974</v>
      </c>
      <c r="S179" s="94">
        <v>1</v>
      </c>
      <c r="T179" s="128">
        <v>45456</v>
      </c>
      <c r="U179" s="108">
        <v>2825.2999999999997</v>
      </c>
    </row>
    <row r="180" spans="1:22" ht="12" hidden="1" x14ac:dyDescent="0.25">
      <c r="A180" s="94">
        <v>178</v>
      </c>
      <c r="B180" s="94" t="s">
        <v>44</v>
      </c>
      <c r="C180" s="94" t="s">
        <v>45</v>
      </c>
      <c r="D180" s="94" t="s">
        <v>45</v>
      </c>
      <c r="E180" s="94" t="s">
        <v>254</v>
      </c>
      <c r="F180" s="94" t="s">
        <v>18</v>
      </c>
      <c r="G180" s="94">
        <v>2024</v>
      </c>
      <c r="H180" s="94">
        <v>-1</v>
      </c>
      <c r="I180" s="95"/>
      <c r="J180" s="96"/>
      <c r="K180" s="94">
        <v>1</v>
      </c>
      <c r="L180" s="117">
        <v>45652</v>
      </c>
      <c r="M180" s="94">
        <v>1</v>
      </c>
      <c r="N180" s="97">
        <v>46214.27</v>
      </c>
      <c r="O180" s="126">
        <v>251</v>
      </c>
      <c r="P180" s="127">
        <v>45665</v>
      </c>
      <c r="Q180" s="94">
        <v>1</v>
      </c>
      <c r="R180" s="97">
        <v>46214</v>
      </c>
      <c r="S180" s="94">
        <v>1</v>
      </c>
      <c r="T180" s="128">
        <v>45672</v>
      </c>
      <c r="U180" s="108">
        <v>45558.454410000006</v>
      </c>
    </row>
    <row r="181" spans="1:22" ht="12" hidden="1" x14ac:dyDescent="0.25">
      <c r="A181" s="94">
        <v>179</v>
      </c>
      <c r="B181" s="94" t="s">
        <v>44</v>
      </c>
      <c r="C181" s="94" t="s">
        <v>45</v>
      </c>
      <c r="D181" s="94" t="s">
        <v>45</v>
      </c>
      <c r="E181" s="94" t="s">
        <v>254</v>
      </c>
      <c r="F181" s="94" t="s">
        <v>18</v>
      </c>
      <c r="G181" s="94">
        <v>2025</v>
      </c>
      <c r="H181" s="94">
        <v>-1</v>
      </c>
      <c r="I181" s="95"/>
      <c r="J181" s="96"/>
      <c r="K181" s="94">
        <v>1</v>
      </c>
      <c r="L181" s="117">
        <v>45687</v>
      </c>
      <c r="M181" s="94">
        <v>2</v>
      </c>
      <c r="N181" s="97">
        <v>9854</v>
      </c>
      <c r="O181" s="126">
        <v>263</v>
      </c>
      <c r="P181" s="127">
        <v>45712</v>
      </c>
      <c r="Q181" s="94">
        <v>1</v>
      </c>
      <c r="R181" s="97">
        <v>9854</v>
      </c>
      <c r="S181" s="94">
        <v>1</v>
      </c>
      <c r="T181" s="128">
        <v>45716</v>
      </c>
      <c r="U181" s="97">
        <v>9714.2210099999993</v>
      </c>
    </row>
    <row r="182" spans="1:22" ht="12" hidden="1" x14ac:dyDescent="0.25">
      <c r="A182" s="94">
        <v>180</v>
      </c>
      <c r="B182" s="94" t="s">
        <v>44</v>
      </c>
      <c r="C182" s="94" t="s">
        <v>45</v>
      </c>
      <c r="D182" s="94" t="s">
        <v>45</v>
      </c>
      <c r="E182" s="94" t="s">
        <v>254</v>
      </c>
      <c r="F182" s="94" t="s">
        <v>18</v>
      </c>
      <c r="G182" s="94">
        <v>2025</v>
      </c>
      <c r="H182" s="94">
        <v>-1</v>
      </c>
      <c r="I182" s="95"/>
      <c r="J182" s="96"/>
      <c r="K182" s="94">
        <v>1</v>
      </c>
      <c r="L182" s="117">
        <v>45713</v>
      </c>
      <c r="M182" s="94">
        <v>3</v>
      </c>
      <c r="N182" s="97">
        <v>16216</v>
      </c>
      <c r="O182" s="126">
        <v>277</v>
      </c>
      <c r="P182" s="127">
        <v>45733</v>
      </c>
      <c r="Q182" s="94">
        <v>1</v>
      </c>
      <c r="R182" s="97">
        <v>16441.669999999998</v>
      </c>
      <c r="S182" s="94">
        <v>1</v>
      </c>
      <c r="T182" s="128">
        <v>45737</v>
      </c>
      <c r="U182" s="97">
        <v>16208.444911049999</v>
      </c>
    </row>
    <row r="183" spans="1:22" ht="12" hidden="1" x14ac:dyDescent="0.25">
      <c r="A183" s="94">
        <v>181</v>
      </c>
      <c r="B183" s="94" t="s">
        <v>44</v>
      </c>
      <c r="C183" s="94" t="s">
        <v>45</v>
      </c>
      <c r="D183" s="94" t="s">
        <v>45</v>
      </c>
      <c r="E183" s="94" t="s">
        <v>254</v>
      </c>
      <c r="F183" s="94" t="s">
        <v>18</v>
      </c>
      <c r="G183" s="94">
        <v>2025</v>
      </c>
      <c r="H183" s="94">
        <v>-1</v>
      </c>
      <c r="I183" s="95"/>
      <c r="J183" s="96"/>
      <c r="K183" s="94">
        <v>1</v>
      </c>
      <c r="L183" s="117">
        <v>45736</v>
      </c>
      <c r="M183" s="94">
        <v>4</v>
      </c>
      <c r="N183" s="97">
        <v>12182</v>
      </c>
      <c r="O183" s="126">
        <v>289</v>
      </c>
      <c r="P183" s="127">
        <v>45772</v>
      </c>
      <c r="Q183" s="94">
        <v>1</v>
      </c>
      <c r="R183" s="97">
        <v>11623</v>
      </c>
      <c r="S183" s="94">
        <v>1</v>
      </c>
      <c r="T183" s="128">
        <v>45799</v>
      </c>
      <c r="U183" s="97">
        <v>11041.85</v>
      </c>
    </row>
    <row r="184" spans="1:22" ht="12" hidden="1" x14ac:dyDescent="0.25">
      <c r="A184" s="94">
        <v>182</v>
      </c>
      <c r="B184" s="94" t="s">
        <v>44</v>
      </c>
      <c r="C184" s="94" t="s">
        <v>45</v>
      </c>
      <c r="D184" s="94" t="s">
        <v>45</v>
      </c>
      <c r="E184" s="94" t="s">
        <v>254</v>
      </c>
      <c r="F184" s="94" t="s">
        <v>18</v>
      </c>
      <c r="G184" s="94">
        <v>2025</v>
      </c>
      <c r="H184" s="94">
        <v>-1</v>
      </c>
      <c r="I184" s="95"/>
      <c r="J184" s="96"/>
      <c r="K184" s="94">
        <v>1</v>
      </c>
      <c r="L184" s="117">
        <v>45736</v>
      </c>
      <c r="M184" s="94">
        <v>5</v>
      </c>
      <c r="N184" s="97">
        <v>36573</v>
      </c>
      <c r="O184" s="126">
        <v>314</v>
      </c>
      <c r="P184" s="127">
        <v>45834</v>
      </c>
      <c r="Q184" s="94">
        <v>1</v>
      </c>
      <c r="R184" s="97">
        <v>31139</v>
      </c>
      <c r="S184" s="94">
        <v>8</v>
      </c>
      <c r="T184" s="128">
        <v>45842</v>
      </c>
      <c r="U184" s="97">
        <v>31139</v>
      </c>
    </row>
    <row r="185" spans="1:22" ht="12" hidden="1" x14ac:dyDescent="0.25">
      <c r="A185" s="94">
        <v>183</v>
      </c>
      <c r="B185" s="94" t="s">
        <v>46</v>
      </c>
      <c r="C185" s="94" t="s">
        <v>47</v>
      </c>
      <c r="D185" s="94" t="s">
        <v>47</v>
      </c>
      <c r="E185" s="94" t="s">
        <v>254</v>
      </c>
      <c r="F185" s="94" t="s">
        <v>18</v>
      </c>
      <c r="G185" s="94">
        <v>2025</v>
      </c>
      <c r="H185" s="94">
        <v>-1</v>
      </c>
      <c r="I185" s="95"/>
      <c r="J185" s="96"/>
      <c r="K185" s="94">
        <v>1</v>
      </c>
      <c r="L185" s="117">
        <v>45713</v>
      </c>
      <c r="M185" s="94">
        <v>1</v>
      </c>
      <c r="N185" s="97">
        <v>112506</v>
      </c>
      <c r="O185" s="126">
        <v>306</v>
      </c>
      <c r="P185" s="127">
        <v>45804</v>
      </c>
      <c r="Q185" s="94">
        <v>1</v>
      </c>
      <c r="R185" s="97">
        <v>107174</v>
      </c>
      <c r="S185" s="94">
        <v>1</v>
      </c>
      <c r="T185" s="128">
        <v>45812</v>
      </c>
      <c r="U185" s="97">
        <v>101815.29999999999</v>
      </c>
    </row>
    <row r="186" spans="1:22" ht="12" hidden="1" x14ac:dyDescent="0.25">
      <c r="A186" s="94">
        <v>184</v>
      </c>
      <c r="B186" s="94" t="s">
        <v>48</v>
      </c>
      <c r="C186" s="94" t="s">
        <v>49</v>
      </c>
      <c r="D186" s="94" t="s">
        <v>49</v>
      </c>
      <c r="E186" s="94" t="s">
        <v>254</v>
      </c>
      <c r="F186" s="94" t="s">
        <v>18</v>
      </c>
      <c r="G186" s="94">
        <v>2024</v>
      </c>
      <c r="H186" s="94">
        <v>-1</v>
      </c>
      <c r="I186" s="95"/>
      <c r="J186" s="96"/>
      <c r="K186" s="94">
        <v>1</v>
      </c>
      <c r="L186" s="117">
        <v>45531</v>
      </c>
      <c r="M186" s="94">
        <v>1</v>
      </c>
      <c r="N186" s="97">
        <v>7706</v>
      </c>
      <c r="O186" s="126">
        <v>211</v>
      </c>
      <c r="P186" s="127">
        <v>45546</v>
      </c>
      <c r="Q186" s="94">
        <v>1</v>
      </c>
      <c r="R186" s="97">
        <v>7706</v>
      </c>
      <c r="S186" s="94">
        <v>1</v>
      </c>
      <c r="T186" s="128">
        <v>45576</v>
      </c>
      <c r="U186" s="97">
        <v>7320.7</v>
      </c>
    </row>
    <row r="187" spans="1:22" ht="12" hidden="1" x14ac:dyDescent="0.25">
      <c r="A187" s="94">
        <v>185</v>
      </c>
      <c r="B187" s="94" t="s">
        <v>48</v>
      </c>
      <c r="C187" s="94" t="s">
        <v>49</v>
      </c>
      <c r="D187" s="94" t="s">
        <v>49</v>
      </c>
      <c r="E187" s="94" t="s">
        <v>254</v>
      </c>
      <c r="F187" s="94" t="s">
        <v>18</v>
      </c>
      <c r="G187" s="94">
        <v>2024</v>
      </c>
      <c r="H187" s="94">
        <v>-1</v>
      </c>
      <c r="I187" s="95"/>
      <c r="J187" s="96"/>
      <c r="K187" s="94">
        <v>1</v>
      </c>
      <c r="L187" s="117">
        <v>45560</v>
      </c>
      <c r="M187" s="94">
        <v>2</v>
      </c>
      <c r="N187" s="97">
        <v>4603</v>
      </c>
      <c r="O187" s="126">
        <v>223</v>
      </c>
      <c r="P187" s="127">
        <v>45575</v>
      </c>
      <c r="Q187" s="94">
        <v>1</v>
      </c>
      <c r="R187" s="97">
        <v>4603</v>
      </c>
      <c r="S187" s="94">
        <v>1</v>
      </c>
      <c r="T187" s="128">
        <v>45583</v>
      </c>
      <c r="U187" s="97">
        <v>4372.8499999999995</v>
      </c>
    </row>
    <row r="188" spans="1:22" ht="12" hidden="1" x14ac:dyDescent="0.25">
      <c r="A188" s="94">
        <v>186</v>
      </c>
      <c r="B188" s="94" t="s">
        <v>48</v>
      </c>
      <c r="C188" s="94" t="s">
        <v>49</v>
      </c>
      <c r="D188" s="94" t="s">
        <v>49</v>
      </c>
      <c r="E188" s="94" t="s">
        <v>254</v>
      </c>
      <c r="F188" s="94" t="s">
        <v>18</v>
      </c>
      <c r="G188" s="94">
        <v>2024</v>
      </c>
      <c r="H188" s="94">
        <v>-1</v>
      </c>
      <c r="I188" s="95"/>
      <c r="J188" s="96"/>
      <c r="K188" s="94">
        <v>1</v>
      </c>
      <c r="L188" s="117">
        <v>45588</v>
      </c>
      <c r="M188" s="94">
        <v>3</v>
      </c>
      <c r="N188" s="97">
        <v>3705</v>
      </c>
      <c r="O188" s="139">
        <v>234</v>
      </c>
      <c r="P188" s="127">
        <v>45604</v>
      </c>
      <c r="Q188" s="94">
        <v>1</v>
      </c>
      <c r="R188" s="97">
        <v>3705</v>
      </c>
      <c r="S188" s="94">
        <v>1</v>
      </c>
      <c r="T188" s="128">
        <v>45616</v>
      </c>
      <c r="U188" s="108">
        <v>3519.75</v>
      </c>
    </row>
    <row r="189" spans="1:22" ht="12" hidden="1" x14ac:dyDescent="0.25">
      <c r="A189" s="94">
        <v>187</v>
      </c>
      <c r="B189" s="94" t="s">
        <v>48</v>
      </c>
      <c r="C189" s="94" t="s">
        <v>49</v>
      </c>
      <c r="D189" s="94" t="s">
        <v>49</v>
      </c>
      <c r="E189" s="94" t="s">
        <v>254</v>
      </c>
      <c r="F189" s="94" t="s">
        <v>18</v>
      </c>
      <c r="G189" s="94">
        <v>2024</v>
      </c>
      <c r="H189" s="94">
        <v>-1</v>
      </c>
      <c r="I189" s="95"/>
      <c r="J189" s="96"/>
      <c r="K189" s="94">
        <v>1</v>
      </c>
      <c r="L189" s="117">
        <v>45619</v>
      </c>
      <c r="M189" s="94">
        <v>4</v>
      </c>
      <c r="N189" s="97">
        <v>4392</v>
      </c>
      <c r="O189" s="126">
        <v>243</v>
      </c>
      <c r="P189" s="127">
        <v>45631</v>
      </c>
      <c r="Q189" s="94">
        <v>1</v>
      </c>
      <c r="R189" s="97">
        <v>4392</v>
      </c>
      <c r="S189" s="94">
        <v>1</v>
      </c>
      <c r="T189" s="128">
        <v>45644</v>
      </c>
      <c r="U189" s="97">
        <v>4172.3999999999996</v>
      </c>
    </row>
    <row r="190" spans="1:22" ht="12" hidden="1" customHeight="1" x14ac:dyDescent="0.25">
      <c r="A190" s="94">
        <v>188</v>
      </c>
      <c r="B190" s="94" t="s">
        <v>48</v>
      </c>
      <c r="C190" s="94" t="s">
        <v>49</v>
      </c>
      <c r="D190" s="94" t="s">
        <v>49</v>
      </c>
      <c r="E190" s="94" t="s">
        <v>254</v>
      </c>
      <c r="F190" s="94" t="s">
        <v>18</v>
      </c>
      <c r="G190" s="94">
        <v>2024</v>
      </c>
      <c r="H190" s="94">
        <v>-1</v>
      </c>
      <c r="I190" s="95"/>
      <c r="J190" s="96"/>
      <c r="K190" s="94">
        <v>1</v>
      </c>
      <c r="L190" s="117">
        <v>45649</v>
      </c>
      <c r="M190" s="94">
        <v>5</v>
      </c>
      <c r="N190" s="97">
        <v>34732</v>
      </c>
      <c r="O190" s="126">
        <v>265</v>
      </c>
      <c r="P190" s="127">
        <v>45712</v>
      </c>
      <c r="Q190" s="94">
        <v>1</v>
      </c>
      <c r="R190" s="97">
        <v>34732</v>
      </c>
      <c r="S190" s="94">
        <v>1</v>
      </c>
      <c r="T190" s="128">
        <v>45716</v>
      </c>
      <c r="U190" s="97">
        <v>34239.326580000001</v>
      </c>
    </row>
    <row r="191" spans="1:22" ht="12" hidden="1" x14ac:dyDescent="0.25">
      <c r="A191" s="94">
        <v>189</v>
      </c>
      <c r="B191" s="94" t="s">
        <v>48</v>
      </c>
      <c r="C191" s="94" t="s">
        <v>49</v>
      </c>
      <c r="D191" s="94" t="s">
        <v>49</v>
      </c>
      <c r="E191" s="94" t="s">
        <v>254</v>
      </c>
      <c r="F191" s="94" t="s">
        <v>18</v>
      </c>
      <c r="G191" s="94">
        <v>2025</v>
      </c>
      <c r="H191" s="94">
        <v>-1</v>
      </c>
      <c r="I191" s="95"/>
      <c r="J191" s="96"/>
      <c r="K191" s="94">
        <v>1</v>
      </c>
      <c r="L191" s="117">
        <v>45681</v>
      </c>
      <c r="M191" s="94">
        <v>6</v>
      </c>
      <c r="N191" s="97">
        <v>8755</v>
      </c>
      <c r="O191" s="126">
        <v>301</v>
      </c>
      <c r="P191" s="127">
        <v>45789</v>
      </c>
      <c r="Q191" s="94">
        <v>1</v>
      </c>
      <c r="R191" s="97">
        <v>12346</v>
      </c>
      <c r="S191" s="94">
        <v>1</v>
      </c>
      <c r="T191" s="128">
        <v>45805</v>
      </c>
      <c r="U191" s="145">
        <v>11728.699999999999</v>
      </c>
    </row>
    <row r="192" spans="1:22" ht="12" hidden="1" x14ac:dyDescent="0.25">
      <c r="A192" s="94">
        <v>190</v>
      </c>
      <c r="B192" s="94" t="s">
        <v>48</v>
      </c>
      <c r="C192" s="94" t="s">
        <v>49</v>
      </c>
      <c r="D192" s="94" t="s">
        <v>49</v>
      </c>
      <c r="E192" s="94" t="s">
        <v>254</v>
      </c>
      <c r="F192" s="94" t="s">
        <v>18</v>
      </c>
      <c r="G192" s="94">
        <v>2025</v>
      </c>
      <c r="H192" s="94">
        <v>-1</v>
      </c>
      <c r="I192" s="95"/>
      <c r="J192" s="96"/>
      <c r="K192" s="94">
        <v>1</v>
      </c>
      <c r="L192" s="117">
        <v>45741</v>
      </c>
      <c r="M192" s="94">
        <v>7</v>
      </c>
      <c r="N192" s="97">
        <v>14746</v>
      </c>
      <c r="O192" s="126">
        <v>313</v>
      </c>
      <c r="P192" s="127">
        <v>45824</v>
      </c>
      <c r="Q192" s="94">
        <v>1</v>
      </c>
      <c r="R192" s="97">
        <v>14746</v>
      </c>
      <c r="S192" s="94">
        <v>1</v>
      </c>
      <c r="T192" s="128">
        <v>45849</v>
      </c>
      <c r="U192" s="97">
        <v>14008.699999999999</v>
      </c>
    </row>
    <row r="193" spans="1:24" ht="12" hidden="1" x14ac:dyDescent="0.25">
      <c r="A193" s="94">
        <v>191</v>
      </c>
      <c r="B193" s="94" t="s">
        <v>48</v>
      </c>
      <c r="C193" s="94" t="s">
        <v>49</v>
      </c>
      <c r="D193" s="94" t="s">
        <v>49</v>
      </c>
      <c r="E193" s="94" t="s">
        <v>254</v>
      </c>
      <c r="F193" s="94" t="s">
        <v>18</v>
      </c>
      <c r="G193" s="94">
        <v>2025</v>
      </c>
      <c r="H193" s="94">
        <v>-1</v>
      </c>
      <c r="I193" s="95"/>
      <c r="J193" s="96"/>
      <c r="K193" s="94">
        <v>1</v>
      </c>
      <c r="L193" s="117">
        <v>45869</v>
      </c>
      <c r="M193" s="94">
        <v>1</v>
      </c>
      <c r="N193" s="97">
        <v>34306</v>
      </c>
      <c r="O193" s="126">
        <v>346</v>
      </c>
      <c r="P193" s="127">
        <v>45933</v>
      </c>
      <c r="Q193" s="94">
        <v>1</v>
      </c>
      <c r="R193" s="97">
        <v>34306</v>
      </c>
      <c r="S193" s="94">
        <v>1</v>
      </c>
      <c r="T193" s="128">
        <v>45945</v>
      </c>
      <c r="U193" s="97">
        <v>32590.699999999997</v>
      </c>
    </row>
    <row r="194" spans="1:24" ht="12" hidden="1" x14ac:dyDescent="0.25">
      <c r="A194" s="94">
        <v>192</v>
      </c>
      <c r="B194" s="94" t="s">
        <v>50</v>
      </c>
      <c r="C194" s="94" t="s">
        <v>51</v>
      </c>
      <c r="D194" s="94" t="s">
        <v>51</v>
      </c>
      <c r="E194" s="94" t="s">
        <v>254</v>
      </c>
      <c r="F194" s="94" t="s">
        <v>18</v>
      </c>
      <c r="G194" s="94">
        <v>2024</v>
      </c>
      <c r="H194" s="94">
        <v>-1</v>
      </c>
      <c r="I194" s="95"/>
      <c r="J194" s="96"/>
      <c r="K194" s="94">
        <v>1</v>
      </c>
      <c r="L194" s="117">
        <v>45498</v>
      </c>
      <c r="M194" s="94">
        <v>1</v>
      </c>
      <c r="N194" s="97">
        <v>135485</v>
      </c>
      <c r="O194" s="126">
        <v>208</v>
      </c>
      <c r="P194" s="127">
        <v>45531</v>
      </c>
      <c r="Q194" s="94">
        <v>1</v>
      </c>
      <c r="R194" s="97">
        <v>141357</v>
      </c>
      <c r="S194" s="94">
        <v>1</v>
      </c>
      <c r="T194" s="128">
        <v>45562</v>
      </c>
      <c r="U194" s="97">
        <v>141357</v>
      </c>
    </row>
    <row r="195" spans="1:24" ht="12" hidden="1" x14ac:dyDescent="0.25">
      <c r="A195" s="94">
        <v>193</v>
      </c>
      <c r="B195" s="94" t="s">
        <v>50</v>
      </c>
      <c r="C195" s="94" t="s">
        <v>51</v>
      </c>
      <c r="D195" s="94" t="s">
        <v>51</v>
      </c>
      <c r="E195" s="94" t="s">
        <v>254</v>
      </c>
      <c r="F195" s="94" t="s">
        <v>18</v>
      </c>
      <c r="G195" s="94">
        <v>2025</v>
      </c>
      <c r="H195" s="94">
        <v>-1</v>
      </c>
      <c r="I195" s="95"/>
      <c r="J195" s="96"/>
      <c r="K195" s="94">
        <v>1</v>
      </c>
      <c r="L195" s="117">
        <v>45807</v>
      </c>
      <c r="M195" s="94">
        <v>1</v>
      </c>
      <c r="N195" s="136">
        <v>32097</v>
      </c>
      <c r="O195" s="126">
        <v>309</v>
      </c>
      <c r="P195" s="127">
        <v>45811</v>
      </c>
      <c r="Q195" s="94">
        <v>1</v>
      </c>
      <c r="R195" s="97">
        <v>32097</v>
      </c>
      <c r="S195" s="94">
        <v>1</v>
      </c>
      <c r="T195" s="128">
        <v>45826</v>
      </c>
      <c r="U195" s="97">
        <v>32097</v>
      </c>
    </row>
    <row r="196" spans="1:24" ht="12" hidden="1" x14ac:dyDescent="0.25">
      <c r="A196" s="94">
        <v>194</v>
      </c>
      <c r="B196" s="94" t="s">
        <v>50</v>
      </c>
      <c r="C196" s="94" t="s">
        <v>51</v>
      </c>
      <c r="D196" s="94" t="s">
        <v>51</v>
      </c>
      <c r="E196" s="94" t="s">
        <v>254</v>
      </c>
      <c r="F196" s="94" t="s">
        <v>18</v>
      </c>
      <c r="G196" s="94">
        <v>2025</v>
      </c>
      <c r="H196" s="94">
        <v>-1</v>
      </c>
      <c r="I196" s="95"/>
      <c r="J196" s="96"/>
      <c r="K196" s="94">
        <v>1</v>
      </c>
      <c r="L196" s="117">
        <v>45807</v>
      </c>
      <c r="M196" s="94">
        <v>1</v>
      </c>
      <c r="N196" s="97">
        <v>15398</v>
      </c>
      <c r="O196" s="126">
        <v>308</v>
      </c>
      <c r="P196" s="127">
        <v>45811</v>
      </c>
      <c r="Q196" s="94">
        <v>1</v>
      </c>
      <c r="R196" s="97">
        <v>15398</v>
      </c>
      <c r="S196" s="94">
        <v>1</v>
      </c>
      <c r="T196" s="128">
        <v>45826</v>
      </c>
      <c r="U196" s="97">
        <v>15398</v>
      </c>
    </row>
    <row r="197" spans="1:24" ht="12" hidden="1" x14ac:dyDescent="0.25">
      <c r="A197" s="94">
        <v>195</v>
      </c>
      <c r="B197" s="94" t="s">
        <v>50</v>
      </c>
      <c r="C197" s="94" t="s">
        <v>51</v>
      </c>
      <c r="D197" s="94" t="s">
        <v>51</v>
      </c>
      <c r="E197" s="94" t="s">
        <v>254</v>
      </c>
      <c r="F197" s="94" t="s">
        <v>18</v>
      </c>
      <c r="G197" s="94">
        <v>2024</v>
      </c>
      <c r="H197" s="94">
        <v>-1</v>
      </c>
      <c r="I197" s="95"/>
      <c r="J197" s="96"/>
      <c r="K197" s="94">
        <v>1</v>
      </c>
      <c r="L197" s="117">
        <v>45531</v>
      </c>
      <c r="M197" s="94">
        <v>2</v>
      </c>
      <c r="N197" s="97">
        <v>237714</v>
      </c>
      <c r="O197" s="126">
        <v>214</v>
      </c>
      <c r="P197" s="143">
        <v>45547</v>
      </c>
      <c r="Q197" s="94">
        <v>1</v>
      </c>
      <c r="R197" s="97">
        <v>229439.04116848976</v>
      </c>
      <c r="S197" s="94">
        <v>1</v>
      </c>
      <c r="T197" s="128">
        <v>45576</v>
      </c>
      <c r="U197" s="122">
        <v>229439</v>
      </c>
    </row>
    <row r="198" spans="1:24" ht="12" hidden="1" x14ac:dyDescent="0.25">
      <c r="A198" s="94">
        <v>196</v>
      </c>
      <c r="B198" s="94" t="s">
        <v>50</v>
      </c>
      <c r="C198" s="94" t="s">
        <v>51</v>
      </c>
      <c r="D198" s="94" t="s">
        <v>51</v>
      </c>
      <c r="E198" s="94" t="s">
        <v>254</v>
      </c>
      <c r="F198" s="94" t="s">
        <v>18</v>
      </c>
      <c r="G198" s="94">
        <v>2024</v>
      </c>
      <c r="H198" s="94">
        <v>-1</v>
      </c>
      <c r="I198" s="95"/>
      <c r="J198" s="96"/>
      <c r="K198" s="94">
        <v>1</v>
      </c>
      <c r="L198" s="117">
        <v>45562</v>
      </c>
      <c r="M198" s="94">
        <v>3</v>
      </c>
      <c r="N198" s="97">
        <v>108299</v>
      </c>
      <c r="O198" s="126">
        <v>228</v>
      </c>
      <c r="P198" s="127">
        <v>45588</v>
      </c>
      <c r="Q198" s="94">
        <v>1</v>
      </c>
      <c r="R198" s="97">
        <v>108299</v>
      </c>
      <c r="S198" s="94">
        <v>1</v>
      </c>
      <c r="T198" s="128">
        <v>45618</v>
      </c>
      <c r="U198" s="108">
        <v>108299</v>
      </c>
    </row>
    <row r="199" spans="1:24" ht="12" hidden="1" x14ac:dyDescent="0.25">
      <c r="A199" s="94">
        <v>197</v>
      </c>
      <c r="B199" s="94" t="s">
        <v>50</v>
      </c>
      <c r="C199" s="94" t="s">
        <v>51</v>
      </c>
      <c r="D199" s="94" t="s">
        <v>51</v>
      </c>
      <c r="E199" s="94" t="s">
        <v>254</v>
      </c>
      <c r="F199" s="94" t="s">
        <v>18</v>
      </c>
      <c r="G199" s="94">
        <v>2024</v>
      </c>
      <c r="H199" s="94">
        <v>-1</v>
      </c>
      <c r="I199" s="95"/>
      <c r="J199" s="96"/>
      <c r="K199" s="94">
        <v>1</v>
      </c>
      <c r="L199" s="117">
        <v>45589</v>
      </c>
      <c r="M199" s="94">
        <v>4</v>
      </c>
      <c r="N199" s="97">
        <v>86735</v>
      </c>
      <c r="O199" s="139">
        <v>237</v>
      </c>
      <c r="P199" s="127">
        <v>45623</v>
      </c>
      <c r="Q199" s="94">
        <v>1</v>
      </c>
      <c r="R199" s="97">
        <v>86735</v>
      </c>
      <c r="S199" s="94">
        <v>1</v>
      </c>
      <c r="T199" s="128">
        <v>45660</v>
      </c>
      <c r="U199" s="108">
        <v>90004.909500000009</v>
      </c>
      <c r="X199" s="94">
        <f>+Tabla13[[#This Row],[Facturado USD]]*0.95</f>
        <v>82398.25</v>
      </c>
    </row>
    <row r="200" spans="1:24" ht="12" hidden="1" x14ac:dyDescent="0.25">
      <c r="A200" s="94">
        <v>198</v>
      </c>
      <c r="B200" s="94" t="s">
        <v>50</v>
      </c>
      <c r="C200" s="94" t="s">
        <v>51</v>
      </c>
      <c r="D200" s="94" t="s">
        <v>51</v>
      </c>
      <c r="E200" s="94" t="s">
        <v>254</v>
      </c>
      <c r="F200" s="94" t="s">
        <v>18</v>
      </c>
      <c r="G200" s="94">
        <v>2024</v>
      </c>
      <c r="H200" s="94">
        <v>-1</v>
      </c>
      <c r="I200" s="95"/>
      <c r="J200" s="96"/>
      <c r="K200" s="94">
        <v>1</v>
      </c>
      <c r="L200" s="117">
        <v>45620</v>
      </c>
      <c r="M200" s="94">
        <v>5</v>
      </c>
      <c r="N200" s="97">
        <v>81962</v>
      </c>
      <c r="O200" s="126">
        <v>245</v>
      </c>
      <c r="P200" s="127">
        <v>45650</v>
      </c>
      <c r="Q200" s="94">
        <v>1</v>
      </c>
      <c r="R200" s="97">
        <v>81962</v>
      </c>
      <c r="S200" s="94">
        <v>1</v>
      </c>
      <c r="T200" s="128">
        <v>45679</v>
      </c>
      <c r="U200" s="108">
        <v>85051.967400000009</v>
      </c>
    </row>
    <row r="201" spans="1:24" ht="12" hidden="1" x14ac:dyDescent="0.25">
      <c r="A201" s="94">
        <v>199</v>
      </c>
      <c r="B201" s="94" t="s">
        <v>50</v>
      </c>
      <c r="C201" s="94" t="s">
        <v>51</v>
      </c>
      <c r="D201" s="94" t="s">
        <v>51</v>
      </c>
      <c r="E201" s="94" t="s">
        <v>254</v>
      </c>
      <c r="F201" s="94" t="s">
        <v>18</v>
      </c>
      <c r="G201" s="94">
        <v>2024</v>
      </c>
      <c r="H201" s="94">
        <v>-1</v>
      </c>
      <c r="I201" s="95"/>
      <c r="J201" s="96"/>
      <c r="K201" s="94">
        <v>1</v>
      </c>
      <c r="L201" s="117">
        <v>45652</v>
      </c>
      <c r="M201" s="94">
        <v>6</v>
      </c>
      <c r="N201" s="97">
        <v>118872.36</v>
      </c>
      <c r="O201" s="126">
        <v>252</v>
      </c>
      <c r="P201" s="127">
        <v>45667</v>
      </c>
      <c r="Q201" s="94">
        <v>1</v>
      </c>
      <c r="R201" s="97">
        <v>118872</v>
      </c>
      <c r="S201" s="94">
        <v>1</v>
      </c>
      <c r="T201" s="128">
        <v>45700</v>
      </c>
      <c r="U201" s="97">
        <v>127900.67580000001</v>
      </c>
    </row>
    <row r="202" spans="1:24" ht="12" hidden="1" customHeight="1" x14ac:dyDescent="0.25">
      <c r="A202" s="94">
        <v>200</v>
      </c>
      <c r="B202" s="94" t="s">
        <v>50</v>
      </c>
      <c r="C202" s="94" t="s">
        <v>51</v>
      </c>
      <c r="D202" s="94" t="s">
        <v>51</v>
      </c>
      <c r="E202" s="94" t="s">
        <v>254</v>
      </c>
      <c r="F202" s="94" t="s">
        <v>18</v>
      </c>
      <c r="G202" s="94">
        <v>2025</v>
      </c>
      <c r="H202" s="94">
        <v>-1</v>
      </c>
      <c r="I202" s="95"/>
      <c r="J202" s="96"/>
      <c r="K202" s="94">
        <v>1</v>
      </c>
      <c r="L202" s="117">
        <v>45660</v>
      </c>
      <c r="M202" s="94">
        <v>7</v>
      </c>
      <c r="N202" s="97">
        <v>31918</v>
      </c>
      <c r="O202" s="126">
        <v>264</v>
      </c>
      <c r="P202" s="127">
        <v>45712</v>
      </c>
      <c r="Q202" s="94">
        <v>1</v>
      </c>
      <c r="R202" s="97">
        <v>46484</v>
      </c>
      <c r="S202" s="94">
        <v>1</v>
      </c>
      <c r="T202" s="128">
        <v>45742</v>
      </c>
      <c r="U202" s="97">
        <v>48236.446800000005</v>
      </c>
    </row>
    <row r="203" spans="1:24" ht="12" hidden="1" x14ac:dyDescent="0.25">
      <c r="A203" s="94">
        <v>201</v>
      </c>
      <c r="B203" s="94" t="s">
        <v>50</v>
      </c>
      <c r="C203" s="94" t="s">
        <v>51</v>
      </c>
      <c r="D203" s="94" t="s">
        <v>51</v>
      </c>
      <c r="E203" s="94" t="s">
        <v>254</v>
      </c>
      <c r="F203" s="94" t="s">
        <v>18</v>
      </c>
      <c r="G203" s="94">
        <v>2025</v>
      </c>
      <c r="H203" s="94">
        <v>-1</v>
      </c>
      <c r="I203" s="95"/>
      <c r="J203" s="142"/>
      <c r="K203" s="94">
        <v>1</v>
      </c>
      <c r="L203" s="117">
        <v>45713</v>
      </c>
      <c r="M203" s="94">
        <v>8</v>
      </c>
      <c r="N203" s="97">
        <v>41744</v>
      </c>
      <c r="O203" s="126">
        <v>279</v>
      </c>
      <c r="P203" s="127">
        <v>45736</v>
      </c>
      <c r="Q203" s="94">
        <v>1</v>
      </c>
      <c r="R203" s="97">
        <v>42469</v>
      </c>
      <c r="S203" s="94">
        <v>1</v>
      </c>
      <c r="T203" s="128">
        <v>45763</v>
      </c>
      <c r="U203" s="97">
        <v>41744</v>
      </c>
    </row>
    <row r="204" spans="1:24" ht="12" hidden="1" x14ac:dyDescent="0.25">
      <c r="A204" s="94">
        <v>202</v>
      </c>
      <c r="B204" s="94" t="s">
        <v>50</v>
      </c>
      <c r="C204" s="94" t="s">
        <v>51</v>
      </c>
      <c r="D204" s="94" t="s">
        <v>51</v>
      </c>
      <c r="E204" s="94" t="s">
        <v>254</v>
      </c>
      <c r="F204" s="94" t="s">
        <v>18</v>
      </c>
      <c r="G204" s="94">
        <v>2025</v>
      </c>
      <c r="H204" s="94">
        <v>-1</v>
      </c>
      <c r="I204" s="95"/>
      <c r="J204" s="142"/>
      <c r="K204" s="94">
        <v>1</v>
      </c>
      <c r="L204" s="117">
        <v>45966</v>
      </c>
      <c r="M204" s="94" t="s">
        <v>680</v>
      </c>
      <c r="N204" s="97">
        <v>21494</v>
      </c>
      <c r="O204" s="126">
        <v>359</v>
      </c>
      <c r="P204" s="127">
        <v>45966</v>
      </c>
      <c r="Q204" s="94">
        <v>1</v>
      </c>
      <c r="R204" s="97">
        <v>21494</v>
      </c>
      <c r="S204" s="94">
        <v>1</v>
      </c>
      <c r="T204" s="128">
        <v>45975</v>
      </c>
      <c r="U204" s="97">
        <v>21494</v>
      </c>
    </row>
    <row r="205" spans="1:24" ht="12" hidden="1" customHeight="1" x14ac:dyDescent="0.25">
      <c r="A205" s="94">
        <v>203</v>
      </c>
      <c r="B205" s="94" t="s">
        <v>69</v>
      </c>
      <c r="C205" s="94" t="s">
        <v>110</v>
      </c>
      <c r="D205" s="94" t="s">
        <v>330</v>
      </c>
      <c r="E205" s="94" t="s">
        <v>254</v>
      </c>
      <c r="F205" s="94" t="s">
        <v>18</v>
      </c>
      <c r="G205" s="94">
        <v>2024</v>
      </c>
      <c r="H205" s="94">
        <v>1</v>
      </c>
      <c r="I205" s="95">
        <v>45292</v>
      </c>
      <c r="J205" s="142">
        <v>29620</v>
      </c>
      <c r="K205" s="94">
        <v>1</v>
      </c>
      <c r="L205" s="117">
        <v>45316</v>
      </c>
      <c r="M205" s="94">
        <v>1</v>
      </c>
      <c r="N205" s="137">
        <v>61461</v>
      </c>
      <c r="O205" s="126">
        <v>163</v>
      </c>
      <c r="P205" s="127">
        <v>45342</v>
      </c>
      <c r="Q205" s="94">
        <v>1</v>
      </c>
      <c r="R205" s="97">
        <v>61461</v>
      </c>
      <c r="S205" s="94">
        <v>1</v>
      </c>
      <c r="T205" s="128">
        <v>45364</v>
      </c>
      <c r="U205" s="136">
        <v>57556</v>
      </c>
    </row>
    <row r="206" spans="1:24" ht="12" hidden="1" x14ac:dyDescent="0.25">
      <c r="A206" s="94">
        <v>204</v>
      </c>
      <c r="B206" s="94" t="s">
        <v>69</v>
      </c>
      <c r="C206" s="94" t="s">
        <v>110</v>
      </c>
      <c r="D206" s="118" t="s">
        <v>330</v>
      </c>
      <c r="E206" s="94" t="s">
        <v>254</v>
      </c>
      <c r="F206" s="94" t="s">
        <v>18</v>
      </c>
      <c r="G206" s="94">
        <v>2024</v>
      </c>
      <c r="H206" s="94">
        <v>1</v>
      </c>
      <c r="I206" s="95">
        <v>45323</v>
      </c>
      <c r="J206" s="96">
        <v>80000</v>
      </c>
      <c r="K206" s="94">
        <v>1</v>
      </c>
      <c r="L206" s="117">
        <v>45347</v>
      </c>
      <c r="M206" s="94">
        <v>2</v>
      </c>
      <c r="N206" s="97">
        <v>61831</v>
      </c>
      <c r="O206" s="126">
        <v>169</v>
      </c>
      <c r="P206" s="127">
        <v>45355</v>
      </c>
      <c r="Q206" s="94">
        <v>1</v>
      </c>
      <c r="R206" s="97">
        <v>61831</v>
      </c>
      <c r="S206" s="94">
        <v>1</v>
      </c>
      <c r="T206" s="128">
        <v>45364</v>
      </c>
      <c r="U206" s="136">
        <v>57902.441384438243</v>
      </c>
    </row>
    <row r="207" spans="1:24" ht="12" hidden="1" x14ac:dyDescent="0.25">
      <c r="A207" s="94">
        <v>205</v>
      </c>
      <c r="B207" s="94" t="s">
        <v>69</v>
      </c>
      <c r="C207" s="94" t="s">
        <v>110</v>
      </c>
      <c r="D207" s="94" t="s">
        <v>330</v>
      </c>
      <c r="E207" s="94" t="s">
        <v>254</v>
      </c>
      <c r="F207" s="94" t="s">
        <v>18</v>
      </c>
      <c r="G207" s="94">
        <v>2024</v>
      </c>
      <c r="H207" s="94">
        <v>1</v>
      </c>
      <c r="I207" s="95">
        <v>45352</v>
      </c>
      <c r="J207" s="96">
        <v>80000</v>
      </c>
      <c r="K207" s="94">
        <v>1</v>
      </c>
      <c r="L207" s="117">
        <v>45376</v>
      </c>
      <c r="M207" s="94">
        <v>3</v>
      </c>
      <c r="N207" s="97">
        <v>61641</v>
      </c>
      <c r="O207" s="126">
        <v>176</v>
      </c>
      <c r="P207" s="127">
        <v>45390</v>
      </c>
      <c r="Q207" s="94">
        <v>1</v>
      </c>
      <c r="R207" s="97">
        <v>61641</v>
      </c>
      <c r="S207" s="94">
        <v>1</v>
      </c>
      <c r="T207" s="128">
        <v>45441</v>
      </c>
      <c r="U207" s="97">
        <v>61641</v>
      </c>
    </row>
    <row r="208" spans="1:24" ht="12" hidden="1" x14ac:dyDescent="0.25">
      <c r="A208" s="94">
        <v>206</v>
      </c>
      <c r="B208" s="94" t="s">
        <v>69</v>
      </c>
      <c r="C208" s="94" t="s">
        <v>110</v>
      </c>
      <c r="D208" s="94" t="s">
        <v>330</v>
      </c>
      <c r="E208" s="94" t="s">
        <v>254</v>
      </c>
      <c r="F208" s="94" t="s">
        <v>18</v>
      </c>
      <c r="G208" s="94">
        <v>2024</v>
      </c>
      <c r="H208" s="94">
        <v>1</v>
      </c>
      <c r="I208" s="95">
        <v>45383</v>
      </c>
      <c r="J208" s="96">
        <v>6872</v>
      </c>
      <c r="K208" s="94">
        <v>1</v>
      </c>
      <c r="L208" s="117">
        <v>45407</v>
      </c>
      <c r="M208" s="94">
        <v>4</v>
      </c>
      <c r="N208" s="97">
        <v>61831</v>
      </c>
      <c r="O208" s="126">
        <v>182</v>
      </c>
      <c r="P208" s="143">
        <v>45420</v>
      </c>
      <c r="Q208" s="94">
        <v>1</v>
      </c>
      <c r="R208" s="97">
        <v>61831</v>
      </c>
      <c r="S208" s="94">
        <v>1</v>
      </c>
      <c r="T208" s="128">
        <v>45441</v>
      </c>
      <c r="U208" s="122">
        <v>61831</v>
      </c>
    </row>
    <row r="209" spans="1:22" ht="12" hidden="1" x14ac:dyDescent="0.25">
      <c r="A209" s="94">
        <v>207</v>
      </c>
      <c r="B209" s="94" t="s">
        <v>69</v>
      </c>
      <c r="C209" s="94" t="s">
        <v>110</v>
      </c>
      <c r="D209" s="94" t="s">
        <v>330</v>
      </c>
      <c r="E209" s="94" t="s">
        <v>254</v>
      </c>
      <c r="F209" s="94" t="s">
        <v>18</v>
      </c>
      <c r="G209" s="94">
        <v>2024</v>
      </c>
      <c r="H209" s="94">
        <v>1</v>
      </c>
      <c r="I209" s="95">
        <v>45413</v>
      </c>
      <c r="J209" s="96">
        <v>61831</v>
      </c>
      <c r="K209" s="94">
        <v>1</v>
      </c>
      <c r="L209" s="117">
        <v>45440</v>
      </c>
      <c r="M209" s="94">
        <v>5</v>
      </c>
      <c r="N209" s="97">
        <v>34925.9</v>
      </c>
      <c r="O209" s="126">
        <v>192</v>
      </c>
      <c r="P209" s="143">
        <v>45456</v>
      </c>
      <c r="Q209" s="94">
        <v>1</v>
      </c>
      <c r="R209" s="97">
        <v>34926</v>
      </c>
      <c r="S209" s="94">
        <v>1</v>
      </c>
      <c r="T209" s="128">
        <v>45497</v>
      </c>
      <c r="U209" s="122">
        <v>34926</v>
      </c>
    </row>
    <row r="210" spans="1:22" ht="12" hidden="1" x14ac:dyDescent="0.25">
      <c r="A210" s="94">
        <v>208</v>
      </c>
      <c r="B210" s="94" t="s">
        <v>69</v>
      </c>
      <c r="C210" s="94" t="s">
        <v>110</v>
      </c>
      <c r="D210" s="94" t="s">
        <v>330</v>
      </c>
      <c r="E210" s="94" t="s">
        <v>254</v>
      </c>
      <c r="F210" s="94" t="s">
        <v>18</v>
      </c>
      <c r="G210" s="94">
        <v>2024</v>
      </c>
      <c r="H210" s="94">
        <v>-1</v>
      </c>
      <c r="I210" s="95"/>
      <c r="J210" s="96"/>
      <c r="K210" s="94">
        <v>1</v>
      </c>
      <c r="L210" s="117">
        <v>45530</v>
      </c>
      <c r="M210" s="94">
        <v>6</v>
      </c>
      <c r="N210" s="97">
        <v>60227</v>
      </c>
      <c r="O210" s="139">
        <v>231</v>
      </c>
      <c r="P210" s="127">
        <v>45588</v>
      </c>
      <c r="Q210" s="94">
        <v>1</v>
      </c>
      <c r="R210" s="97">
        <v>60804</v>
      </c>
      <c r="S210" s="94">
        <v>1</v>
      </c>
      <c r="T210" s="128">
        <v>45665</v>
      </c>
      <c r="U210" s="108">
        <v>63096.310800000007</v>
      </c>
    </row>
    <row r="211" spans="1:22" ht="12" hidden="1" x14ac:dyDescent="0.25">
      <c r="A211" s="94">
        <v>209</v>
      </c>
      <c r="B211" s="94" t="s">
        <v>69</v>
      </c>
      <c r="C211" s="94" t="s">
        <v>110</v>
      </c>
      <c r="D211" s="94" t="s">
        <v>330</v>
      </c>
      <c r="E211" s="94" t="s">
        <v>254</v>
      </c>
      <c r="F211" s="94" t="s">
        <v>18</v>
      </c>
      <c r="G211" s="94">
        <v>2024</v>
      </c>
      <c r="H211" s="94">
        <v>-1</v>
      </c>
      <c r="I211" s="95"/>
      <c r="J211" s="96"/>
      <c r="K211" s="94">
        <v>1</v>
      </c>
      <c r="L211" s="117">
        <v>45565</v>
      </c>
      <c r="M211" s="94">
        <v>7</v>
      </c>
      <c r="N211" s="97">
        <v>28407</v>
      </c>
      <c r="O211" s="140">
        <v>230</v>
      </c>
      <c r="P211" s="127">
        <v>45588</v>
      </c>
      <c r="Q211" s="94">
        <v>1</v>
      </c>
      <c r="R211" s="97">
        <v>28407</v>
      </c>
      <c r="S211" s="94">
        <v>1</v>
      </c>
      <c r="T211" s="128">
        <v>45665</v>
      </c>
      <c r="U211" s="97">
        <v>29477.943900000002</v>
      </c>
    </row>
    <row r="212" spans="1:22" ht="12" hidden="1" x14ac:dyDescent="0.25">
      <c r="A212" s="94">
        <v>210</v>
      </c>
      <c r="B212" s="94" t="s">
        <v>52</v>
      </c>
      <c r="C212" s="94" t="s">
        <v>53</v>
      </c>
      <c r="D212" s="94" t="s">
        <v>53</v>
      </c>
      <c r="E212" s="94" t="s">
        <v>331</v>
      </c>
      <c r="F212" s="94" t="s">
        <v>18</v>
      </c>
      <c r="G212" s="94">
        <v>2024</v>
      </c>
      <c r="H212" s="94">
        <v>-1</v>
      </c>
      <c r="I212" s="95"/>
      <c r="J212" s="96"/>
      <c r="K212" s="94">
        <v>1</v>
      </c>
      <c r="L212" s="117">
        <v>45649</v>
      </c>
      <c r="M212" s="94">
        <v>1</v>
      </c>
      <c r="N212" s="96">
        <v>23268</v>
      </c>
      <c r="O212" s="140">
        <v>255</v>
      </c>
      <c r="P212" s="127">
        <v>45667</v>
      </c>
      <c r="Q212" s="94">
        <v>1</v>
      </c>
      <c r="R212" s="97">
        <v>31715</v>
      </c>
      <c r="S212" s="94">
        <v>1</v>
      </c>
      <c r="T212" s="128">
        <v>45700</v>
      </c>
      <c r="U212" s="97">
        <v>32910.655500000001</v>
      </c>
    </row>
    <row r="213" spans="1:22" ht="12" hidden="1" x14ac:dyDescent="0.25">
      <c r="A213" s="94">
        <v>211</v>
      </c>
      <c r="B213" s="94" t="s">
        <v>52</v>
      </c>
      <c r="C213" s="94" t="s">
        <v>53</v>
      </c>
      <c r="D213" s="94" t="s">
        <v>53</v>
      </c>
      <c r="E213" s="94" t="s">
        <v>331</v>
      </c>
      <c r="F213" s="94" t="s">
        <v>18</v>
      </c>
      <c r="G213" s="94">
        <v>2025</v>
      </c>
      <c r="H213" s="94">
        <v>-1</v>
      </c>
      <c r="I213" s="95"/>
      <c r="J213" s="96"/>
      <c r="K213" s="94">
        <v>1</v>
      </c>
      <c r="L213" s="95">
        <v>45685</v>
      </c>
      <c r="M213" s="94">
        <v>2</v>
      </c>
      <c r="N213" s="97">
        <v>28753</v>
      </c>
      <c r="O213" s="126">
        <v>333</v>
      </c>
      <c r="P213" s="127">
        <v>45890</v>
      </c>
      <c r="Q213" s="94">
        <v>1</v>
      </c>
      <c r="R213" s="97">
        <v>28753</v>
      </c>
      <c r="S213" s="94">
        <v>1</v>
      </c>
      <c r="T213" s="128">
        <v>45917</v>
      </c>
      <c r="U213" s="97">
        <v>28753</v>
      </c>
    </row>
    <row r="214" spans="1:22" ht="12" hidden="1" x14ac:dyDescent="0.25">
      <c r="A214" s="94">
        <v>212</v>
      </c>
      <c r="B214" s="94" t="s">
        <v>52</v>
      </c>
      <c r="C214" s="94" t="s">
        <v>53</v>
      </c>
      <c r="D214" s="94" t="s">
        <v>53</v>
      </c>
      <c r="E214" s="94" t="s">
        <v>331</v>
      </c>
      <c r="F214" s="94" t="s">
        <v>18</v>
      </c>
      <c r="G214" s="94">
        <v>2025</v>
      </c>
      <c r="H214" s="94">
        <v>-1</v>
      </c>
      <c r="I214" s="95"/>
      <c r="J214" s="142"/>
      <c r="K214" s="94">
        <v>1</v>
      </c>
      <c r="L214" s="95">
        <v>45713</v>
      </c>
      <c r="M214" s="94">
        <v>3</v>
      </c>
      <c r="N214" s="97">
        <v>11360</v>
      </c>
      <c r="O214" s="126">
        <v>337</v>
      </c>
      <c r="P214" s="127">
        <v>45896</v>
      </c>
      <c r="Q214" s="94">
        <v>1</v>
      </c>
      <c r="R214" s="97">
        <v>11360</v>
      </c>
      <c r="S214" s="94">
        <v>1</v>
      </c>
      <c r="T214" s="128">
        <v>45926</v>
      </c>
      <c r="U214" s="136">
        <v>11360</v>
      </c>
    </row>
    <row r="215" spans="1:22" ht="12" hidden="1" x14ac:dyDescent="0.25">
      <c r="A215" s="94">
        <v>213</v>
      </c>
      <c r="B215" s="94" t="s">
        <v>332</v>
      </c>
      <c r="C215" s="94" t="s">
        <v>729</v>
      </c>
      <c r="D215" s="94" t="s">
        <v>333</v>
      </c>
      <c r="E215" s="94" t="s">
        <v>331</v>
      </c>
      <c r="F215" s="94" t="s">
        <v>18</v>
      </c>
      <c r="G215" s="94">
        <v>2023</v>
      </c>
      <c r="H215" s="94">
        <v>1</v>
      </c>
      <c r="I215" s="95">
        <v>45261</v>
      </c>
      <c r="J215" s="96">
        <v>21600</v>
      </c>
      <c r="K215" s="94">
        <v>1</v>
      </c>
      <c r="L215" s="95">
        <v>45281</v>
      </c>
      <c r="M215" s="94">
        <v>1</v>
      </c>
      <c r="N215" s="100">
        <v>29752</v>
      </c>
      <c r="O215" s="126">
        <v>168</v>
      </c>
      <c r="P215" s="127">
        <v>45348</v>
      </c>
      <c r="Q215" s="94">
        <v>1</v>
      </c>
      <c r="R215" s="97">
        <v>29752</v>
      </c>
      <c r="S215" s="94">
        <v>1</v>
      </c>
      <c r="T215" s="128">
        <v>45352</v>
      </c>
      <c r="U215" s="97">
        <v>27862</v>
      </c>
    </row>
    <row r="216" spans="1:22" ht="12" hidden="1" x14ac:dyDescent="0.25">
      <c r="A216" s="94">
        <v>214</v>
      </c>
      <c r="B216" s="94" t="s">
        <v>332</v>
      </c>
      <c r="C216" s="94" t="s">
        <v>729</v>
      </c>
      <c r="D216" s="94" t="s">
        <v>333</v>
      </c>
      <c r="E216" s="94" t="s">
        <v>331</v>
      </c>
      <c r="F216" s="94" t="s">
        <v>18</v>
      </c>
      <c r="G216" s="94">
        <v>2024</v>
      </c>
      <c r="H216" s="94">
        <v>1</v>
      </c>
      <c r="I216" s="95">
        <v>45323</v>
      </c>
      <c r="J216" s="96">
        <v>14600</v>
      </c>
      <c r="K216" s="94">
        <v>1</v>
      </c>
      <c r="L216" s="95">
        <v>45347</v>
      </c>
      <c r="M216" s="112">
        <v>2</v>
      </c>
      <c r="N216" s="97">
        <v>12534</v>
      </c>
      <c r="O216" s="126">
        <v>175</v>
      </c>
      <c r="P216" s="127">
        <v>45386</v>
      </c>
      <c r="Q216" s="94">
        <v>1</v>
      </c>
      <c r="R216" s="97">
        <v>12534</v>
      </c>
      <c r="S216" s="94">
        <v>1</v>
      </c>
      <c r="T216" s="128">
        <v>45417</v>
      </c>
      <c r="U216" s="97">
        <v>12534</v>
      </c>
    </row>
    <row r="217" spans="1:22" ht="12" hidden="1" x14ac:dyDescent="0.25">
      <c r="A217" s="94">
        <v>215</v>
      </c>
      <c r="B217" s="94" t="s">
        <v>332</v>
      </c>
      <c r="C217" s="94" t="s">
        <v>729</v>
      </c>
      <c r="D217" s="94" t="s">
        <v>333</v>
      </c>
      <c r="E217" s="94" t="s">
        <v>331</v>
      </c>
      <c r="F217" s="94" t="s">
        <v>18</v>
      </c>
      <c r="G217" s="94">
        <v>2024</v>
      </c>
      <c r="H217" s="94">
        <v>1</v>
      </c>
      <c r="I217" s="95">
        <v>45383</v>
      </c>
      <c r="J217" s="96">
        <v>26714</v>
      </c>
      <c r="K217" s="94">
        <v>1</v>
      </c>
      <c r="L217" s="95">
        <v>45498</v>
      </c>
      <c r="M217" s="94">
        <v>3</v>
      </c>
      <c r="N217" s="97">
        <v>13837</v>
      </c>
      <c r="O217" s="126">
        <v>218</v>
      </c>
      <c r="P217" s="127">
        <v>45561</v>
      </c>
      <c r="Q217" s="94">
        <v>1</v>
      </c>
      <c r="R217" s="97">
        <v>13837</v>
      </c>
      <c r="S217" s="94">
        <v>1</v>
      </c>
      <c r="T217" s="128">
        <v>45591</v>
      </c>
      <c r="U217" s="97">
        <v>13837</v>
      </c>
    </row>
    <row r="218" spans="1:22" ht="12" hidden="1" x14ac:dyDescent="0.25">
      <c r="A218" s="94">
        <v>216</v>
      </c>
      <c r="B218" s="94" t="s">
        <v>334</v>
      </c>
      <c r="C218" s="94" t="s">
        <v>335</v>
      </c>
      <c r="D218" s="94" t="s">
        <v>335</v>
      </c>
      <c r="E218" s="94" t="s">
        <v>331</v>
      </c>
      <c r="F218" s="94" t="s">
        <v>18</v>
      </c>
      <c r="G218" s="94">
        <v>2023</v>
      </c>
      <c r="H218" s="94">
        <v>1</v>
      </c>
      <c r="I218" s="95">
        <v>45231</v>
      </c>
      <c r="J218" s="142">
        <v>5000</v>
      </c>
      <c r="K218" s="94">
        <v>1</v>
      </c>
      <c r="L218" s="95">
        <v>45250</v>
      </c>
      <c r="M218" s="94">
        <v>1</v>
      </c>
      <c r="N218" s="97">
        <v>41755</v>
      </c>
      <c r="O218" s="126">
        <v>146</v>
      </c>
      <c r="P218" s="127">
        <v>45301</v>
      </c>
      <c r="Q218" s="94">
        <v>1</v>
      </c>
      <c r="R218" s="97">
        <v>41755</v>
      </c>
      <c r="S218" s="94">
        <v>1</v>
      </c>
      <c r="T218" s="128">
        <v>45331</v>
      </c>
      <c r="U218" s="97">
        <v>38832.15</v>
      </c>
      <c r="V218" s="94" t="s">
        <v>336</v>
      </c>
    </row>
    <row r="219" spans="1:22" ht="12" hidden="1" x14ac:dyDescent="0.25">
      <c r="A219" s="94">
        <v>217</v>
      </c>
      <c r="B219" s="94" t="s">
        <v>334</v>
      </c>
      <c r="C219" s="94" t="s">
        <v>335</v>
      </c>
      <c r="D219" s="94" t="s">
        <v>335</v>
      </c>
      <c r="E219" s="94" t="s">
        <v>331</v>
      </c>
      <c r="F219" s="94" t="s">
        <v>18</v>
      </c>
      <c r="G219" s="94">
        <v>2023</v>
      </c>
      <c r="H219" s="94">
        <v>1</v>
      </c>
      <c r="I219" s="95">
        <v>45261</v>
      </c>
      <c r="J219" s="96">
        <v>37700</v>
      </c>
      <c r="K219" s="94">
        <v>1</v>
      </c>
      <c r="L219" s="95">
        <v>45281</v>
      </c>
      <c r="M219" s="112">
        <v>2</v>
      </c>
      <c r="N219" s="97">
        <v>38092</v>
      </c>
      <c r="O219" s="126">
        <v>147</v>
      </c>
      <c r="P219" s="127">
        <v>45301</v>
      </c>
      <c r="Q219" s="94">
        <v>1</v>
      </c>
      <c r="R219" s="97">
        <v>38092</v>
      </c>
      <c r="S219" s="94">
        <v>1</v>
      </c>
      <c r="T219" s="128">
        <v>45331</v>
      </c>
      <c r="U219" s="97">
        <v>35425.560000000005</v>
      </c>
    </row>
    <row r="220" spans="1:22" ht="12" hidden="1" x14ac:dyDescent="0.25">
      <c r="A220" s="94">
        <v>218</v>
      </c>
      <c r="B220" s="94" t="s">
        <v>334</v>
      </c>
      <c r="C220" s="94" t="s">
        <v>335</v>
      </c>
      <c r="D220" s="94" t="s">
        <v>335</v>
      </c>
      <c r="E220" s="94" t="s">
        <v>331</v>
      </c>
      <c r="F220" s="94" t="s">
        <v>18</v>
      </c>
      <c r="G220" s="94">
        <v>2024</v>
      </c>
      <c r="H220" s="94">
        <v>1</v>
      </c>
      <c r="I220" s="95">
        <v>45292</v>
      </c>
      <c r="J220" s="142">
        <v>2940</v>
      </c>
      <c r="K220" s="94">
        <v>1</v>
      </c>
      <c r="L220" s="95">
        <v>45316</v>
      </c>
      <c r="M220" s="94">
        <v>3</v>
      </c>
      <c r="N220" s="97">
        <v>2940</v>
      </c>
      <c r="O220" s="126">
        <v>162</v>
      </c>
      <c r="P220" s="127">
        <v>45337</v>
      </c>
      <c r="Q220" s="94">
        <v>1</v>
      </c>
      <c r="R220" s="97">
        <v>2940</v>
      </c>
      <c r="S220" s="94">
        <v>1</v>
      </c>
      <c r="T220" s="138">
        <v>45366</v>
      </c>
      <c r="U220" s="97">
        <v>2940</v>
      </c>
    </row>
    <row r="221" spans="1:22" ht="12" hidden="1" x14ac:dyDescent="0.25">
      <c r="A221" s="94">
        <v>219</v>
      </c>
      <c r="B221" s="94" t="s">
        <v>337</v>
      </c>
      <c r="C221" s="94" t="s">
        <v>338</v>
      </c>
      <c r="D221" s="94" t="s">
        <v>338</v>
      </c>
      <c r="E221" s="94" t="s">
        <v>331</v>
      </c>
      <c r="F221" s="94" t="s">
        <v>18</v>
      </c>
      <c r="G221" s="94">
        <v>2023</v>
      </c>
      <c r="H221" s="94">
        <v>1</v>
      </c>
      <c r="I221" s="95">
        <v>45231</v>
      </c>
      <c r="J221" s="142">
        <v>7500</v>
      </c>
      <c r="K221" s="94">
        <v>1</v>
      </c>
      <c r="L221" s="95">
        <v>45250</v>
      </c>
      <c r="M221" s="94">
        <v>1</v>
      </c>
      <c r="N221" s="136">
        <v>14688</v>
      </c>
      <c r="O221" s="126">
        <v>158</v>
      </c>
      <c r="P221" s="127">
        <v>45313</v>
      </c>
      <c r="Q221" s="94">
        <v>1</v>
      </c>
      <c r="R221" s="97">
        <v>14688</v>
      </c>
      <c r="S221" s="94">
        <v>1</v>
      </c>
      <c r="T221" s="128">
        <v>45342</v>
      </c>
      <c r="U221" s="97">
        <v>13659.84</v>
      </c>
    </row>
    <row r="222" spans="1:22" ht="12" hidden="1" x14ac:dyDescent="0.25">
      <c r="A222" s="94">
        <v>220</v>
      </c>
      <c r="B222" s="94" t="s">
        <v>337</v>
      </c>
      <c r="C222" s="94" t="s">
        <v>338</v>
      </c>
      <c r="D222" s="94" t="s">
        <v>338</v>
      </c>
      <c r="E222" s="94" t="s">
        <v>331</v>
      </c>
      <c r="F222" s="94" t="s">
        <v>18</v>
      </c>
      <c r="G222" s="94">
        <v>2024</v>
      </c>
      <c r="H222" s="94">
        <v>1</v>
      </c>
      <c r="I222" s="95">
        <v>45292</v>
      </c>
      <c r="J222" s="96">
        <v>63612</v>
      </c>
      <c r="K222" s="94">
        <v>1</v>
      </c>
      <c r="L222" s="117">
        <v>45322</v>
      </c>
      <c r="M222" s="94">
        <v>2</v>
      </c>
      <c r="N222" s="97">
        <v>77671</v>
      </c>
      <c r="O222" s="139">
        <v>170</v>
      </c>
      <c r="P222" s="127">
        <v>45362</v>
      </c>
      <c r="Q222" s="94">
        <v>1</v>
      </c>
      <c r="R222" s="97">
        <v>77671</v>
      </c>
      <c r="S222" s="94">
        <v>1</v>
      </c>
      <c r="T222" s="128">
        <v>45392</v>
      </c>
      <c r="U222" s="108">
        <v>77671</v>
      </c>
    </row>
    <row r="223" spans="1:22" ht="12" hidden="1" x14ac:dyDescent="0.25">
      <c r="A223" s="94">
        <v>221</v>
      </c>
      <c r="B223" s="94" t="s">
        <v>337</v>
      </c>
      <c r="C223" s="94" t="s">
        <v>338</v>
      </c>
      <c r="D223" s="94" t="s">
        <v>338</v>
      </c>
      <c r="E223" s="94" t="s">
        <v>331</v>
      </c>
      <c r="F223" s="94" t="s">
        <v>18</v>
      </c>
      <c r="G223" s="94">
        <v>2024</v>
      </c>
      <c r="H223" s="94">
        <v>1</v>
      </c>
      <c r="I223" s="95">
        <v>45352</v>
      </c>
      <c r="J223" s="96">
        <v>37545</v>
      </c>
      <c r="K223" s="94">
        <v>1</v>
      </c>
      <c r="L223" s="117">
        <v>45376</v>
      </c>
      <c r="M223" s="94">
        <v>3</v>
      </c>
      <c r="N223" s="97">
        <v>41027</v>
      </c>
      <c r="O223" s="139">
        <v>197</v>
      </c>
      <c r="P223" s="127">
        <v>45491</v>
      </c>
      <c r="Q223" s="94">
        <v>1</v>
      </c>
      <c r="R223" s="97">
        <v>44268.23008753566</v>
      </c>
      <c r="S223" s="94">
        <v>1</v>
      </c>
      <c r="T223" s="128">
        <v>45518</v>
      </c>
      <c r="U223" s="108">
        <v>44268</v>
      </c>
    </row>
    <row r="224" spans="1:22" ht="12" hidden="1" x14ac:dyDescent="0.25">
      <c r="A224" s="94">
        <v>222</v>
      </c>
      <c r="B224" s="94" t="s">
        <v>54</v>
      </c>
      <c r="C224" s="94" t="s">
        <v>55</v>
      </c>
      <c r="D224" s="94" t="s">
        <v>55</v>
      </c>
      <c r="E224" s="94" t="s">
        <v>331</v>
      </c>
      <c r="F224" s="94" t="s">
        <v>18</v>
      </c>
      <c r="G224" s="94">
        <v>2024</v>
      </c>
      <c r="H224" s="94">
        <v>-1</v>
      </c>
      <c r="I224" s="95"/>
      <c r="J224" s="96"/>
      <c r="K224" s="94">
        <v>1</v>
      </c>
      <c r="L224" s="117">
        <v>45619</v>
      </c>
      <c r="M224" s="94">
        <v>1</v>
      </c>
      <c r="N224" s="96">
        <v>11004</v>
      </c>
      <c r="O224" s="140">
        <v>256</v>
      </c>
      <c r="P224" s="127">
        <v>45667</v>
      </c>
      <c r="Q224" s="94">
        <v>1</v>
      </c>
      <c r="R224" s="97">
        <v>11004</v>
      </c>
      <c r="S224" s="94">
        <v>1</v>
      </c>
      <c r="T224" s="128">
        <v>45700</v>
      </c>
      <c r="U224" s="97">
        <v>11418.8508</v>
      </c>
    </row>
    <row r="225" spans="1:22" ht="12" hidden="1" customHeight="1" x14ac:dyDescent="0.25">
      <c r="A225" s="94">
        <v>223</v>
      </c>
      <c r="B225" s="94" t="s">
        <v>54</v>
      </c>
      <c r="C225" s="94" t="s">
        <v>55</v>
      </c>
      <c r="D225" s="94" t="s">
        <v>55</v>
      </c>
      <c r="E225" s="94" t="s">
        <v>331</v>
      </c>
      <c r="F225" s="94" t="s">
        <v>18</v>
      </c>
      <c r="G225" s="94">
        <v>2024</v>
      </c>
      <c r="H225" s="94">
        <v>-1</v>
      </c>
      <c r="I225" s="95"/>
      <c r="J225" s="96"/>
      <c r="K225" s="94">
        <v>1</v>
      </c>
      <c r="L225" s="95">
        <v>45649</v>
      </c>
      <c r="M225" s="112">
        <v>2</v>
      </c>
      <c r="N225" s="97">
        <v>18151</v>
      </c>
      <c r="O225" s="126">
        <v>257</v>
      </c>
      <c r="P225" s="127">
        <v>45667</v>
      </c>
      <c r="Q225" s="94">
        <v>1</v>
      </c>
      <c r="R225" s="97">
        <v>18151</v>
      </c>
      <c r="S225" s="94">
        <v>1</v>
      </c>
      <c r="T225" s="128">
        <v>45700</v>
      </c>
      <c r="U225" s="97">
        <v>18835.292700000002</v>
      </c>
    </row>
    <row r="226" spans="1:22" ht="12" hidden="1" customHeight="1" x14ac:dyDescent="0.25">
      <c r="A226" s="94">
        <v>224</v>
      </c>
      <c r="B226" s="94" t="s">
        <v>54</v>
      </c>
      <c r="C226" s="94" t="s">
        <v>55</v>
      </c>
      <c r="D226" s="94" t="s">
        <v>55</v>
      </c>
      <c r="E226" s="94" t="s">
        <v>331</v>
      </c>
      <c r="F226" s="94" t="s">
        <v>18</v>
      </c>
      <c r="G226" s="94">
        <v>2025</v>
      </c>
      <c r="H226" s="94">
        <v>-1</v>
      </c>
      <c r="I226" s="95"/>
      <c r="J226" s="96"/>
      <c r="K226" s="94">
        <v>1</v>
      </c>
      <c r="L226" s="95">
        <v>45685</v>
      </c>
      <c r="M226" s="112">
        <v>3</v>
      </c>
      <c r="N226" s="97">
        <v>7263</v>
      </c>
      <c r="O226" s="126">
        <v>336</v>
      </c>
      <c r="P226" s="127">
        <v>45896</v>
      </c>
      <c r="Q226" s="94">
        <v>1</v>
      </c>
      <c r="R226" s="97">
        <v>7263</v>
      </c>
      <c r="S226" s="94">
        <v>1</v>
      </c>
      <c r="T226" s="128">
        <v>45926</v>
      </c>
      <c r="U226" s="97">
        <v>7263</v>
      </c>
    </row>
    <row r="227" spans="1:22" ht="12" hidden="1" customHeight="1" x14ac:dyDescent="0.25">
      <c r="A227" s="94">
        <v>225</v>
      </c>
      <c r="B227" s="94" t="s">
        <v>339</v>
      </c>
      <c r="C227" s="94" t="s">
        <v>340</v>
      </c>
      <c r="D227" s="94" t="s">
        <v>340</v>
      </c>
      <c r="E227" s="94" t="s">
        <v>331</v>
      </c>
      <c r="F227" s="94" t="s">
        <v>18</v>
      </c>
      <c r="G227" s="94">
        <v>2023</v>
      </c>
      <c r="H227" s="94">
        <v>1</v>
      </c>
      <c r="I227" s="95">
        <v>45170</v>
      </c>
      <c r="J227" s="96">
        <v>61712</v>
      </c>
      <c r="K227" s="94">
        <v>1</v>
      </c>
      <c r="L227" s="95">
        <v>45194</v>
      </c>
      <c r="M227" s="112">
        <v>1</v>
      </c>
      <c r="N227" s="97">
        <v>67556</v>
      </c>
      <c r="O227" s="126">
        <v>164</v>
      </c>
      <c r="P227" s="127">
        <v>45348</v>
      </c>
      <c r="Q227" s="94">
        <v>1</v>
      </c>
      <c r="R227" s="97">
        <v>67556</v>
      </c>
      <c r="S227" s="94">
        <v>1</v>
      </c>
      <c r="T227" s="128">
        <v>45352</v>
      </c>
      <c r="U227" s="97">
        <v>63264</v>
      </c>
    </row>
    <row r="228" spans="1:22" ht="12" hidden="1" x14ac:dyDescent="0.25">
      <c r="A228" s="94">
        <v>226</v>
      </c>
      <c r="B228" s="94" t="s">
        <v>339</v>
      </c>
      <c r="C228" s="94" t="s">
        <v>340</v>
      </c>
      <c r="D228" s="94" t="s">
        <v>340</v>
      </c>
      <c r="E228" s="94" t="s">
        <v>331</v>
      </c>
      <c r="F228" s="94" t="s">
        <v>18</v>
      </c>
      <c r="G228" s="94">
        <v>2023</v>
      </c>
      <c r="H228" s="94">
        <v>1</v>
      </c>
      <c r="I228" s="95">
        <v>45200</v>
      </c>
      <c r="J228" s="96">
        <v>20571</v>
      </c>
      <c r="K228" s="94">
        <v>1</v>
      </c>
      <c r="L228" s="117">
        <v>45222</v>
      </c>
      <c r="M228" s="94">
        <v>2</v>
      </c>
      <c r="N228" s="97">
        <v>19139</v>
      </c>
      <c r="O228" s="126">
        <v>165</v>
      </c>
      <c r="P228" s="127">
        <v>45348</v>
      </c>
      <c r="Q228" s="94">
        <v>1</v>
      </c>
      <c r="R228" s="97">
        <v>19139</v>
      </c>
      <c r="S228" s="94">
        <v>1</v>
      </c>
      <c r="T228" s="128">
        <v>45352</v>
      </c>
      <c r="U228" s="97">
        <v>17923</v>
      </c>
    </row>
    <row r="229" spans="1:22" ht="12" hidden="1" x14ac:dyDescent="0.25">
      <c r="A229" s="94">
        <v>227</v>
      </c>
      <c r="B229" s="94" t="s">
        <v>339</v>
      </c>
      <c r="C229" s="94" t="s">
        <v>340</v>
      </c>
      <c r="D229" s="94" t="s">
        <v>340</v>
      </c>
      <c r="E229" s="94" t="s">
        <v>331</v>
      </c>
      <c r="F229" s="94" t="s">
        <v>18</v>
      </c>
      <c r="G229" s="94">
        <v>2023</v>
      </c>
      <c r="H229" s="94">
        <v>1</v>
      </c>
      <c r="I229" s="95">
        <v>45231</v>
      </c>
      <c r="J229" s="96">
        <v>6808</v>
      </c>
      <c r="K229" s="94">
        <v>1</v>
      </c>
      <c r="L229" s="117">
        <v>45250</v>
      </c>
      <c r="M229" s="94">
        <v>3</v>
      </c>
      <c r="N229" s="97">
        <v>6808</v>
      </c>
      <c r="O229" s="126">
        <v>150</v>
      </c>
      <c r="P229" s="127">
        <v>45301</v>
      </c>
      <c r="Q229" s="94">
        <v>1</v>
      </c>
      <c r="R229" s="97">
        <v>6808</v>
      </c>
      <c r="S229" s="94">
        <v>1</v>
      </c>
      <c r="T229" s="128">
        <v>45331</v>
      </c>
      <c r="U229" s="97">
        <v>6331.4400000000005</v>
      </c>
    </row>
    <row r="230" spans="1:22" ht="12" hidden="1" x14ac:dyDescent="0.25">
      <c r="A230" s="94">
        <v>228</v>
      </c>
      <c r="B230" s="94" t="s">
        <v>56</v>
      </c>
      <c r="C230" s="94" t="s">
        <v>57</v>
      </c>
      <c r="D230" s="94" t="s">
        <v>57</v>
      </c>
      <c r="E230" s="94" t="s">
        <v>331</v>
      </c>
      <c r="F230" s="94" t="s">
        <v>18</v>
      </c>
      <c r="G230" s="94">
        <v>2024</v>
      </c>
      <c r="H230" s="94">
        <v>-1</v>
      </c>
      <c r="I230" s="95"/>
      <c r="J230" s="96"/>
      <c r="K230" s="94">
        <v>1</v>
      </c>
      <c r="L230" s="117">
        <v>45562</v>
      </c>
      <c r="M230" s="94">
        <v>1</v>
      </c>
      <c r="N230" s="97">
        <v>40000</v>
      </c>
      <c r="O230" s="126">
        <v>241</v>
      </c>
      <c r="P230" s="127">
        <v>45624</v>
      </c>
      <c r="Q230" s="94">
        <v>1</v>
      </c>
      <c r="R230" s="97">
        <v>40000</v>
      </c>
      <c r="S230" s="94">
        <v>1</v>
      </c>
      <c r="T230" s="128">
        <v>45652</v>
      </c>
      <c r="U230" s="97">
        <v>40000</v>
      </c>
    </row>
    <row r="231" spans="1:22" ht="12" hidden="1" x14ac:dyDescent="0.25">
      <c r="A231" s="94">
        <v>229</v>
      </c>
      <c r="B231" s="94" t="s">
        <v>56</v>
      </c>
      <c r="C231" s="94" t="s">
        <v>57</v>
      </c>
      <c r="D231" s="94" t="s">
        <v>57</v>
      </c>
      <c r="E231" s="94" t="s">
        <v>331</v>
      </c>
      <c r="F231" s="94" t="s">
        <v>18</v>
      </c>
      <c r="G231" s="94">
        <v>2024</v>
      </c>
      <c r="H231" s="94">
        <v>-1</v>
      </c>
      <c r="I231" s="95"/>
      <c r="J231" s="96"/>
      <c r="K231" s="94">
        <v>1</v>
      </c>
      <c r="L231" s="95">
        <v>45589</v>
      </c>
      <c r="M231" s="112">
        <v>2</v>
      </c>
      <c r="N231" s="97">
        <v>35127</v>
      </c>
      <c r="O231" s="126">
        <v>242</v>
      </c>
      <c r="P231" s="127">
        <v>45624</v>
      </c>
      <c r="Q231" s="94">
        <v>1</v>
      </c>
      <c r="R231" s="97">
        <v>35127</v>
      </c>
      <c r="S231" s="94">
        <v>1</v>
      </c>
      <c r="T231" s="128">
        <v>45652</v>
      </c>
      <c r="U231" s="97">
        <v>35127</v>
      </c>
    </row>
    <row r="232" spans="1:22" ht="12" hidden="1" x14ac:dyDescent="0.25">
      <c r="A232" s="94">
        <v>230</v>
      </c>
      <c r="B232" s="94" t="s">
        <v>56</v>
      </c>
      <c r="C232" s="94" t="s">
        <v>57</v>
      </c>
      <c r="D232" s="94" t="s">
        <v>57</v>
      </c>
      <c r="E232" s="94" t="s">
        <v>331</v>
      </c>
      <c r="F232" s="94" t="s">
        <v>18</v>
      </c>
      <c r="G232" s="94">
        <v>2025</v>
      </c>
      <c r="H232" s="94">
        <v>-1</v>
      </c>
      <c r="I232" s="95"/>
      <c r="J232" s="96"/>
      <c r="K232" s="94">
        <v>1</v>
      </c>
      <c r="L232" s="95">
        <v>45685</v>
      </c>
      <c r="M232" s="112">
        <v>3</v>
      </c>
      <c r="N232" s="97">
        <v>10236</v>
      </c>
      <c r="O232" s="126">
        <v>311</v>
      </c>
      <c r="P232" s="127">
        <v>45812</v>
      </c>
      <c r="Q232" s="94">
        <v>1</v>
      </c>
      <c r="R232" s="97">
        <v>10236</v>
      </c>
      <c r="S232" s="94">
        <v>1</v>
      </c>
      <c r="T232" s="128">
        <v>45842</v>
      </c>
      <c r="U232" s="97">
        <v>10263</v>
      </c>
    </row>
    <row r="233" spans="1:22" ht="12" hidden="1" x14ac:dyDescent="0.25">
      <c r="A233" s="94">
        <v>231</v>
      </c>
      <c r="B233" s="94" t="s">
        <v>341</v>
      </c>
      <c r="C233" s="94" t="s">
        <v>342</v>
      </c>
      <c r="D233" s="94" t="s">
        <v>342</v>
      </c>
      <c r="E233" s="94" t="s">
        <v>331</v>
      </c>
      <c r="F233" s="94" t="s">
        <v>18</v>
      </c>
      <c r="G233" s="94">
        <v>2023</v>
      </c>
      <c r="H233" s="94">
        <v>1</v>
      </c>
      <c r="I233" s="95">
        <v>45170</v>
      </c>
      <c r="J233" s="96">
        <v>55586</v>
      </c>
      <c r="K233" s="94">
        <v>1</v>
      </c>
      <c r="L233" s="95">
        <v>45194</v>
      </c>
      <c r="M233" s="112">
        <v>1</v>
      </c>
      <c r="N233" s="97">
        <v>62838</v>
      </c>
      <c r="O233" s="126">
        <v>151</v>
      </c>
      <c r="P233" s="127">
        <v>45301</v>
      </c>
      <c r="Q233" s="94">
        <v>1</v>
      </c>
      <c r="R233" s="97">
        <v>62838</v>
      </c>
      <c r="S233" s="94">
        <v>1</v>
      </c>
      <c r="T233" s="128">
        <v>45331</v>
      </c>
      <c r="U233" s="97">
        <v>58439.340000000004</v>
      </c>
    </row>
    <row r="234" spans="1:22" ht="12" hidden="1" x14ac:dyDescent="0.25">
      <c r="A234" s="94">
        <v>232</v>
      </c>
      <c r="B234" s="94" t="s">
        <v>341</v>
      </c>
      <c r="C234" s="94" t="s">
        <v>342</v>
      </c>
      <c r="D234" s="94" t="s">
        <v>342</v>
      </c>
      <c r="E234" s="94" t="s">
        <v>331</v>
      </c>
      <c r="F234" s="94" t="s">
        <v>18</v>
      </c>
      <c r="G234" s="94">
        <v>2023</v>
      </c>
      <c r="H234" s="94">
        <v>1</v>
      </c>
      <c r="I234" s="95">
        <v>45200</v>
      </c>
      <c r="J234" s="96">
        <v>19411</v>
      </c>
      <c r="K234" s="94">
        <v>1</v>
      </c>
      <c r="L234" s="117">
        <v>45222</v>
      </c>
      <c r="M234" s="94">
        <v>2</v>
      </c>
      <c r="N234" s="97">
        <v>17202</v>
      </c>
      <c r="O234" s="139">
        <v>166</v>
      </c>
      <c r="P234" s="127">
        <v>45348</v>
      </c>
      <c r="Q234" s="94">
        <v>1</v>
      </c>
      <c r="R234" s="97">
        <v>17202</v>
      </c>
      <c r="S234" s="94">
        <v>1</v>
      </c>
      <c r="T234" s="128">
        <v>45352</v>
      </c>
      <c r="U234" s="108">
        <v>16109</v>
      </c>
    </row>
    <row r="235" spans="1:22" ht="12" hidden="1" x14ac:dyDescent="0.25">
      <c r="A235" s="94">
        <v>233</v>
      </c>
      <c r="B235" s="94" t="s">
        <v>341</v>
      </c>
      <c r="C235" s="94" t="s">
        <v>342</v>
      </c>
      <c r="D235" s="98" t="s">
        <v>342</v>
      </c>
      <c r="E235" s="98" t="s">
        <v>331</v>
      </c>
      <c r="F235" s="98" t="s">
        <v>18</v>
      </c>
      <c r="G235" s="98">
        <v>2023</v>
      </c>
      <c r="H235" s="98">
        <v>1</v>
      </c>
      <c r="I235" s="98">
        <v>45231</v>
      </c>
      <c r="J235" s="146">
        <v>8191</v>
      </c>
      <c r="K235" s="98">
        <v>1</v>
      </c>
      <c r="L235" s="111">
        <v>45250</v>
      </c>
      <c r="M235" s="98">
        <v>3</v>
      </c>
      <c r="N235" s="129">
        <v>8131</v>
      </c>
      <c r="O235" s="147">
        <v>167</v>
      </c>
      <c r="P235" s="111">
        <v>45348</v>
      </c>
      <c r="Q235" s="98">
        <v>1</v>
      </c>
      <c r="R235" s="129">
        <v>8131</v>
      </c>
      <c r="S235" s="94">
        <v>1</v>
      </c>
      <c r="T235" s="111">
        <v>45352</v>
      </c>
      <c r="U235" s="129">
        <v>8131</v>
      </c>
      <c r="V235" s="98"/>
    </row>
    <row r="236" spans="1:22" ht="12" hidden="1" x14ac:dyDescent="0.25">
      <c r="A236" s="94">
        <v>234</v>
      </c>
      <c r="B236" s="94" t="s">
        <v>58</v>
      </c>
      <c r="C236" s="94" t="s">
        <v>59</v>
      </c>
      <c r="D236" s="98" t="s">
        <v>59</v>
      </c>
      <c r="E236" s="98" t="s">
        <v>331</v>
      </c>
      <c r="F236" s="98" t="s">
        <v>18</v>
      </c>
      <c r="G236" s="98">
        <v>2024</v>
      </c>
      <c r="H236" s="98">
        <v>-1</v>
      </c>
      <c r="I236" s="98"/>
      <c r="J236" s="146"/>
      <c r="K236" s="98">
        <v>1</v>
      </c>
      <c r="L236" s="111">
        <v>45619</v>
      </c>
      <c r="M236" s="98">
        <v>1</v>
      </c>
      <c r="N236" s="129">
        <v>14342</v>
      </c>
      <c r="O236" s="147">
        <v>254</v>
      </c>
      <c r="P236" s="111">
        <v>45667</v>
      </c>
      <c r="Q236" s="98">
        <v>1</v>
      </c>
      <c r="R236" s="129">
        <v>14342</v>
      </c>
      <c r="S236" s="94">
        <v>1</v>
      </c>
      <c r="T236" s="111">
        <v>45700</v>
      </c>
      <c r="U236" s="129">
        <v>14882.6934</v>
      </c>
      <c r="V236" s="98"/>
    </row>
    <row r="237" spans="1:22" ht="12" hidden="1" customHeight="1" x14ac:dyDescent="0.25">
      <c r="A237" s="94">
        <v>235</v>
      </c>
      <c r="B237" s="94" t="s">
        <v>343</v>
      </c>
      <c r="C237" s="94" t="s">
        <v>730</v>
      </c>
      <c r="D237" s="98" t="s">
        <v>344</v>
      </c>
      <c r="E237" s="98" t="s">
        <v>262</v>
      </c>
      <c r="F237" s="98" t="s">
        <v>70</v>
      </c>
      <c r="G237" s="98">
        <v>2023</v>
      </c>
      <c r="H237" s="98">
        <v>-1</v>
      </c>
      <c r="I237" s="98"/>
      <c r="J237" s="146"/>
      <c r="K237" s="98">
        <v>1</v>
      </c>
      <c r="L237" s="111">
        <v>45009</v>
      </c>
      <c r="M237" s="98">
        <v>1</v>
      </c>
      <c r="N237" s="129">
        <v>18302.625</v>
      </c>
      <c r="O237" s="147" t="s">
        <v>345</v>
      </c>
      <c r="P237" s="111">
        <v>45026</v>
      </c>
      <c r="Q237" s="98">
        <v>1</v>
      </c>
      <c r="R237" s="129">
        <v>18302.61</v>
      </c>
      <c r="S237" s="94">
        <v>1</v>
      </c>
      <c r="T237" s="111">
        <v>45040</v>
      </c>
      <c r="U237" s="129">
        <v>18302.61</v>
      </c>
      <c r="V237" s="98"/>
    </row>
    <row r="238" spans="1:22" ht="12" hidden="1" x14ac:dyDescent="0.25">
      <c r="A238" s="94">
        <v>236</v>
      </c>
      <c r="B238" s="94" t="s">
        <v>343</v>
      </c>
      <c r="C238" s="94" t="s">
        <v>730</v>
      </c>
      <c r="D238" s="98" t="s">
        <v>344</v>
      </c>
      <c r="E238" s="98" t="s">
        <v>262</v>
      </c>
      <c r="F238" s="98" t="s">
        <v>70</v>
      </c>
      <c r="G238" s="98">
        <v>2023</v>
      </c>
      <c r="H238" s="98">
        <v>-1</v>
      </c>
      <c r="I238" s="98"/>
      <c r="J238" s="146"/>
      <c r="K238" s="98">
        <v>1</v>
      </c>
      <c r="L238" s="111">
        <v>45037</v>
      </c>
      <c r="M238" s="98">
        <v>2</v>
      </c>
      <c r="N238" s="129">
        <v>7732.125</v>
      </c>
      <c r="O238" s="147" t="s">
        <v>346</v>
      </c>
      <c r="P238" s="111">
        <v>45050</v>
      </c>
      <c r="Q238" s="98">
        <v>1</v>
      </c>
      <c r="R238" s="129">
        <v>7732.4</v>
      </c>
      <c r="S238" s="94">
        <v>1</v>
      </c>
      <c r="T238" s="111">
        <v>45065</v>
      </c>
      <c r="U238" s="129">
        <v>7732.4</v>
      </c>
      <c r="V238" s="98"/>
    </row>
    <row r="239" spans="1:22" ht="12" hidden="1" x14ac:dyDescent="0.25">
      <c r="A239" s="94">
        <v>237</v>
      </c>
      <c r="B239" s="94" t="s">
        <v>343</v>
      </c>
      <c r="C239" s="94" t="s">
        <v>730</v>
      </c>
      <c r="D239" s="98" t="s">
        <v>347</v>
      </c>
      <c r="E239" s="98" t="s">
        <v>262</v>
      </c>
      <c r="F239" s="98" t="s">
        <v>70</v>
      </c>
      <c r="G239" s="98">
        <v>2023</v>
      </c>
      <c r="H239" s="98">
        <v>-1</v>
      </c>
      <c r="I239" s="98"/>
      <c r="J239" s="146"/>
      <c r="K239" s="98">
        <v>1</v>
      </c>
      <c r="L239" s="111">
        <v>45067</v>
      </c>
      <c r="M239" s="98">
        <v>1</v>
      </c>
      <c r="N239" s="129">
        <v>18639.75</v>
      </c>
      <c r="O239" s="147" t="s">
        <v>348</v>
      </c>
      <c r="P239" s="111">
        <v>45103</v>
      </c>
      <c r="Q239" s="98">
        <v>1</v>
      </c>
      <c r="R239" s="129">
        <v>18639.75</v>
      </c>
      <c r="S239" s="94">
        <v>1</v>
      </c>
      <c r="T239" s="111">
        <v>45141</v>
      </c>
      <c r="U239" s="129">
        <v>18639.75</v>
      </c>
      <c r="V239" s="98" t="s">
        <v>349</v>
      </c>
    </row>
    <row r="240" spans="1:22" ht="12" hidden="1" x14ac:dyDescent="0.25">
      <c r="A240" s="94">
        <v>238</v>
      </c>
      <c r="B240" s="94" t="s">
        <v>343</v>
      </c>
      <c r="C240" s="94" t="s">
        <v>730</v>
      </c>
      <c r="D240" s="98" t="s">
        <v>350</v>
      </c>
      <c r="E240" s="98" t="s">
        <v>262</v>
      </c>
      <c r="F240" s="98" t="s">
        <v>70</v>
      </c>
      <c r="G240" s="98">
        <v>2023</v>
      </c>
      <c r="H240" s="98">
        <v>-1</v>
      </c>
      <c r="I240" s="98"/>
      <c r="J240" s="146"/>
      <c r="K240" s="98">
        <v>1</v>
      </c>
      <c r="L240" s="111">
        <v>45009</v>
      </c>
      <c r="M240" s="98">
        <v>1</v>
      </c>
      <c r="N240" s="129">
        <v>14735.625</v>
      </c>
      <c r="O240" s="147" t="s">
        <v>351</v>
      </c>
      <c r="P240" s="111">
        <v>45026</v>
      </c>
      <c r="Q240" s="98">
        <v>1</v>
      </c>
      <c r="R240" s="129">
        <v>14736</v>
      </c>
      <c r="S240" s="94">
        <v>1</v>
      </c>
      <c r="T240" s="111">
        <v>45040</v>
      </c>
      <c r="U240" s="129">
        <v>14736</v>
      </c>
      <c r="V240" s="98"/>
    </row>
    <row r="241" spans="1:22" ht="12" hidden="1" x14ac:dyDescent="0.25">
      <c r="A241" s="94">
        <v>239</v>
      </c>
      <c r="B241" s="94" t="s">
        <v>343</v>
      </c>
      <c r="C241" s="94" t="s">
        <v>730</v>
      </c>
      <c r="D241" s="99" t="s">
        <v>350</v>
      </c>
      <c r="E241" s="94" t="s">
        <v>262</v>
      </c>
      <c r="F241" s="94" t="s">
        <v>70</v>
      </c>
      <c r="G241" s="94">
        <v>2023</v>
      </c>
      <c r="H241" s="94">
        <v>-1</v>
      </c>
      <c r="I241" s="95"/>
      <c r="J241" s="96"/>
      <c r="K241" s="94">
        <v>1</v>
      </c>
      <c r="L241" s="95">
        <v>45037</v>
      </c>
      <c r="M241" s="94">
        <v>2</v>
      </c>
      <c r="N241" s="96">
        <v>6840.375</v>
      </c>
      <c r="O241" s="126" t="s">
        <v>352</v>
      </c>
      <c r="P241" s="127">
        <v>45119</v>
      </c>
      <c r="Q241" s="94">
        <v>1</v>
      </c>
      <c r="R241" s="97">
        <v>6840.375</v>
      </c>
      <c r="S241" s="94">
        <v>1</v>
      </c>
      <c r="T241" s="128">
        <v>45128</v>
      </c>
      <c r="U241" s="97">
        <v>6840.375</v>
      </c>
    </row>
    <row r="242" spans="1:22" ht="12" hidden="1" x14ac:dyDescent="0.25">
      <c r="A242" s="94">
        <v>240</v>
      </c>
      <c r="B242" s="94" t="s">
        <v>343</v>
      </c>
      <c r="C242" s="94" t="s">
        <v>730</v>
      </c>
      <c r="D242" s="94" t="s">
        <v>353</v>
      </c>
      <c r="E242" s="94" t="s">
        <v>262</v>
      </c>
      <c r="F242" s="94" t="s">
        <v>70</v>
      </c>
      <c r="G242" s="94">
        <v>2023</v>
      </c>
      <c r="H242" s="94">
        <v>-1</v>
      </c>
      <c r="I242" s="95"/>
      <c r="J242" s="96"/>
      <c r="K242" s="94">
        <v>1</v>
      </c>
      <c r="L242" s="95">
        <v>45067</v>
      </c>
      <c r="M242" s="94">
        <v>1</v>
      </c>
      <c r="N242" s="97">
        <v>22837.5</v>
      </c>
      <c r="O242" s="126" t="s">
        <v>348</v>
      </c>
      <c r="P242" s="127">
        <v>45103</v>
      </c>
      <c r="Q242" s="94">
        <v>1</v>
      </c>
      <c r="R242" s="97">
        <v>22837.5</v>
      </c>
      <c r="S242" s="94">
        <v>1</v>
      </c>
      <c r="T242" s="128">
        <v>45141</v>
      </c>
      <c r="U242" s="97">
        <v>22837.5</v>
      </c>
      <c r="V242" s="94" t="s">
        <v>349</v>
      </c>
    </row>
    <row r="243" spans="1:22" ht="12" hidden="1" x14ac:dyDescent="0.25">
      <c r="A243" s="94">
        <v>241</v>
      </c>
      <c r="B243" s="94" t="s">
        <v>354</v>
      </c>
      <c r="C243" s="94" t="s">
        <v>355</v>
      </c>
      <c r="D243" s="94" t="s">
        <v>355</v>
      </c>
      <c r="E243" s="94" t="s">
        <v>356</v>
      </c>
      <c r="F243" s="94" t="s">
        <v>70</v>
      </c>
      <c r="G243" s="94">
        <v>2024</v>
      </c>
      <c r="H243" s="94">
        <v>1</v>
      </c>
      <c r="I243" s="95">
        <v>45413</v>
      </c>
      <c r="J243" s="142">
        <v>46933.000000000007</v>
      </c>
      <c r="K243" s="94">
        <v>1</v>
      </c>
      <c r="L243" s="95">
        <v>45498</v>
      </c>
      <c r="M243" s="94">
        <v>1</v>
      </c>
      <c r="N243" s="97">
        <v>105000</v>
      </c>
      <c r="O243" s="126" t="s">
        <v>357</v>
      </c>
      <c r="P243" s="127">
        <v>45520</v>
      </c>
      <c r="Q243" s="94">
        <v>1</v>
      </c>
      <c r="R243" s="97">
        <v>105000</v>
      </c>
      <c r="S243" s="94">
        <v>1</v>
      </c>
      <c r="T243" s="138">
        <v>45622</v>
      </c>
      <c r="U243" s="97">
        <v>102860</v>
      </c>
    </row>
    <row r="244" spans="1:22" ht="12" hidden="1" x14ac:dyDescent="0.25">
      <c r="A244" s="94">
        <v>242</v>
      </c>
      <c r="B244" s="94" t="s">
        <v>358</v>
      </c>
      <c r="C244" s="94" t="s">
        <v>731</v>
      </c>
      <c r="D244" s="94" t="s">
        <v>359</v>
      </c>
      <c r="E244" s="94" t="s">
        <v>360</v>
      </c>
      <c r="F244" s="94" t="s">
        <v>18</v>
      </c>
      <c r="G244" s="94">
        <v>2023</v>
      </c>
      <c r="H244" s="94">
        <v>1</v>
      </c>
      <c r="I244" s="95">
        <v>45261</v>
      </c>
      <c r="J244" s="142">
        <v>19065</v>
      </c>
      <c r="K244" s="94">
        <v>1</v>
      </c>
      <c r="L244" s="95">
        <v>45281</v>
      </c>
      <c r="M244" s="94">
        <v>1</v>
      </c>
      <c r="N244" s="97">
        <v>19065</v>
      </c>
      <c r="O244" s="126">
        <v>157</v>
      </c>
      <c r="P244" s="127">
        <v>45308</v>
      </c>
      <c r="Q244" s="94">
        <v>1</v>
      </c>
      <c r="R244" s="97">
        <v>19065</v>
      </c>
      <c r="S244" s="94">
        <v>1</v>
      </c>
      <c r="T244" s="138">
        <v>45342</v>
      </c>
      <c r="U244" s="97">
        <v>19065</v>
      </c>
    </row>
    <row r="245" spans="1:22" ht="12" hidden="1" x14ac:dyDescent="0.25">
      <c r="A245" s="94">
        <v>243</v>
      </c>
      <c r="B245" s="94" t="s">
        <v>358</v>
      </c>
      <c r="C245" s="94" t="s">
        <v>731</v>
      </c>
      <c r="D245" s="94" t="s">
        <v>359</v>
      </c>
      <c r="E245" s="94" t="s">
        <v>360</v>
      </c>
      <c r="F245" s="94" t="s">
        <v>18</v>
      </c>
      <c r="G245" s="94">
        <v>2024</v>
      </c>
      <c r="H245" s="94">
        <v>1</v>
      </c>
      <c r="I245" s="95">
        <v>45292</v>
      </c>
      <c r="J245" s="142">
        <v>19064</v>
      </c>
      <c r="K245" s="94">
        <v>1</v>
      </c>
      <c r="L245" s="95">
        <v>45316</v>
      </c>
      <c r="M245" s="94">
        <v>2</v>
      </c>
      <c r="N245" s="137">
        <v>19065</v>
      </c>
      <c r="O245" s="126">
        <v>171</v>
      </c>
      <c r="P245" s="127">
        <v>45364</v>
      </c>
      <c r="Q245" s="94">
        <v>1</v>
      </c>
      <c r="R245" s="97">
        <v>19065</v>
      </c>
      <c r="S245" s="94">
        <v>1</v>
      </c>
      <c r="T245" s="128">
        <v>45395</v>
      </c>
      <c r="U245" s="136">
        <v>19065</v>
      </c>
    </row>
    <row r="246" spans="1:22" ht="12" hidden="1" x14ac:dyDescent="0.25">
      <c r="A246" s="94">
        <v>244</v>
      </c>
      <c r="B246" s="94" t="s">
        <v>358</v>
      </c>
      <c r="C246" s="94" t="s">
        <v>731</v>
      </c>
      <c r="D246" s="118" t="s">
        <v>359</v>
      </c>
      <c r="E246" s="94" t="s">
        <v>360</v>
      </c>
      <c r="F246" s="94" t="s">
        <v>18</v>
      </c>
      <c r="G246" s="94">
        <v>2024</v>
      </c>
      <c r="H246" s="94">
        <v>1</v>
      </c>
      <c r="I246" s="95">
        <v>45323</v>
      </c>
      <c r="J246" s="96">
        <v>19065</v>
      </c>
      <c r="K246" s="94">
        <v>1</v>
      </c>
      <c r="L246" s="95">
        <v>45347</v>
      </c>
      <c r="M246" s="94">
        <v>3</v>
      </c>
      <c r="N246" s="97">
        <v>19065</v>
      </c>
      <c r="O246" s="126">
        <v>172</v>
      </c>
      <c r="P246" s="127">
        <v>45365</v>
      </c>
      <c r="Q246" s="94">
        <v>1</v>
      </c>
      <c r="R246" s="97">
        <v>19065</v>
      </c>
      <c r="S246" s="94">
        <v>1</v>
      </c>
      <c r="T246" s="128">
        <v>45396</v>
      </c>
      <c r="U246" s="97">
        <v>19065</v>
      </c>
    </row>
    <row r="247" spans="1:22" ht="12" hidden="1" x14ac:dyDescent="0.25">
      <c r="A247" s="94">
        <v>245</v>
      </c>
      <c r="B247" s="94" t="s">
        <v>358</v>
      </c>
      <c r="C247" s="94" t="s">
        <v>731</v>
      </c>
      <c r="D247" s="94" t="s">
        <v>359</v>
      </c>
      <c r="E247" s="94" t="s">
        <v>360</v>
      </c>
      <c r="F247" s="94" t="s">
        <v>18</v>
      </c>
      <c r="G247" s="94">
        <v>2024</v>
      </c>
      <c r="H247" s="94">
        <v>1</v>
      </c>
      <c r="I247" s="95">
        <v>45352</v>
      </c>
      <c r="J247" s="96">
        <v>19065</v>
      </c>
      <c r="K247" s="94">
        <v>1</v>
      </c>
      <c r="L247" s="95">
        <v>45376</v>
      </c>
      <c r="M247" s="94">
        <v>4</v>
      </c>
      <c r="N247" s="100">
        <v>19065</v>
      </c>
      <c r="O247" s="126">
        <v>179</v>
      </c>
      <c r="P247" s="127">
        <v>45407</v>
      </c>
      <c r="Q247" s="94">
        <v>1</v>
      </c>
      <c r="R247" s="97">
        <v>19065</v>
      </c>
      <c r="S247" s="94">
        <v>1</v>
      </c>
      <c r="T247" s="128">
        <v>45437</v>
      </c>
      <c r="U247" s="97">
        <v>19065</v>
      </c>
    </row>
    <row r="248" spans="1:22" ht="12" hidden="1" x14ac:dyDescent="0.25">
      <c r="A248" s="94">
        <v>246</v>
      </c>
      <c r="B248" s="94" t="s">
        <v>358</v>
      </c>
      <c r="C248" s="94" t="s">
        <v>731</v>
      </c>
      <c r="D248" s="94" t="s">
        <v>359</v>
      </c>
      <c r="E248" s="94" t="s">
        <v>360</v>
      </c>
      <c r="F248" s="94" t="s">
        <v>18</v>
      </c>
      <c r="G248" s="94">
        <v>2024</v>
      </c>
      <c r="H248" s="94">
        <v>1</v>
      </c>
      <c r="I248" s="95">
        <v>45383</v>
      </c>
      <c r="J248" s="96">
        <v>19065</v>
      </c>
      <c r="K248" s="94">
        <v>1</v>
      </c>
      <c r="L248" s="95">
        <v>45407</v>
      </c>
      <c r="M248" s="94">
        <v>5</v>
      </c>
      <c r="N248" s="97">
        <v>19065</v>
      </c>
      <c r="O248" s="126">
        <v>181</v>
      </c>
      <c r="P248" s="127">
        <v>45419</v>
      </c>
      <c r="Q248" s="94">
        <v>1</v>
      </c>
      <c r="R248" s="97">
        <v>19065</v>
      </c>
      <c r="S248" s="94">
        <v>1</v>
      </c>
      <c r="T248" s="128">
        <v>45450</v>
      </c>
      <c r="U248" s="97">
        <v>19065</v>
      </c>
    </row>
    <row r="249" spans="1:22" ht="12" hidden="1" x14ac:dyDescent="0.25">
      <c r="A249" s="94">
        <v>247</v>
      </c>
      <c r="B249" s="94" t="s">
        <v>358</v>
      </c>
      <c r="C249" s="94" t="s">
        <v>731</v>
      </c>
      <c r="D249" s="98" t="s">
        <v>359</v>
      </c>
      <c r="E249" s="98" t="s">
        <v>360</v>
      </c>
      <c r="F249" s="98" t="s">
        <v>18</v>
      </c>
      <c r="G249" s="98">
        <v>2024</v>
      </c>
      <c r="H249" s="98">
        <v>1</v>
      </c>
      <c r="I249" s="98">
        <v>45413</v>
      </c>
      <c r="J249" s="146">
        <v>19065</v>
      </c>
      <c r="K249" s="98">
        <v>1</v>
      </c>
      <c r="L249" s="111">
        <v>45498</v>
      </c>
      <c r="M249" s="98">
        <v>6</v>
      </c>
      <c r="N249" s="129">
        <v>19065</v>
      </c>
      <c r="O249" s="147">
        <v>216</v>
      </c>
      <c r="P249" s="111">
        <v>45551</v>
      </c>
      <c r="Q249" s="98">
        <v>1</v>
      </c>
      <c r="R249" s="129">
        <v>19065</v>
      </c>
      <c r="S249" s="94">
        <v>1</v>
      </c>
      <c r="T249" s="111">
        <v>45581</v>
      </c>
      <c r="U249" s="129">
        <v>19065</v>
      </c>
      <c r="V249" s="98"/>
    </row>
    <row r="250" spans="1:22" ht="12" hidden="1" x14ac:dyDescent="0.25">
      <c r="A250" s="94">
        <v>248</v>
      </c>
      <c r="B250" s="94" t="s">
        <v>361</v>
      </c>
      <c r="C250" s="94" t="s">
        <v>732</v>
      </c>
      <c r="D250" s="98" t="s">
        <v>362</v>
      </c>
      <c r="E250" s="98" t="s">
        <v>294</v>
      </c>
      <c r="F250" s="98" t="s">
        <v>18</v>
      </c>
      <c r="G250" s="98">
        <v>2023</v>
      </c>
      <c r="H250" s="98">
        <v>-1</v>
      </c>
      <c r="I250" s="98"/>
      <c r="J250" s="146"/>
      <c r="K250" s="98">
        <v>1</v>
      </c>
      <c r="L250" s="111">
        <v>44978</v>
      </c>
      <c r="M250" s="98">
        <v>1</v>
      </c>
      <c r="N250" s="129">
        <v>50688.322500000002</v>
      </c>
      <c r="O250" s="147">
        <v>52</v>
      </c>
      <c r="P250" s="111">
        <v>44991</v>
      </c>
      <c r="Q250" s="98">
        <v>1</v>
      </c>
      <c r="R250" s="129">
        <v>50688.322500000002</v>
      </c>
      <c r="S250" s="94">
        <v>1</v>
      </c>
      <c r="T250" s="111">
        <v>44998</v>
      </c>
      <c r="U250" s="129">
        <v>50688.322500000002</v>
      </c>
      <c r="V250" s="98"/>
    </row>
    <row r="251" spans="1:22" ht="12" hidden="1" x14ac:dyDescent="0.25">
      <c r="A251" s="94">
        <v>249</v>
      </c>
      <c r="B251" s="94" t="s">
        <v>363</v>
      </c>
      <c r="C251" s="94" t="s">
        <v>364</v>
      </c>
      <c r="D251" s="94" t="s">
        <v>364</v>
      </c>
      <c r="E251" s="94" t="s">
        <v>365</v>
      </c>
      <c r="F251" s="94" t="s">
        <v>70</v>
      </c>
      <c r="G251" s="94">
        <v>2023</v>
      </c>
      <c r="H251" s="94">
        <v>-1</v>
      </c>
      <c r="I251" s="95"/>
      <c r="J251" s="96"/>
      <c r="K251" s="94">
        <v>1</v>
      </c>
      <c r="L251" s="95">
        <v>44886</v>
      </c>
      <c r="M251" s="94">
        <v>1</v>
      </c>
      <c r="N251" s="96">
        <v>14112</v>
      </c>
      <c r="O251" s="127" t="s">
        <v>366</v>
      </c>
      <c r="P251" s="127">
        <v>44953</v>
      </c>
      <c r="Q251" s="94">
        <v>1</v>
      </c>
      <c r="R251" s="97">
        <v>14112</v>
      </c>
      <c r="S251" s="94">
        <v>1</v>
      </c>
      <c r="T251" s="128">
        <v>44973</v>
      </c>
      <c r="U251" s="97">
        <v>14112</v>
      </c>
    </row>
    <row r="252" spans="1:22" ht="12" hidden="1" x14ac:dyDescent="0.25">
      <c r="A252" s="94">
        <v>250</v>
      </c>
      <c r="B252" s="94" t="s">
        <v>367</v>
      </c>
      <c r="C252" s="94" t="s">
        <v>368</v>
      </c>
      <c r="D252" s="98" t="s">
        <v>368</v>
      </c>
      <c r="E252" s="98" t="s">
        <v>293</v>
      </c>
      <c r="F252" s="98" t="s">
        <v>70</v>
      </c>
      <c r="G252" s="98">
        <v>2023</v>
      </c>
      <c r="H252" s="98">
        <v>-1</v>
      </c>
      <c r="I252" s="98"/>
      <c r="J252" s="146"/>
      <c r="K252" s="98">
        <v>1</v>
      </c>
      <c r="L252" s="111">
        <v>45037</v>
      </c>
      <c r="M252" s="98">
        <v>1</v>
      </c>
      <c r="N252" s="129">
        <v>36335.699999999997</v>
      </c>
      <c r="O252" s="147" t="s">
        <v>369</v>
      </c>
      <c r="P252" s="111">
        <v>45055</v>
      </c>
      <c r="Q252" s="98">
        <v>1</v>
      </c>
      <c r="R252" s="129">
        <v>36335.699999999997</v>
      </c>
      <c r="S252" s="94">
        <v>1</v>
      </c>
      <c r="T252" s="111">
        <v>45090</v>
      </c>
      <c r="U252" s="129">
        <v>36335.699999999997</v>
      </c>
      <c r="V252" s="98"/>
    </row>
    <row r="253" spans="1:22" ht="12" hidden="1" x14ac:dyDescent="0.25">
      <c r="A253" s="94">
        <v>251</v>
      </c>
      <c r="B253" s="94" t="s">
        <v>367</v>
      </c>
      <c r="C253" s="94" t="s">
        <v>368</v>
      </c>
      <c r="D253" s="98" t="s">
        <v>368</v>
      </c>
      <c r="E253" s="98" t="s">
        <v>293</v>
      </c>
      <c r="F253" s="98" t="s">
        <v>70</v>
      </c>
      <c r="G253" s="98">
        <v>2023</v>
      </c>
      <c r="H253" s="98">
        <v>-1</v>
      </c>
      <c r="I253" s="98"/>
      <c r="J253" s="146"/>
      <c r="K253" s="98">
        <v>1</v>
      </c>
      <c r="L253" s="111">
        <v>45098</v>
      </c>
      <c r="M253" s="98">
        <v>2</v>
      </c>
      <c r="N253" s="129">
        <v>3345.3000000000029</v>
      </c>
      <c r="O253" s="147" t="s">
        <v>370</v>
      </c>
      <c r="P253" s="111">
        <v>45266</v>
      </c>
      <c r="Q253" s="98">
        <v>1</v>
      </c>
      <c r="R253" s="129">
        <v>3345.3000000000029</v>
      </c>
      <c r="S253" s="94">
        <v>1</v>
      </c>
      <c r="T253" s="111">
        <v>45269</v>
      </c>
      <c r="U253" s="129">
        <v>3345.3000000000029</v>
      </c>
      <c r="V253" s="98" t="s">
        <v>371</v>
      </c>
    </row>
    <row r="254" spans="1:22" ht="12" hidden="1" customHeight="1" x14ac:dyDescent="0.25">
      <c r="A254" s="94">
        <v>252</v>
      </c>
      <c r="B254" s="94" t="s">
        <v>372</v>
      </c>
      <c r="C254" s="94" t="s">
        <v>373</v>
      </c>
      <c r="D254" s="94" t="s">
        <v>373</v>
      </c>
      <c r="E254" s="94" t="s">
        <v>365</v>
      </c>
      <c r="F254" s="94" t="s">
        <v>70</v>
      </c>
      <c r="G254" s="94">
        <v>2023</v>
      </c>
      <c r="H254" s="94">
        <v>-1</v>
      </c>
      <c r="I254" s="95"/>
      <c r="J254" s="96"/>
      <c r="K254" s="94">
        <v>1</v>
      </c>
      <c r="L254" s="95">
        <v>44916</v>
      </c>
      <c r="M254" s="94">
        <v>1</v>
      </c>
      <c r="N254" s="97">
        <v>32480</v>
      </c>
      <c r="O254" s="126" t="s">
        <v>374</v>
      </c>
      <c r="P254" s="127">
        <v>45026</v>
      </c>
      <c r="Q254" s="94">
        <v>1</v>
      </c>
      <c r="R254" s="97">
        <v>32480</v>
      </c>
      <c r="S254" s="94">
        <v>1</v>
      </c>
      <c r="T254" s="127">
        <v>45040</v>
      </c>
      <c r="U254" s="97">
        <v>32480</v>
      </c>
    </row>
    <row r="255" spans="1:22" ht="12" hidden="1" x14ac:dyDescent="0.25">
      <c r="A255" s="94">
        <v>253</v>
      </c>
      <c r="B255" s="94" t="s">
        <v>372</v>
      </c>
      <c r="C255" s="94" t="s">
        <v>373</v>
      </c>
      <c r="D255" s="94" t="s">
        <v>373</v>
      </c>
      <c r="E255" s="94" t="s">
        <v>262</v>
      </c>
      <c r="F255" s="94" t="s">
        <v>70</v>
      </c>
      <c r="G255" s="94">
        <v>2023</v>
      </c>
      <c r="H255" s="94">
        <v>-1</v>
      </c>
      <c r="I255" s="95"/>
      <c r="J255" s="96"/>
      <c r="K255" s="94">
        <v>1</v>
      </c>
      <c r="L255" s="95">
        <v>44978</v>
      </c>
      <c r="M255" s="94">
        <v>2</v>
      </c>
      <c r="N255" s="97">
        <v>32320</v>
      </c>
      <c r="O255" s="126" t="s">
        <v>375</v>
      </c>
      <c r="P255" s="127">
        <v>45026</v>
      </c>
      <c r="Q255" s="94">
        <v>1</v>
      </c>
      <c r="R255" s="97">
        <v>32320</v>
      </c>
      <c r="S255" s="94">
        <v>1</v>
      </c>
      <c r="T255" s="128">
        <v>45040</v>
      </c>
      <c r="U255" s="97">
        <v>32320</v>
      </c>
    </row>
    <row r="256" spans="1:22" ht="12" hidden="1" x14ac:dyDescent="0.25">
      <c r="A256" s="94">
        <v>254</v>
      </c>
      <c r="B256" s="94" t="s">
        <v>376</v>
      </c>
      <c r="C256" s="94" t="s">
        <v>733</v>
      </c>
      <c r="D256" s="94" t="s">
        <v>377</v>
      </c>
      <c r="E256" s="94" t="s">
        <v>304</v>
      </c>
      <c r="F256" s="94" t="s">
        <v>18</v>
      </c>
      <c r="G256" s="94">
        <v>2023</v>
      </c>
      <c r="H256" s="94">
        <v>-1</v>
      </c>
      <c r="I256" s="95"/>
      <c r="J256" s="96"/>
      <c r="K256" s="94">
        <v>1</v>
      </c>
      <c r="L256" s="95">
        <v>45067</v>
      </c>
      <c r="M256" s="94">
        <v>1</v>
      </c>
      <c r="N256" s="97">
        <v>93882.67</v>
      </c>
      <c r="O256" s="126">
        <v>80</v>
      </c>
      <c r="P256" s="127">
        <v>45085</v>
      </c>
      <c r="Q256" s="94">
        <v>1</v>
      </c>
      <c r="R256" s="97">
        <v>96154</v>
      </c>
      <c r="S256" s="94">
        <v>1</v>
      </c>
      <c r="T256" s="128">
        <v>45107</v>
      </c>
      <c r="U256" s="97">
        <v>96154</v>
      </c>
      <c r="V256" s="94" t="s">
        <v>378</v>
      </c>
    </row>
    <row r="257" spans="1:22" ht="12" hidden="1" x14ac:dyDescent="0.25">
      <c r="A257" s="94">
        <v>255</v>
      </c>
      <c r="B257" s="94" t="s">
        <v>376</v>
      </c>
      <c r="C257" s="94" t="s">
        <v>733</v>
      </c>
      <c r="D257" s="94" t="s">
        <v>377</v>
      </c>
      <c r="E257" s="94" t="s">
        <v>304</v>
      </c>
      <c r="F257" s="94" t="s">
        <v>18</v>
      </c>
      <c r="G257" s="94">
        <v>2023</v>
      </c>
      <c r="H257" s="94">
        <v>-1</v>
      </c>
      <c r="I257" s="95"/>
      <c r="J257" s="96"/>
      <c r="K257" s="94">
        <v>1</v>
      </c>
      <c r="L257" s="95">
        <v>45098</v>
      </c>
      <c r="M257" s="94">
        <v>2</v>
      </c>
      <c r="N257" s="97">
        <v>14927</v>
      </c>
      <c r="O257" s="126">
        <v>107</v>
      </c>
      <c r="P257" s="127">
        <v>45183</v>
      </c>
      <c r="Q257" s="94">
        <v>1</v>
      </c>
      <c r="R257" s="97">
        <v>14927</v>
      </c>
      <c r="S257" s="94">
        <v>1</v>
      </c>
      <c r="T257" s="128">
        <v>45205</v>
      </c>
      <c r="U257" s="97">
        <v>14927</v>
      </c>
    </row>
    <row r="258" spans="1:22" ht="12" hidden="1" customHeight="1" x14ac:dyDescent="0.25">
      <c r="A258" s="94">
        <v>256</v>
      </c>
      <c r="B258" s="94" t="s">
        <v>376</v>
      </c>
      <c r="C258" s="94" t="s">
        <v>733</v>
      </c>
      <c r="D258" s="94" t="s">
        <v>377</v>
      </c>
      <c r="E258" s="94" t="s">
        <v>304</v>
      </c>
      <c r="F258" s="94" t="s">
        <v>18</v>
      </c>
      <c r="G258" s="94">
        <v>2023</v>
      </c>
      <c r="H258" s="94">
        <v>-1</v>
      </c>
      <c r="I258" s="95"/>
      <c r="J258" s="96"/>
      <c r="K258" s="94">
        <v>1</v>
      </c>
      <c r="L258" s="95">
        <v>45134</v>
      </c>
      <c r="M258" s="94">
        <v>3</v>
      </c>
      <c r="N258" s="97">
        <v>20074.29</v>
      </c>
      <c r="O258" s="126">
        <v>108</v>
      </c>
      <c r="P258" s="127">
        <v>45183</v>
      </c>
      <c r="Q258" s="94">
        <v>1</v>
      </c>
      <c r="R258" s="97">
        <v>20074</v>
      </c>
      <c r="S258" s="94">
        <v>1</v>
      </c>
      <c r="T258" s="128">
        <v>45205</v>
      </c>
      <c r="U258" s="97">
        <v>20074</v>
      </c>
    </row>
    <row r="259" spans="1:22" ht="12" hidden="1" customHeight="1" x14ac:dyDescent="0.25">
      <c r="A259" s="94">
        <v>257</v>
      </c>
      <c r="B259" s="94" t="s">
        <v>376</v>
      </c>
      <c r="C259" s="94" t="s">
        <v>733</v>
      </c>
      <c r="D259" s="94" t="s">
        <v>377</v>
      </c>
      <c r="E259" s="94" t="s">
        <v>304</v>
      </c>
      <c r="F259" s="94" t="s">
        <v>18</v>
      </c>
      <c r="G259" s="94">
        <v>2023</v>
      </c>
      <c r="H259" s="94">
        <v>-1</v>
      </c>
      <c r="I259" s="95"/>
      <c r="J259" s="96"/>
      <c r="K259" s="94">
        <v>1</v>
      </c>
      <c r="L259" s="117">
        <v>45163</v>
      </c>
      <c r="M259" s="94">
        <v>4</v>
      </c>
      <c r="N259" s="97">
        <v>20556</v>
      </c>
      <c r="O259" s="126">
        <v>111</v>
      </c>
      <c r="P259" s="127">
        <v>45202</v>
      </c>
      <c r="Q259" s="94">
        <v>1</v>
      </c>
      <c r="R259" s="97">
        <v>20556</v>
      </c>
      <c r="S259" s="94">
        <v>1</v>
      </c>
      <c r="T259" s="128">
        <v>45225</v>
      </c>
      <c r="U259" s="97">
        <v>20556</v>
      </c>
    </row>
    <row r="260" spans="1:22" ht="12" hidden="1" customHeight="1" x14ac:dyDescent="0.25">
      <c r="A260" s="94">
        <v>258</v>
      </c>
      <c r="B260" s="94" t="s">
        <v>376</v>
      </c>
      <c r="C260" s="94" t="s">
        <v>733</v>
      </c>
      <c r="D260" s="94" t="s">
        <v>377</v>
      </c>
      <c r="E260" s="94" t="s">
        <v>304</v>
      </c>
      <c r="F260" s="94" t="s">
        <v>18</v>
      </c>
      <c r="G260" s="94">
        <v>2023</v>
      </c>
      <c r="H260" s="94">
        <v>1</v>
      </c>
      <c r="I260" s="95">
        <v>45170</v>
      </c>
      <c r="J260" s="96">
        <v>21776</v>
      </c>
      <c r="K260" s="94">
        <v>1</v>
      </c>
      <c r="L260" s="117">
        <v>45194</v>
      </c>
      <c r="M260" s="94">
        <v>5</v>
      </c>
      <c r="N260" s="97">
        <v>29101</v>
      </c>
      <c r="O260" s="126">
        <v>112</v>
      </c>
      <c r="P260" s="127">
        <v>45202</v>
      </c>
      <c r="Q260" s="94">
        <v>1</v>
      </c>
      <c r="R260" s="97">
        <v>29101</v>
      </c>
      <c r="S260" s="94">
        <v>1</v>
      </c>
      <c r="T260" s="128">
        <v>45225</v>
      </c>
      <c r="U260" s="97">
        <v>29101</v>
      </c>
    </row>
    <row r="261" spans="1:22" ht="12" hidden="1" customHeight="1" x14ac:dyDescent="0.25">
      <c r="A261" s="94">
        <v>259</v>
      </c>
      <c r="B261" s="94" t="s">
        <v>379</v>
      </c>
      <c r="C261" s="94" t="s">
        <v>380</v>
      </c>
      <c r="D261" s="94" t="s">
        <v>380</v>
      </c>
      <c r="E261" s="94" t="s">
        <v>381</v>
      </c>
      <c r="F261" s="94" t="s">
        <v>96</v>
      </c>
      <c r="G261" s="94">
        <v>2024</v>
      </c>
      <c r="H261" s="94">
        <v>-1</v>
      </c>
      <c r="I261" s="95"/>
      <c r="J261" s="96"/>
      <c r="K261" s="94">
        <v>1</v>
      </c>
      <c r="L261" s="117">
        <v>45481</v>
      </c>
      <c r="M261" s="94">
        <v>1</v>
      </c>
      <c r="N261" s="97">
        <v>26649</v>
      </c>
      <c r="O261" s="126">
        <v>1</v>
      </c>
      <c r="P261" s="127">
        <v>45481</v>
      </c>
      <c r="Q261" s="94">
        <v>1</v>
      </c>
      <c r="R261" s="97">
        <v>26649</v>
      </c>
      <c r="S261" s="94">
        <v>1</v>
      </c>
      <c r="T261" s="128">
        <v>45488</v>
      </c>
      <c r="U261" s="97">
        <v>26649</v>
      </c>
    </row>
    <row r="262" spans="1:22" ht="12" hidden="1" customHeight="1" x14ac:dyDescent="0.25">
      <c r="A262" s="94">
        <v>260</v>
      </c>
      <c r="B262" s="94" t="s">
        <v>379</v>
      </c>
      <c r="C262" s="94" t="s">
        <v>380</v>
      </c>
      <c r="D262" s="94" t="s">
        <v>380</v>
      </c>
      <c r="E262" s="94" t="s">
        <v>381</v>
      </c>
      <c r="F262" s="94" t="s">
        <v>96</v>
      </c>
      <c r="G262" s="94">
        <v>2024</v>
      </c>
      <c r="H262" s="94">
        <v>-1</v>
      </c>
      <c r="I262" s="95"/>
      <c r="J262" s="96"/>
      <c r="K262" s="94">
        <v>1</v>
      </c>
      <c r="L262" s="117">
        <v>45524</v>
      </c>
      <c r="M262" s="94">
        <v>2</v>
      </c>
      <c r="N262" s="97">
        <v>133045</v>
      </c>
      <c r="O262" s="126" t="s">
        <v>382</v>
      </c>
      <c r="P262" s="127">
        <v>45524</v>
      </c>
      <c r="Q262" s="94">
        <v>1</v>
      </c>
      <c r="R262" s="97">
        <v>133045</v>
      </c>
      <c r="S262" s="94">
        <v>1</v>
      </c>
      <c r="T262" s="128">
        <v>45534</v>
      </c>
      <c r="U262" s="97">
        <v>133045</v>
      </c>
    </row>
    <row r="263" spans="1:22" ht="12" hidden="1" customHeight="1" x14ac:dyDescent="0.25">
      <c r="A263" s="94">
        <v>261</v>
      </c>
      <c r="B263" s="94" t="s">
        <v>383</v>
      </c>
      <c r="C263" s="94" t="s">
        <v>384</v>
      </c>
      <c r="D263" s="94" t="s">
        <v>384</v>
      </c>
      <c r="E263" s="94" t="s">
        <v>381</v>
      </c>
      <c r="F263" s="94" t="s">
        <v>96</v>
      </c>
      <c r="G263" s="94">
        <v>2024</v>
      </c>
      <c r="H263" s="94">
        <v>-1</v>
      </c>
      <c r="I263" s="95"/>
      <c r="J263" s="96"/>
      <c r="K263" s="94">
        <v>1</v>
      </c>
      <c r="L263" s="117">
        <v>45453</v>
      </c>
      <c r="M263" s="94">
        <v>1</v>
      </c>
      <c r="N263" s="97">
        <v>15000</v>
      </c>
      <c r="O263" s="126">
        <v>1</v>
      </c>
      <c r="P263" s="127">
        <v>45473</v>
      </c>
      <c r="Q263" s="94">
        <v>1</v>
      </c>
      <c r="R263" s="97">
        <v>14850</v>
      </c>
      <c r="S263" s="94">
        <v>1</v>
      </c>
      <c r="T263" s="128">
        <v>45504</v>
      </c>
      <c r="U263" s="97">
        <v>14850</v>
      </c>
    </row>
    <row r="264" spans="1:22" ht="12" hidden="1" customHeight="1" x14ac:dyDescent="0.25">
      <c r="A264" s="94">
        <v>262</v>
      </c>
      <c r="B264" s="94" t="s">
        <v>385</v>
      </c>
      <c r="C264" s="94" t="s">
        <v>213</v>
      </c>
      <c r="D264" s="94" t="s">
        <v>213</v>
      </c>
      <c r="E264" s="94" t="s">
        <v>386</v>
      </c>
      <c r="F264" s="94" t="s">
        <v>6</v>
      </c>
      <c r="G264" s="94">
        <v>2025</v>
      </c>
      <c r="H264" s="94">
        <v>-1</v>
      </c>
      <c r="I264" s="95"/>
      <c r="J264" s="96"/>
      <c r="K264" s="94">
        <v>1</v>
      </c>
      <c r="L264" s="117">
        <v>45915</v>
      </c>
      <c r="M264" s="94">
        <v>1</v>
      </c>
      <c r="N264" s="97">
        <v>12415</v>
      </c>
      <c r="O264" s="126">
        <v>104</v>
      </c>
      <c r="P264" s="127">
        <v>45924</v>
      </c>
      <c r="Q264" s="94">
        <v>1</v>
      </c>
      <c r="R264" s="97">
        <v>12155.229357798165</v>
      </c>
      <c r="S264" s="94">
        <v>1</v>
      </c>
      <c r="T264" s="128">
        <v>45980</v>
      </c>
      <c r="U264" s="97">
        <v>11652.002862385321</v>
      </c>
    </row>
    <row r="265" spans="1:22" ht="12" hidden="1" customHeight="1" x14ac:dyDescent="0.25">
      <c r="A265" s="94">
        <v>263</v>
      </c>
      <c r="B265" s="94" t="s">
        <v>385</v>
      </c>
      <c r="C265" s="94" t="s">
        <v>213</v>
      </c>
      <c r="D265" s="94" t="s">
        <v>213</v>
      </c>
      <c r="E265" s="94" t="s">
        <v>386</v>
      </c>
      <c r="F265" s="94" t="s">
        <v>6</v>
      </c>
      <c r="G265" s="94">
        <v>2025</v>
      </c>
      <c r="H265" s="94">
        <v>-1</v>
      </c>
      <c r="I265" s="95"/>
      <c r="J265" s="96"/>
      <c r="K265" s="94">
        <v>1</v>
      </c>
      <c r="L265" s="117">
        <v>45945</v>
      </c>
      <c r="M265" s="94">
        <v>2</v>
      </c>
      <c r="N265" s="97">
        <v>50598</v>
      </c>
      <c r="O265" s="126">
        <v>107</v>
      </c>
      <c r="P265" s="127">
        <v>45954</v>
      </c>
      <c r="Q265" s="94">
        <v>1</v>
      </c>
      <c r="R265" s="97">
        <v>50598</v>
      </c>
      <c r="S265" s="94">
        <v>1</v>
      </c>
      <c r="T265" s="128">
        <v>45980</v>
      </c>
      <c r="U265" s="133">
        <v>48503.2428</v>
      </c>
    </row>
    <row r="266" spans="1:22" ht="12" hidden="1" customHeight="1" x14ac:dyDescent="0.25">
      <c r="A266" s="94">
        <v>264</v>
      </c>
      <c r="B266" s="94" t="s">
        <v>385</v>
      </c>
      <c r="C266" s="94" t="s">
        <v>213</v>
      </c>
      <c r="D266" s="94" t="s">
        <v>213</v>
      </c>
      <c r="E266" s="94" t="s">
        <v>386</v>
      </c>
      <c r="F266" s="94" t="s">
        <v>6</v>
      </c>
      <c r="G266" s="94">
        <v>2025</v>
      </c>
      <c r="H266" s="94">
        <v>-1</v>
      </c>
      <c r="I266" s="95"/>
      <c r="J266" s="96"/>
      <c r="K266" s="94">
        <v>1</v>
      </c>
      <c r="L266" s="117">
        <v>45976</v>
      </c>
      <c r="M266" s="94">
        <v>3</v>
      </c>
      <c r="N266" s="97">
        <v>146624</v>
      </c>
      <c r="O266" s="126">
        <v>115</v>
      </c>
      <c r="P266" s="127">
        <v>45986</v>
      </c>
      <c r="Q266" s="94">
        <v>1</v>
      </c>
      <c r="R266" s="97">
        <v>145467</v>
      </c>
      <c r="S266" s="94">
        <v>1</v>
      </c>
      <c r="T266" s="128">
        <v>46014</v>
      </c>
      <c r="U266" s="97">
        <v>130948</v>
      </c>
    </row>
    <row r="267" spans="1:22" ht="12" customHeight="1" x14ac:dyDescent="0.25">
      <c r="A267" s="94">
        <v>265</v>
      </c>
      <c r="B267" s="94" t="s">
        <v>385</v>
      </c>
      <c r="C267" s="94" t="s">
        <v>213</v>
      </c>
      <c r="D267" s="94" t="s">
        <v>213</v>
      </c>
      <c r="E267" s="94" t="s">
        <v>386</v>
      </c>
      <c r="F267" s="94" t="s">
        <v>6</v>
      </c>
      <c r="G267" s="94">
        <v>2025</v>
      </c>
      <c r="H267" s="94">
        <v>-1</v>
      </c>
      <c r="I267" s="95"/>
      <c r="J267" s="96"/>
      <c r="K267" s="94">
        <v>1</v>
      </c>
      <c r="L267" s="117">
        <v>46006</v>
      </c>
      <c r="M267" s="94">
        <v>4</v>
      </c>
      <c r="N267" s="97">
        <v>97211</v>
      </c>
      <c r="O267" s="140">
        <v>118</v>
      </c>
      <c r="P267" s="127">
        <v>46014</v>
      </c>
      <c r="Q267" s="94">
        <v>1</v>
      </c>
      <c r="R267" s="137">
        <v>97211</v>
      </c>
      <c r="S267" s="94">
        <v>-1</v>
      </c>
      <c r="T267" s="128">
        <v>46045</v>
      </c>
      <c r="U267" s="137">
        <v>91918</v>
      </c>
    </row>
    <row r="268" spans="1:22" ht="12" hidden="1" customHeight="1" x14ac:dyDescent="0.25">
      <c r="A268" s="94">
        <v>266</v>
      </c>
      <c r="B268" s="94" t="s">
        <v>385</v>
      </c>
      <c r="C268" s="94" t="s">
        <v>213</v>
      </c>
      <c r="D268" s="94" t="s">
        <v>213</v>
      </c>
      <c r="E268" s="94" t="s">
        <v>386</v>
      </c>
      <c r="F268" s="94" t="s">
        <v>6</v>
      </c>
      <c r="G268" s="94">
        <v>2026</v>
      </c>
      <c r="H268" s="94">
        <v>-1</v>
      </c>
      <c r="I268" s="95"/>
      <c r="J268" s="96"/>
      <c r="K268" s="94">
        <v>1</v>
      </c>
      <c r="L268" s="117">
        <v>46042</v>
      </c>
      <c r="M268" s="94">
        <v>5</v>
      </c>
      <c r="N268" s="97">
        <v>47145</v>
      </c>
      <c r="O268" s="140" t="s">
        <v>278</v>
      </c>
      <c r="P268" s="127"/>
      <c r="Q268" s="94">
        <v>-1</v>
      </c>
      <c r="S268" s="94">
        <v>-1</v>
      </c>
      <c r="T268" s="128">
        <v>46101</v>
      </c>
      <c r="U268" s="97">
        <v>47145</v>
      </c>
    </row>
    <row r="269" spans="1:22" ht="12" hidden="1" customHeight="1" x14ac:dyDescent="0.25">
      <c r="A269" s="94">
        <v>267</v>
      </c>
      <c r="B269" s="94" t="s">
        <v>387</v>
      </c>
      <c r="C269" s="94" t="s">
        <v>186</v>
      </c>
      <c r="D269" s="94" t="s">
        <v>186</v>
      </c>
      <c r="E269" s="94" t="s">
        <v>388</v>
      </c>
      <c r="F269" s="94" t="s">
        <v>6</v>
      </c>
      <c r="G269" s="94">
        <v>2025</v>
      </c>
      <c r="H269" s="94">
        <v>-1</v>
      </c>
      <c r="I269" s="95"/>
      <c r="J269" s="96"/>
      <c r="K269" s="94">
        <v>1</v>
      </c>
      <c r="L269" s="117">
        <v>45828</v>
      </c>
      <c r="M269" s="94">
        <v>1</v>
      </c>
      <c r="N269" s="97">
        <v>58058</v>
      </c>
      <c r="O269" s="140">
        <v>73</v>
      </c>
      <c r="P269" s="127">
        <v>45833</v>
      </c>
      <c r="Q269" s="94">
        <v>1</v>
      </c>
      <c r="R269" s="97">
        <v>50063</v>
      </c>
      <c r="S269" s="94">
        <v>1</v>
      </c>
      <c r="T269" s="128">
        <v>45869</v>
      </c>
      <c r="U269" s="97">
        <v>50063</v>
      </c>
      <c r="V269" s="94" t="s">
        <v>389</v>
      </c>
    </row>
    <row r="270" spans="1:22" ht="12" hidden="1" customHeight="1" x14ac:dyDescent="0.25">
      <c r="A270" s="94">
        <v>268</v>
      </c>
      <c r="B270" s="94" t="s">
        <v>387</v>
      </c>
      <c r="C270" s="94" t="s">
        <v>186</v>
      </c>
      <c r="D270" s="94" t="s">
        <v>186</v>
      </c>
      <c r="E270" s="94" t="s">
        <v>388</v>
      </c>
      <c r="F270" s="94" t="s">
        <v>6</v>
      </c>
      <c r="G270" s="94">
        <v>2025</v>
      </c>
      <c r="H270" s="94">
        <v>-1</v>
      </c>
      <c r="I270" s="95"/>
      <c r="J270" s="96"/>
      <c r="K270" s="94">
        <v>1</v>
      </c>
      <c r="L270" s="117">
        <v>45852</v>
      </c>
      <c r="M270" s="94">
        <v>2</v>
      </c>
      <c r="N270" s="97">
        <v>22640.41</v>
      </c>
      <c r="O270" s="140">
        <v>78</v>
      </c>
      <c r="P270" s="127">
        <v>45853</v>
      </c>
      <c r="Q270" s="94">
        <v>1</v>
      </c>
      <c r="R270" s="97">
        <v>22640.41</v>
      </c>
      <c r="S270" s="94">
        <v>1</v>
      </c>
      <c r="T270" s="128">
        <v>45889</v>
      </c>
      <c r="U270" s="97">
        <v>19610.669999999998</v>
      </c>
    </row>
    <row r="271" spans="1:22" ht="12" hidden="1" customHeight="1" x14ac:dyDescent="0.25">
      <c r="A271" s="94">
        <v>269</v>
      </c>
      <c r="B271" s="94" t="s">
        <v>387</v>
      </c>
      <c r="C271" s="94" t="s">
        <v>186</v>
      </c>
      <c r="D271" s="94" t="s">
        <v>186</v>
      </c>
      <c r="E271" s="94" t="s">
        <v>388</v>
      </c>
      <c r="F271" s="94" t="s">
        <v>6</v>
      </c>
      <c r="G271" s="94">
        <v>2025</v>
      </c>
      <c r="H271" s="94">
        <v>-1</v>
      </c>
      <c r="I271" s="95"/>
      <c r="J271" s="96"/>
      <c r="K271" s="94">
        <v>1</v>
      </c>
      <c r="L271" s="117">
        <v>45888</v>
      </c>
      <c r="M271" s="94">
        <v>3</v>
      </c>
      <c r="N271" s="97">
        <v>73156</v>
      </c>
      <c r="O271" s="140">
        <v>85</v>
      </c>
      <c r="P271" s="127">
        <v>45889</v>
      </c>
      <c r="Q271" s="94">
        <v>1</v>
      </c>
      <c r="R271" s="97">
        <v>73795</v>
      </c>
      <c r="S271" s="94">
        <v>1</v>
      </c>
      <c r="T271" s="128">
        <v>45922</v>
      </c>
      <c r="U271" s="97">
        <v>61585</v>
      </c>
    </row>
    <row r="272" spans="1:22" ht="12" hidden="1" customHeight="1" x14ac:dyDescent="0.25">
      <c r="A272" s="94">
        <v>270</v>
      </c>
      <c r="B272" s="94" t="s">
        <v>387</v>
      </c>
      <c r="C272" s="94" t="s">
        <v>186</v>
      </c>
      <c r="D272" s="94" t="s">
        <v>186</v>
      </c>
      <c r="E272" s="94" t="s">
        <v>388</v>
      </c>
      <c r="F272" s="94" t="s">
        <v>6</v>
      </c>
      <c r="G272" s="94">
        <v>2025</v>
      </c>
      <c r="H272" s="94">
        <v>-1</v>
      </c>
      <c r="I272" s="95"/>
      <c r="J272" s="96"/>
      <c r="K272" s="94">
        <v>1</v>
      </c>
      <c r="L272" s="117">
        <v>45912</v>
      </c>
      <c r="M272" s="94">
        <v>4</v>
      </c>
      <c r="N272" s="97">
        <v>70232</v>
      </c>
      <c r="O272" s="140">
        <v>93</v>
      </c>
      <c r="P272" s="127">
        <v>45919</v>
      </c>
      <c r="Q272" s="94">
        <v>1</v>
      </c>
      <c r="R272" s="97">
        <v>68819.633027522927</v>
      </c>
      <c r="S272" s="94">
        <v>1</v>
      </c>
      <c r="T272" s="128">
        <v>45950</v>
      </c>
      <c r="U272" s="133">
        <v>58240</v>
      </c>
    </row>
    <row r="273" spans="1:22" ht="12" hidden="1" customHeight="1" x14ac:dyDescent="0.25">
      <c r="A273" s="94">
        <v>271</v>
      </c>
      <c r="B273" s="94" t="s">
        <v>387</v>
      </c>
      <c r="C273" s="94" t="s">
        <v>186</v>
      </c>
      <c r="D273" s="94" t="s">
        <v>186</v>
      </c>
      <c r="E273" s="94" t="s">
        <v>388</v>
      </c>
      <c r="F273" s="94" t="s">
        <v>6</v>
      </c>
      <c r="G273" s="94">
        <v>2025</v>
      </c>
      <c r="H273" s="94">
        <v>-1</v>
      </c>
      <c r="I273" s="95"/>
      <c r="J273" s="96"/>
      <c r="K273" s="94">
        <v>1</v>
      </c>
      <c r="L273" s="117">
        <v>45945</v>
      </c>
      <c r="M273" s="94">
        <v>5</v>
      </c>
      <c r="N273" s="97">
        <v>38174</v>
      </c>
      <c r="O273" s="126">
        <v>100</v>
      </c>
      <c r="P273" s="128">
        <v>45947</v>
      </c>
      <c r="Q273" s="94">
        <v>1</v>
      </c>
      <c r="R273" s="97">
        <v>34046</v>
      </c>
      <c r="S273" s="94">
        <v>1</v>
      </c>
      <c r="T273" s="128">
        <v>45980</v>
      </c>
      <c r="U273" s="97">
        <v>32689</v>
      </c>
    </row>
    <row r="274" spans="1:22" ht="12" hidden="1" customHeight="1" x14ac:dyDescent="0.25">
      <c r="A274" s="94">
        <v>272</v>
      </c>
      <c r="B274" s="94" t="s">
        <v>387</v>
      </c>
      <c r="C274" s="94" t="s">
        <v>186</v>
      </c>
      <c r="D274" s="94" t="s">
        <v>186</v>
      </c>
      <c r="E274" s="94" t="s">
        <v>388</v>
      </c>
      <c r="F274" s="94" t="s">
        <v>6</v>
      </c>
      <c r="G274" s="94">
        <v>2025</v>
      </c>
      <c r="H274" s="94">
        <v>-1</v>
      </c>
      <c r="I274" s="95"/>
      <c r="J274" s="96"/>
      <c r="K274" s="94">
        <v>1</v>
      </c>
      <c r="L274" s="117">
        <v>45976</v>
      </c>
      <c r="M274" s="94">
        <v>6</v>
      </c>
      <c r="N274" s="97">
        <v>61627</v>
      </c>
      <c r="O274" s="126">
        <v>113</v>
      </c>
      <c r="P274" s="128">
        <v>45979</v>
      </c>
      <c r="Q274" s="94">
        <v>1</v>
      </c>
      <c r="R274" s="97">
        <v>61627</v>
      </c>
      <c r="S274" s="94">
        <v>1</v>
      </c>
      <c r="T274" s="128">
        <v>46009</v>
      </c>
      <c r="U274" s="97">
        <v>51794</v>
      </c>
      <c r="V274" s="94" t="s">
        <v>695</v>
      </c>
    </row>
    <row r="275" spans="1:22" ht="12" customHeight="1" x14ac:dyDescent="0.25">
      <c r="A275" s="94">
        <v>273</v>
      </c>
      <c r="B275" s="94" t="s">
        <v>387</v>
      </c>
      <c r="C275" s="94" t="s">
        <v>186</v>
      </c>
      <c r="D275" s="94" t="s">
        <v>186</v>
      </c>
      <c r="E275" s="94" t="s">
        <v>388</v>
      </c>
      <c r="F275" s="94" t="s">
        <v>6</v>
      </c>
      <c r="G275" s="94">
        <v>2025</v>
      </c>
      <c r="H275" s="94">
        <v>-1</v>
      </c>
      <c r="I275" s="95"/>
      <c r="J275" s="96"/>
      <c r="K275" s="94">
        <v>1</v>
      </c>
      <c r="L275" s="117">
        <v>46006</v>
      </c>
      <c r="M275" s="94">
        <v>7</v>
      </c>
      <c r="N275" s="97">
        <v>50479</v>
      </c>
      <c r="O275" s="140">
        <v>117</v>
      </c>
      <c r="P275" s="128">
        <v>46010</v>
      </c>
      <c r="Q275" s="94">
        <v>1</v>
      </c>
      <c r="R275" s="97">
        <v>50479</v>
      </c>
      <c r="S275" s="94">
        <v>-1</v>
      </c>
      <c r="T275" s="128">
        <v>46041</v>
      </c>
      <c r="U275" s="97">
        <v>42274</v>
      </c>
    </row>
    <row r="276" spans="1:22" ht="12" hidden="1" customHeight="1" x14ac:dyDescent="0.25">
      <c r="A276" s="94">
        <v>274</v>
      </c>
      <c r="B276" s="94" t="s">
        <v>387</v>
      </c>
      <c r="C276" s="94" t="s">
        <v>186</v>
      </c>
      <c r="D276" s="98" t="s">
        <v>186</v>
      </c>
      <c r="E276" s="98" t="s">
        <v>388</v>
      </c>
      <c r="F276" s="98" t="s">
        <v>6</v>
      </c>
      <c r="G276" s="98">
        <v>2026</v>
      </c>
      <c r="H276" s="98">
        <v>-1</v>
      </c>
      <c r="I276" s="98"/>
      <c r="J276" s="146"/>
      <c r="K276" s="98">
        <v>1</v>
      </c>
      <c r="L276" s="111">
        <v>46041</v>
      </c>
      <c r="M276" s="98">
        <v>8</v>
      </c>
      <c r="N276" s="129">
        <v>49840</v>
      </c>
      <c r="O276" s="147">
        <v>3</v>
      </c>
      <c r="P276" s="111">
        <v>46044</v>
      </c>
      <c r="Q276" s="98">
        <v>1</v>
      </c>
      <c r="R276" s="129">
        <v>45265</v>
      </c>
      <c r="S276" s="94">
        <v>-1</v>
      </c>
      <c r="T276" s="111">
        <v>46075</v>
      </c>
      <c r="U276" s="129">
        <v>45265</v>
      </c>
      <c r="V276" s="98"/>
    </row>
    <row r="277" spans="1:22" ht="12" hidden="1" customHeight="1" x14ac:dyDescent="0.25">
      <c r="A277" s="94">
        <v>275</v>
      </c>
      <c r="B277" s="94" t="s">
        <v>60</v>
      </c>
      <c r="C277" s="94" t="s">
        <v>61</v>
      </c>
      <c r="D277" s="98" t="s">
        <v>61</v>
      </c>
      <c r="E277" s="98" t="s">
        <v>390</v>
      </c>
      <c r="F277" s="98" t="s">
        <v>62</v>
      </c>
      <c r="G277" s="98">
        <v>2025</v>
      </c>
      <c r="H277" s="98">
        <v>-1</v>
      </c>
      <c r="I277" s="98"/>
      <c r="J277" s="146"/>
      <c r="K277" s="98">
        <v>1</v>
      </c>
      <c r="L277" s="111">
        <v>45713</v>
      </c>
      <c r="M277" s="98">
        <v>1</v>
      </c>
      <c r="N277" s="129">
        <v>82861</v>
      </c>
      <c r="O277" s="147" t="s">
        <v>255</v>
      </c>
      <c r="P277" s="111">
        <v>45803</v>
      </c>
      <c r="Q277" s="98">
        <v>1</v>
      </c>
      <c r="R277" s="129">
        <v>82861</v>
      </c>
      <c r="S277" s="94">
        <v>1</v>
      </c>
      <c r="T277" s="111">
        <v>45810</v>
      </c>
      <c r="U277" s="129">
        <v>82861</v>
      </c>
      <c r="V277" s="98" t="s">
        <v>62</v>
      </c>
    </row>
    <row r="278" spans="1:22" ht="12" hidden="1" customHeight="1" x14ac:dyDescent="0.25">
      <c r="A278" s="94">
        <v>276</v>
      </c>
      <c r="B278" s="94" t="s">
        <v>60</v>
      </c>
      <c r="C278" s="99" t="s">
        <v>61</v>
      </c>
      <c r="D278" s="94" t="s">
        <v>61</v>
      </c>
      <c r="E278" s="94" t="s">
        <v>390</v>
      </c>
      <c r="F278" s="94" t="s">
        <v>62</v>
      </c>
      <c r="G278" s="94">
        <v>2025</v>
      </c>
      <c r="H278" s="94">
        <v>-1</v>
      </c>
      <c r="I278" s="95"/>
      <c r="J278" s="96"/>
      <c r="K278" s="94">
        <v>1</v>
      </c>
      <c r="L278" s="117">
        <v>45741</v>
      </c>
      <c r="M278" s="94">
        <v>2</v>
      </c>
      <c r="N278" s="97">
        <v>89646</v>
      </c>
      <c r="O278" s="126" t="s">
        <v>255</v>
      </c>
      <c r="P278" s="127">
        <v>45803</v>
      </c>
      <c r="Q278" s="94">
        <v>1</v>
      </c>
      <c r="R278" s="97">
        <v>89646</v>
      </c>
      <c r="S278" s="94">
        <v>1</v>
      </c>
      <c r="T278" s="128">
        <v>45810</v>
      </c>
      <c r="U278" s="97">
        <v>89646</v>
      </c>
      <c r="V278" s="94" t="s">
        <v>62</v>
      </c>
    </row>
    <row r="279" spans="1:22" ht="12" hidden="1" customHeight="1" x14ac:dyDescent="0.25">
      <c r="A279" s="94">
        <v>277</v>
      </c>
      <c r="B279" s="94" t="s">
        <v>60</v>
      </c>
      <c r="C279" s="94" t="s">
        <v>61</v>
      </c>
      <c r="D279" s="121" t="s">
        <v>61</v>
      </c>
      <c r="E279" s="94" t="s">
        <v>390</v>
      </c>
      <c r="F279" s="94" t="s">
        <v>62</v>
      </c>
      <c r="G279" s="94">
        <v>2025</v>
      </c>
      <c r="H279" s="94">
        <v>-1</v>
      </c>
      <c r="I279" s="95"/>
      <c r="J279" s="96"/>
      <c r="K279" s="94">
        <v>1</v>
      </c>
      <c r="L279" s="117">
        <v>45859</v>
      </c>
      <c r="M279" s="94">
        <v>3</v>
      </c>
      <c r="N279" s="97">
        <v>99524</v>
      </c>
      <c r="O279" s="126" t="s">
        <v>255</v>
      </c>
      <c r="P279" s="127">
        <v>45862</v>
      </c>
      <c r="Q279" s="94">
        <v>1</v>
      </c>
      <c r="R279" s="97">
        <v>99524</v>
      </c>
      <c r="S279" s="94">
        <v>1</v>
      </c>
      <c r="T279" s="128">
        <v>45897</v>
      </c>
      <c r="U279" s="97">
        <v>99524</v>
      </c>
      <c r="V279" s="94" t="s">
        <v>62</v>
      </c>
    </row>
    <row r="280" spans="1:22" ht="12" hidden="1" customHeight="1" x14ac:dyDescent="0.25">
      <c r="A280" s="94">
        <v>278</v>
      </c>
      <c r="B280" s="94" t="s">
        <v>391</v>
      </c>
      <c r="C280" s="94" t="s">
        <v>392</v>
      </c>
      <c r="D280" s="94" t="s">
        <v>392</v>
      </c>
      <c r="E280" s="94" t="s">
        <v>393</v>
      </c>
      <c r="F280" s="94" t="s">
        <v>70</v>
      </c>
      <c r="G280" s="94">
        <v>2023</v>
      </c>
      <c r="H280" s="94">
        <v>-1</v>
      </c>
      <c r="I280" s="95"/>
      <c r="J280" s="96"/>
      <c r="K280" s="94">
        <v>1</v>
      </c>
      <c r="L280" s="117">
        <v>44916</v>
      </c>
      <c r="M280" s="94">
        <v>1</v>
      </c>
      <c r="N280" s="97">
        <v>15716.25</v>
      </c>
      <c r="O280" s="126" t="s">
        <v>394</v>
      </c>
      <c r="P280" s="127">
        <v>44953</v>
      </c>
      <c r="Q280" s="94">
        <v>1</v>
      </c>
      <c r="R280" s="97">
        <v>15176</v>
      </c>
      <c r="S280" s="94">
        <v>1</v>
      </c>
      <c r="T280" s="128">
        <v>44973</v>
      </c>
      <c r="U280" s="97">
        <v>15176</v>
      </c>
    </row>
    <row r="281" spans="1:22" ht="12" hidden="1" customHeight="1" x14ac:dyDescent="0.25">
      <c r="A281" s="94">
        <v>279</v>
      </c>
      <c r="B281" s="94" t="s">
        <v>391</v>
      </c>
      <c r="C281" s="94" t="s">
        <v>392</v>
      </c>
      <c r="D281" s="94" t="s">
        <v>392</v>
      </c>
      <c r="E281" s="94" t="s">
        <v>393</v>
      </c>
      <c r="F281" s="94" t="s">
        <v>70</v>
      </c>
      <c r="G281" s="94">
        <v>2023</v>
      </c>
      <c r="H281" s="94">
        <v>-1</v>
      </c>
      <c r="I281" s="95"/>
      <c r="J281" s="96"/>
      <c r="K281" s="94">
        <v>1</v>
      </c>
      <c r="L281" s="117">
        <v>44978</v>
      </c>
      <c r="M281" s="94">
        <v>2</v>
      </c>
      <c r="N281" s="97">
        <v>35043.75</v>
      </c>
      <c r="O281" s="126" t="s">
        <v>395</v>
      </c>
      <c r="P281" s="127">
        <v>44988</v>
      </c>
      <c r="Q281" s="94">
        <v>1</v>
      </c>
      <c r="R281" s="97">
        <v>35043.75</v>
      </c>
      <c r="S281" s="94">
        <v>1</v>
      </c>
      <c r="T281" s="128">
        <v>45110</v>
      </c>
      <c r="U281" s="97">
        <v>35043.75</v>
      </c>
    </row>
    <row r="282" spans="1:22" ht="12" hidden="1" customHeight="1" x14ac:dyDescent="0.25">
      <c r="A282" s="94">
        <v>280</v>
      </c>
      <c r="C282" s="94" t="s">
        <v>95</v>
      </c>
      <c r="D282" s="94" t="s">
        <v>95</v>
      </c>
      <c r="E282" s="94" t="s">
        <v>95</v>
      </c>
      <c r="F282" s="94" t="s">
        <v>96</v>
      </c>
      <c r="G282" s="94">
        <v>2025</v>
      </c>
      <c r="H282" s="94">
        <v>-1</v>
      </c>
      <c r="I282" s="95"/>
      <c r="J282" s="96"/>
      <c r="K282" s="94">
        <v>-1</v>
      </c>
      <c r="L282" s="117"/>
      <c r="M282" s="94"/>
      <c r="O282" s="126" t="s">
        <v>255</v>
      </c>
      <c r="P282" s="127">
        <v>45868</v>
      </c>
      <c r="Q282" s="94">
        <v>1</v>
      </c>
      <c r="R282" s="97">
        <v>20000</v>
      </c>
      <c r="S282" s="94">
        <v>1</v>
      </c>
      <c r="T282" s="128">
        <v>45877</v>
      </c>
      <c r="U282" s="97">
        <v>20000</v>
      </c>
    </row>
    <row r="283" spans="1:22" ht="12" hidden="1" customHeight="1" x14ac:dyDescent="0.25">
      <c r="A283" s="94">
        <v>281</v>
      </c>
      <c r="B283" s="94" t="s">
        <v>396</v>
      </c>
      <c r="C283" s="94" t="s">
        <v>397</v>
      </c>
      <c r="D283" s="121" t="s">
        <v>397</v>
      </c>
      <c r="E283" s="94" t="s">
        <v>398</v>
      </c>
      <c r="F283" s="94" t="s">
        <v>94</v>
      </c>
      <c r="G283" s="94">
        <v>2024</v>
      </c>
      <c r="H283" s="94">
        <v>-1</v>
      </c>
      <c r="I283" s="95"/>
      <c r="J283" s="96"/>
      <c r="K283" s="94">
        <v>1</v>
      </c>
      <c r="L283" s="117">
        <v>45498</v>
      </c>
      <c r="M283" s="120">
        <v>1</v>
      </c>
      <c r="N283" s="97">
        <v>76050</v>
      </c>
      <c r="O283" s="126" t="s">
        <v>255</v>
      </c>
      <c r="P283" s="127">
        <v>45582</v>
      </c>
      <c r="Q283" s="94">
        <v>1</v>
      </c>
      <c r="R283" s="97">
        <v>76050</v>
      </c>
      <c r="S283" s="94">
        <v>1</v>
      </c>
      <c r="T283" s="128">
        <v>45582</v>
      </c>
      <c r="U283" s="97">
        <v>76050</v>
      </c>
    </row>
    <row r="284" spans="1:22" ht="12" hidden="1" customHeight="1" x14ac:dyDescent="0.25">
      <c r="A284" s="94">
        <v>282</v>
      </c>
      <c r="B284" s="94" t="s">
        <v>396</v>
      </c>
      <c r="C284" s="94" t="s">
        <v>397</v>
      </c>
      <c r="D284" s="94" t="s">
        <v>397</v>
      </c>
      <c r="E284" s="94" t="s">
        <v>398</v>
      </c>
      <c r="F284" s="94" t="s">
        <v>94</v>
      </c>
      <c r="G284" s="94">
        <v>2024</v>
      </c>
      <c r="H284" s="94">
        <v>-1</v>
      </c>
      <c r="I284" s="95"/>
      <c r="J284" s="96"/>
      <c r="K284" s="94">
        <v>1</v>
      </c>
      <c r="L284" s="117">
        <v>45651</v>
      </c>
      <c r="M284" s="94">
        <v>2</v>
      </c>
      <c r="N284" s="136">
        <v>76050</v>
      </c>
      <c r="O284" s="126" t="s">
        <v>255</v>
      </c>
      <c r="P284" s="127">
        <v>45651</v>
      </c>
      <c r="Q284" s="94">
        <v>1</v>
      </c>
      <c r="R284" s="97">
        <v>76050</v>
      </c>
      <c r="S284" s="94">
        <v>1</v>
      </c>
      <c r="T284" s="128">
        <v>45652</v>
      </c>
      <c r="U284" s="97">
        <v>76050</v>
      </c>
    </row>
    <row r="285" spans="1:22" s="98" customFormat="1" ht="12" hidden="1" customHeight="1" x14ac:dyDescent="0.25">
      <c r="A285" s="94">
        <v>283</v>
      </c>
      <c r="B285" s="94" t="s">
        <v>399</v>
      </c>
      <c r="C285" s="94" t="s">
        <v>400</v>
      </c>
      <c r="D285" s="94" t="s">
        <v>400</v>
      </c>
      <c r="E285" s="94" t="s">
        <v>401</v>
      </c>
      <c r="F285" s="94" t="s">
        <v>70</v>
      </c>
      <c r="G285" s="94">
        <v>2024</v>
      </c>
      <c r="H285" s="94">
        <v>1</v>
      </c>
      <c r="I285" s="95">
        <v>45383</v>
      </c>
      <c r="J285" s="96">
        <v>88024</v>
      </c>
      <c r="K285" s="94">
        <v>1</v>
      </c>
      <c r="L285" s="117">
        <v>45400</v>
      </c>
      <c r="M285" s="94">
        <v>1</v>
      </c>
      <c r="N285" s="97">
        <v>85103</v>
      </c>
      <c r="O285" s="126" t="s">
        <v>402</v>
      </c>
      <c r="P285" s="127">
        <v>45427</v>
      </c>
      <c r="Q285" s="94">
        <v>1</v>
      </c>
      <c r="R285" s="97">
        <v>85103</v>
      </c>
      <c r="S285" s="94">
        <v>1</v>
      </c>
      <c r="T285" s="128">
        <v>45562</v>
      </c>
      <c r="U285" s="96">
        <v>82549.91</v>
      </c>
      <c r="V285" s="94"/>
    </row>
    <row r="286" spans="1:22" s="98" customFormat="1" ht="12" hidden="1" customHeight="1" x14ac:dyDescent="0.25">
      <c r="A286" s="94">
        <v>284</v>
      </c>
      <c r="B286" s="94" t="s">
        <v>399</v>
      </c>
      <c r="C286" s="94" t="s">
        <v>400</v>
      </c>
      <c r="D286" s="98" t="s">
        <v>400</v>
      </c>
      <c r="E286" s="98" t="s">
        <v>401</v>
      </c>
      <c r="F286" s="98" t="s">
        <v>70</v>
      </c>
      <c r="G286" s="98">
        <v>2024</v>
      </c>
      <c r="H286" s="98">
        <v>-1</v>
      </c>
      <c r="J286" s="146"/>
      <c r="K286" s="98">
        <v>1</v>
      </c>
      <c r="L286" s="111">
        <v>45430</v>
      </c>
      <c r="M286" s="98">
        <v>2</v>
      </c>
      <c r="N286" s="129">
        <v>70709</v>
      </c>
      <c r="O286" s="147" t="s">
        <v>403</v>
      </c>
      <c r="P286" s="111">
        <v>45441</v>
      </c>
      <c r="Q286" s="98">
        <v>1</v>
      </c>
      <c r="R286" s="129">
        <v>70709</v>
      </c>
      <c r="S286" s="94">
        <v>1</v>
      </c>
      <c r="T286" s="111">
        <v>45562</v>
      </c>
      <c r="U286" s="129">
        <v>70709.97</v>
      </c>
    </row>
    <row r="287" spans="1:22" s="98" customFormat="1" ht="12" hidden="1" customHeight="1" x14ac:dyDescent="0.25">
      <c r="A287" s="94">
        <v>285</v>
      </c>
      <c r="B287" s="94" t="s">
        <v>399</v>
      </c>
      <c r="C287" s="94" t="s">
        <v>400</v>
      </c>
      <c r="D287" s="94" t="s">
        <v>400</v>
      </c>
      <c r="E287" s="94" t="s">
        <v>401</v>
      </c>
      <c r="F287" s="94" t="s">
        <v>70</v>
      </c>
      <c r="G287" s="94">
        <v>2024</v>
      </c>
      <c r="H287" s="94">
        <v>-1</v>
      </c>
      <c r="I287" s="95"/>
      <c r="J287" s="96"/>
      <c r="K287" s="94">
        <v>1</v>
      </c>
      <c r="L287" s="117">
        <v>45498</v>
      </c>
      <c r="M287" s="94">
        <v>3</v>
      </c>
      <c r="N287" s="97">
        <v>42188</v>
      </c>
      <c r="O287" s="126" t="s">
        <v>404</v>
      </c>
      <c r="P287" s="127">
        <v>45524</v>
      </c>
      <c r="Q287" s="94">
        <v>1</v>
      </c>
      <c r="R287" s="97">
        <v>40869</v>
      </c>
      <c r="S287" s="94">
        <v>1</v>
      </c>
      <c r="T287" s="128">
        <v>45583</v>
      </c>
      <c r="U287" s="97">
        <v>40036</v>
      </c>
      <c r="V287" s="94"/>
    </row>
    <row r="288" spans="1:22" s="98" customFormat="1" ht="12" hidden="1" customHeight="1" x14ac:dyDescent="0.25">
      <c r="A288" s="94">
        <v>286</v>
      </c>
      <c r="B288" s="94" t="s">
        <v>405</v>
      </c>
      <c r="C288" s="94" t="s">
        <v>406</v>
      </c>
      <c r="D288" s="94" t="s">
        <v>406</v>
      </c>
      <c r="E288" s="94" t="s">
        <v>254</v>
      </c>
      <c r="F288" s="94" t="s">
        <v>18</v>
      </c>
      <c r="G288" s="94">
        <v>2024</v>
      </c>
      <c r="H288" s="94">
        <v>-1</v>
      </c>
      <c r="I288" s="95"/>
      <c r="J288" s="96"/>
      <c r="K288" s="94">
        <v>1</v>
      </c>
      <c r="L288" s="117">
        <v>45527</v>
      </c>
      <c r="M288" s="94">
        <v>1</v>
      </c>
      <c r="N288" s="97">
        <v>12000</v>
      </c>
      <c r="O288" s="126">
        <v>215</v>
      </c>
      <c r="P288" s="127">
        <v>45547</v>
      </c>
      <c r="Q288" s="94">
        <v>1</v>
      </c>
      <c r="R288" s="97">
        <v>12000</v>
      </c>
      <c r="S288" s="94">
        <v>1</v>
      </c>
      <c r="T288" s="128">
        <v>45576</v>
      </c>
      <c r="U288" s="97">
        <v>12000</v>
      </c>
      <c r="V288" s="94"/>
    </row>
    <row r="289" spans="1:22" s="98" customFormat="1" ht="12" hidden="1" customHeight="1" x14ac:dyDescent="0.25">
      <c r="A289" s="94">
        <v>287</v>
      </c>
      <c r="B289" s="94" t="s">
        <v>407</v>
      </c>
      <c r="C289" s="94" t="s">
        <v>73</v>
      </c>
      <c r="D289" s="94" t="s">
        <v>73</v>
      </c>
      <c r="E289" s="94" t="s">
        <v>408</v>
      </c>
      <c r="F289" s="94" t="s">
        <v>70</v>
      </c>
      <c r="G289" s="94">
        <v>2025</v>
      </c>
      <c r="H289" s="94">
        <v>-1</v>
      </c>
      <c r="I289" s="95"/>
      <c r="J289" s="96"/>
      <c r="K289" s="94">
        <v>1</v>
      </c>
      <c r="L289" s="117">
        <v>45804</v>
      </c>
      <c r="M289" s="94">
        <v>1</v>
      </c>
      <c r="N289" s="97">
        <v>36720</v>
      </c>
      <c r="O289" s="126" t="s">
        <v>409</v>
      </c>
      <c r="P289" s="127">
        <v>45820</v>
      </c>
      <c r="Q289" s="94">
        <v>1</v>
      </c>
      <c r="R289" s="97">
        <v>36720</v>
      </c>
      <c r="S289" s="94">
        <v>1</v>
      </c>
      <c r="T289" s="128">
        <v>45877</v>
      </c>
      <c r="U289" s="97">
        <v>36720</v>
      </c>
      <c r="V289" s="94"/>
    </row>
    <row r="290" spans="1:22" s="98" customFormat="1" ht="12" hidden="1" x14ac:dyDescent="0.25">
      <c r="A290" s="94">
        <v>288</v>
      </c>
      <c r="B290" s="94" t="s">
        <v>410</v>
      </c>
      <c r="C290" s="94" t="s">
        <v>734</v>
      </c>
      <c r="D290" s="94" t="s">
        <v>411</v>
      </c>
      <c r="E290" s="94" t="s">
        <v>293</v>
      </c>
      <c r="F290" s="94" t="s">
        <v>70</v>
      </c>
      <c r="G290" s="94">
        <v>2023</v>
      </c>
      <c r="H290" s="94">
        <v>-1</v>
      </c>
      <c r="I290" s="95"/>
      <c r="J290" s="96"/>
      <c r="K290" s="94">
        <v>1</v>
      </c>
      <c r="L290" s="117">
        <v>44978</v>
      </c>
      <c r="M290" s="94">
        <v>1</v>
      </c>
      <c r="N290" s="96">
        <v>18991</v>
      </c>
      <c r="O290" s="126" t="s">
        <v>412</v>
      </c>
      <c r="P290" s="127">
        <v>44985</v>
      </c>
      <c r="Q290" s="94">
        <v>1</v>
      </c>
      <c r="R290" s="97">
        <v>18991</v>
      </c>
      <c r="S290" s="94">
        <v>1</v>
      </c>
      <c r="T290" s="128">
        <v>44993</v>
      </c>
      <c r="U290" s="97">
        <v>18991</v>
      </c>
      <c r="V290" s="94"/>
    </row>
    <row r="291" spans="1:22" s="98" customFormat="1" ht="12" hidden="1" customHeight="1" x14ac:dyDescent="0.25">
      <c r="A291" s="94">
        <v>289</v>
      </c>
      <c r="B291" s="94" t="s">
        <v>413</v>
      </c>
      <c r="C291" s="94" t="s">
        <v>414</v>
      </c>
      <c r="D291" s="94" t="s">
        <v>414</v>
      </c>
      <c r="E291" s="94" t="s">
        <v>415</v>
      </c>
      <c r="F291" s="94" t="s">
        <v>96</v>
      </c>
      <c r="G291" s="94">
        <v>2024</v>
      </c>
      <c r="H291" s="94">
        <v>-1</v>
      </c>
      <c r="I291" s="95"/>
      <c r="J291" s="96"/>
      <c r="K291" s="94">
        <v>1</v>
      </c>
      <c r="L291" s="117">
        <v>45498</v>
      </c>
      <c r="M291" s="94">
        <v>9</v>
      </c>
      <c r="N291" s="136">
        <v>16776</v>
      </c>
      <c r="O291" s="126">
        <v>9</v>
      </c>
      <c r="P291" s="127">
        <v>45510</v>
      </c>
      <c r="Q291" s="94">
        <v>1</v>
      </c>
      <c r="R291" s="97">
        <v>16776</v>
      </c>
      <c r="S291" s="94">
        <v>1</v>
      </c>
      <c r="T291" s="128">
        <v>45531</v>
      </c>
      <c r="U291" s="97">
        <v>16776</v>
      </c>
      <c r="V291" s="94"/>
    </row>
    <row r="292" spans="1:22" s="98" customFormat="1" ht="12" hidden="1" customHeight="1" x14ac:dyDescent="0.25">
      <c r="A292" s="94">
        <v>290</v>
      </c>
      <c r="B292" s="94" t="s">
        <v>413</v>
      </c>
      <c r="C292" s="94" t="s">
        <v>414</v>
      </c>
      <c r="D292" s="94" t="s">
        <v>414</v>
      </c>
      <c r="E292" s="94" t="s">
        <v>415</v>
      </c>
      <c r="F292" s="94" t="s">
        <v>96</v>
      </c>
      <c r="G292" s="94">
        <v>2024</v>
      </c>
      <c r="H292" s="94">
        <v>-1</v>
      </c>
      <c r="I292" s="95"/>
      <c r="J292" s="96"/>
      <c r="K292" s="94">
        <v>1</v>
      </c>
      <c r="L292" s="95">
        <v>45498</v>
      </c>
      <c r="M292" s="112">
        <v>10</v>
      </c>
      <c r="N292" s="97">
        <v>21370</v>
      </c>
      <c r="O292" s="126">
        <v>10</v>
      </c>
      <c r="P292" s="127">
        <v>45510</v>
      </c>
      <c r="Q292" s="94">
        <v>1</v>
      </c>
      <c r="R292" s="97">
        <v>21370</v>
      </c>
      <c r="S292" s="94">
        <v>1</v>
      </c>
      <c r="T292" s="128">
        <v>45544</v>
      </c>
      <c r="U292" s="97">
        <v>21370</v>
      </c>
      <c r="V292" s="94"/>
    </row>
    <row r="293" spans="1:22" s="98" customFormat="1" ht="12" hidden="1" customHeight="1" x14ac:dyDescent="0.25">
      <c r="A293" s="94">
        <v>291</v>
      </c>
      <c r="B293" s="94" t="s">
        <v>413</v>
      </c>
      <c r="C293" s="94" t="s">
        <v>414</v>
      </c>
      <c r="D293" s="94" t="s">
        <v>414</v>
      </c>
      <c r="E293" s="94" t="s">
        <v>415</v>
      </c>
      <c r="F293" s="94" t="s">
        <v>96</v>
      </c>
      <c r="G293" s="94">
        <v>2024</v>
      </c>
      <c r="H293" s="94">
        <v>-1</v>
      </c>
      <c r="I293" s="95"/>
      <c r="J293" s="96"/>
      <c r="K293" s="94">
        <v>1</v>
      </c>
      <c r="L293" s="95">
        <v>45534</v>
      </c>
      <c r="M293" s="94">
        <v>11</v>
      </c>
      <c r="N293" s="97">
        <v>24596</v>
      </c>
      <c r="O293" s="126">
        <v>11</v>
      </c>
      <c r="P293" s="127">
        <v>45538</v>
      </c>
      <c r="Q293" s="94">
        <v>1</v>
      </c>
      <c r="R293" s="97">
        <v>24596</v>
      </c>
      <c r="S293" s="94">
        <v>1</v>
      </c>
      <c r="T293" s="128">
        <v>45560</v>
      </c>
      <c r="U293" s="97">
        <v>24596</v>
      </c>
      <c r="V293" s="94"/>
    </row>
    <row r="294" spans="1:22" s="98" customFormat="1" ht="12" hidden="1" customHeight="1" x14ac:dyDescent="0.25">
      <c r="A294" s="94">
        <v>292</v>
      </c>
      <c r="B294" s="94" t="s">
        <v>413</v>
      </c>
      <c r="C294" s="94" t="s">
        <v>414</v>
      </c>
      <c r="D294" s="94" t="s">
        <v>414</v>
      </c>
      <c r="E294" s="94" t="s">
        <v>415</v>
      </c>
      <c r="F294" s="94" t="s">
        <v>96</v>
      </c>
      <c r="G294" s="94">
        <v>2024</v>
      </c>
      <c r="H294" s="94">
        <v>-1</v>
      </c>
      <c r="I294" s="95"/>
      <c r="J294" s="142"/>
      <c r="K294" s="94">
        <v>1</v>
      </c>
      <c r="L294" s="95">
        <v>45565</v>
      </c>
      <c r="M294" s="94">
        <v>12</v>
      </c>
      <c r="N294" s="97">
        <v>45925</v>
      </c>
      <c r="O294" s="126">
        <v>12</v>
      </c>
      <c r="P294" s="127">
        <v>45568</v>
      </c>
      <c r="Q294" s="94">
        <v>1</v>
      </c>
      <c r="R294" s="97">
        <v>45925</v>
      </c>
      <c r="S294" s="94">
        <v>1</v>
      </c>
      <c r="T294" s="128">
        <v>45603</v>
      </c>
      <c r="U294" s="97">
        <v>45925</v>
      </c>
      <c r="V294" s="94"/>
    </row>
    <row r="295" spans="1:22" ht="12" hidden="1" customHeight="1" x14ac:dyDescent="0.25">
      <c r="A295" s="94">
        <v>293</v>
      </c>
      <c r="B295" s="94" t="s">
        <v>413</v>
      </c>
      <c r="C295" s="94" t="s">
        <v>414</v>
      </c>
      <c r="D295" s="94" t="s">
        <v>414</v>
      </c>
      <c r="E295" s="94" t="s">
        <v>415</v>
      </c>
      <c r="F295" s="94" t="s">
        <v>96</v>
      </c>
      <c r="G295" s="94">
        <v>2024</v>
      </c>
      <c r="H295" s="94">
        <v>-1</v>
      </c>
      <c r="I295" s="95"/>
      <c r="J295" s="142"/>
      <c r="K295" s="94">
        <v>1</v>
      </c>
      <c r="L295" s="95">
        <v>45596</v>
      </c>
      <c r="M295" s="94">
        <v>13</v>
      </c>
      <c r="N295" s="97">
        <v>46640</v>
      </c>
      <c r="O295" s="126">
        <v>13</v>
      </c>
      <c r="P295" s="127">
        <v>45597</v>
      </c>
      <c r="Q295" s="94">
        <v>1</v>
      </c>
      <c r="R295" s="97">
        <v>46640</v>
      </c>
      <c r="S295" s="94">
        <v>1</v>
      </c>
      <c r="T295" s="138">
        <v>45632</v>
      </c>
      <c r="U295" s="97">
        <v>46640</v>
      </c>
    </row>
    <row r="296" spans="1:22" s="98" customFormat="1" ht="12" hidden="1" x14ac:dyDescent="0.25">
      <c r="A296" s="94">
        <v>294</v>
      </c>
      <c r="B296" s="94" t="s">
        <v>416</v>
      </c>
      <c r="C296" s="94" t="s">
        <v>417</v>
      </c>
      <c r="D296" s="94" t="s">
        <v>417</v>
      </c>
      <c r="E296" s="94" t="s">
        <v>415</v>
      </c>
      <c r="F296" s="94" t="s">
        <v>96</v>
      </c>
      <c r="G296" s="94">
        <v>2023</v>
      </c>
      <c r="H296" s="94">
        <v>1</v>
      </c>
      <c r="I296" s="95">
        <v>45231</v>
      </c>
      <c r="J296" s="142">
        <v>26000</v>
      </c>
      <c r="K296" s="94">
        <v>1</v>
      </c>
      <c r="L296" s="95">
        <v>45250</v>
      </c>
      <c r="M296" s="94">
        <v>1</v>
      </c>
      <c r="N296" s="137">
        <v>35720</v>
      </c>
      <c r="O296" s="126">
        <v>1</v>
      </c>
      <c r="P296" s="127">
        <v>45265</v>
      </c>
      <c r="Q296" s="94">
        <v>1</v>
      </c>
      <c r="R296" s="97">
        <v>52804</v>
      </c>
      <c r="S296" s="94">
        <v>1</v>
      </c>
      <c r="T296" s="128">
        <v>45336</v>
      </c>
      <c r="U296" s="136">
        <v>52804</v>
      </c>
      <c r="V296" s="94"/>
    </row>
    <row r="297" spans="1:22" ht="12" hidden="1" customHeight="1" x14ac:dyDescent="0.25">
      <c r="A297" s="94">
        <v>295</v>
      </c>
      <c r="B297" s="94" t="s">
        <v>416</v>
      </c>
      <c r="C297" s="94" t="s">
        <v>417</v>
      </c>
      <c r="D297" s="94" t="s">
        <v>417</v>
      </c>
      <c r="E297" s="94" t="s">
        <v>415</v>
      </c>
      <c r="F297" s="94" t="s">
        <v>96</v>
      </c>
      <c r="G297" s="94">
        <v>2023</v>
      </c>
      <c r="H297" s="94">
        <v>1</v>
      </c>
      <c r="I297" s="95">
        <v>45261</v>
      </c>
      <c r="J297" s="96">
        <v>35720</v>
      </c>
      <c r="K297" s="94">
        <v>1</v>
      </c>
      <c r="L297" s="95">
        <v>45289</v>
      </c>
      <c r="M297" s="94">
        <v>2</v>
      </c>
      <c r="N297" s="97">
        <v>66664</v>
      </c>
      <c r="O297" s="126">
        <v>2</v>
      </c>
      <c r="P297" s="127">
        <v>45296</v>
      </c>
      <c r="Q297" s="94">
        <v>1</v>
      </c>
      <c r="R297" s="97">
        <v>66664</v>
      </c>
      <c r="S297" s="94">
        <v>1</v>
      </c>
      <c r="T297" s="128">
        <v>45352</v>
      </c>
      <c r="U297" s="136">
        <v>66664</v>
      </c>
    </row>
    <row r="298" spans="1:22" ht="12" hidden="1" customHeight="1" x14ac:dyDescent="0.25">
      <c r="A298" s="94">
        <v>296</v>
      </c>
      <c r="B298" s="94" t="s">
        <v>416</v>
      </c>
      <c r="C298" s="94" t="s">
        <v>417</v>
      </c>
      <c r="D298" s="94" t="s">
        <v>417</v>
      </c>
      <c r="E298" s="94" t="s">
        <v>415</v>
      </c>
      <c r="F298" s="94" t="s">
        <v>96</v>
      </c>
      <c r="G298" s="94">
        <v>2024</v>
      </c>
      <c r="H298" s="94">
        <v>1</v>
      </c>
      <c r="I298" s="95">
        <v>45292</v>
      </c>
      <c r="J298" s="96">
        <v>96554</v>
      </c>
      <c r="K298" s="94">
        <v>1</v>
      </c>
      <c r="L298" s="117">
        <v>45320</v>
      </c>
      <c r="M298" s="94">
        <v>3</v>
      </c>
      <c r="N298" s="97">
        <v>96319</v>
      </c>
      <c r="O298" s="126">
        <v>3</v>
      </c>
      <c r="P298" s="127">
        <v>45327</v>
      </c>
      <c r="Q298" s="94">
        <v>1</v>
      </c>
      <c r="R298" s="97">
        <v>96319</v>
      </c>
      <c r="S298" s="94">
        <v>1</v>
      </c>
      <c r="T298" s="128">
        <v>45352</v>
      </c>
      <c r="U298" s="97">
        <v>96319</v>
      </c>
    </row>
    <row r="299" spans="1:22" ht="12" hidden="1" x14ac:dyDescent="0.25">
      <c r="A299" s="94">
        <v>297</v>
      </c>
      <c r="B299" s="94" t="s">
        <v>416</v>
      </c>
      <c r="C299" s="94" t="s">
        <v>417</v>
      </c>
      <c r="D299" s="94" t="s">
        <v>417</v>
      </c>
      <c r="E299" s="94" t="s">
        <v>415</v>
      </c>
      <c r="F299" s="94" t="s">
        <v>96</v>
      </c>
      <c r="G299" s="94">
        <v>2024</v>
      </c>
      <c r="H299" s="94">
        <v>1</v>
      </c>
      <c r="I299" s="95">
        <v>45323</v>
      </c>
      <c r="J299" s="96">
        <v>118000</v>
      </c>
      <c r="K299" s="94">
        <v>1</v>
      </c>
      <c r="L299" s="117">
        <v>45351</v>
      </c>
      <c r="M299" s="94">
        <v>4</v>
      </c>
      <c r="N299" s="97">
        <v>94543</v>
      </c>
      <c r="O299" s="126">
        <v>4</v>
      </c>
      <c r="P299" s="127">
        <v>45356</v>
      </c>
      <c r="Q299" s="94">
        <v>1</v>
      </c>
      <c r="R299" s="97">
        <v>102905</v>
      </c>
      <c r="S299" s="94">
        <v>1</v>
      </c>
      <c r="T299" s="128">
        <v>45380</v>
      </c>
      <c r="U299" s="97">
        <v>102905</v>
      </c>
    </row>
    <row r="300" spans="1:22" ht="12" hidden="1" x14ac:dyDescent="0.25">
      <c r="A300" s="94">
        <v>298</v>
      </c>
      <c r="B300" s="94" t="s">
        <v>416</v>
      </c>
      <c r="C300" s="94" t="s">
        <v>417</v>
      </c>
      <c r="D300" s="94" t="s">
        <v>417</v>
      </c>
      <c r="E300" s="94" t="s">
        <v>415</v>
      </c>
      <c r="F300" s="94" t="s">
        <v>96</v>
      </c>
      <c r="G300" s="94">
        <v>2024</v>
      </c>
      <c r="H300" s="94">
        <v>1</v>
      </c>
      <c r="I300" s="95">
        <v>45352</v>
      </c>
      <c r="J300" s="96">
        <v>118010</v>
      </c>
      <c r="K300" s="94">
        <v>1</v>
      </c>
      <c r="L300" s="117">
        <v>45376</v>
      </c>
      <c r="M300" s="94">
        <v>5</v>
      </c>
      <c r="N300" s="97">
        <v>118166</v>
      </c>
      <c r="O300" s="126">
        <v>5</v>
      </c>
      <c r="P300" s="127">
        <v>45384</v>
      </c>
      <c r="Q300" s="94">
        <v>1</v>
      </c>
      <c r="R300" s="97">
        <v>118166</v>
      </c>
      <c r="S300" s="94">
        <v>1</v>
      </c>
      <c r="T300" s="128">
        <v>45429</v>
      </c>
      <c r="U300" s="97">
        <v>118166</v>
      </c>
    </row>
    <row r="301" spans="1:22" ht="12" hidden="1" x14ac:dyDescent="0.25">
      <c r="A301" s="94">
        <v>299</v>
      </c>
      <c r="B301" s="94" t="s">
        <v>416</v>
      </c>
      <c r="C301" s="94" t="s">
        <v>417</v>
      </c>
      <c r="D301" s="94" t="s">
        <v>417</v>
      </c>
      <c r="E301" s="94" t="s">
        <v>415</v>
      </c>
      <c r="F301" s="94" t="s">
        <v>96</v>
      </c>
      <c r="G301" s="94">
        <v>2024</v>
      </c>
      <c r="H301" s="94">
        <v>1</v>
      </c>
      <c r="I301" s="95">
        <v>45383</v>
      </c>
      <c r="J301" s="96">
        <v>101918</v>
      </c>
      <c r="K301" s="94">
        <v>1</v>
      </c>
      <c r="L301" s="117">
        <v>45407</v>
      </c>
      <c r="M301" s="94">
        <v>6</v>
      </c>
      <c r="N301" s="97">
        <v>82732</v>
      </c>
      <c r="O301" s="126">
        <v>6</v>
      </c>
      <c r="P301" s="127">
        <v>45414</v>
      </c>
      <c r="Q301" s="94">
        <v>1</v>
      </c>
      <c r="R301" s="97">
        <v>70467</v>
      </c>
      <c r="S301" s="94">
        <v>1</v>
      </c>
      <c r="T301" s="128">
        <v>45436</v>
      </c>
      <c r="U301" s="97">
        <v>70467</v>
      </c>
    </row>
    <row r="302" spans="1:22" ht="12" hidden="1" x14ac:dyDescent="0.25">
      <c r="A302" s="94">
        <v>300</v>
      </c>
      <c r="B302" s="94" t="s">
        <v>416</v>
      </c>
      <c r="C302" s="94" t="s">
        <v>417</v>
      </c>
      <c r="D302" s="94" t="s">
        <v>417</v>
      </c>
      <c r="E302" s="94" t="s">
        <v>415</v>
      </c>
      <c r="F302" s="94" t="s">
        <v>96</v>
      </c>
      <c r="G302" s="94">
        <v>2024</v>
      </c>
      <c r="H302" s="94">
        <v>1</v>
      </c>
      <c r="I302" s="95">
        <v>45413</v>
      </c>
      <c r="J302" s="96">
        <v>44291</v>
      </c>
      <c r="K302" s="94">
        <v>1</v>
      </c>
      <c r="L302" s="117">
        <v>45435</v>
      </c>
      <c r="M302" s="94">
        <v>7</v>
      </c>
      <c r="N302" s="136">
        <v>44291</v>
      </c>
      <c r="O302" s="126">
        <v>7</v>
      </c>
      <c r="P302" s="127">
        <v>45447</v>
      </c>
      <c r="Q302" s="94">
        <v>1</v>
      </c>
      <c r="R302" s="97">
        <v>44291</v>
      </c>
      <c r="S302" s="94">
        <v>1</v>
      </c>
      <c r="T302" s="128">
        <v>45468</v>
      </c>
      <c r="U302" s="97">
        <v>44291</v>
      </c>
    </row>
    <row r="303" spans="1:22" s="98" customFormat="1" ht="12" hidden="1" x14ac:dyDescent="0.25">
      <c r="A303" s="94">
        <v>301</v>
      </c>
      <c r="B303" s="94" t="s">
        <v>416</v>
      </c>
      <c r="C303" s="94" t="s">
        <v>417</v>
      </c>
      <c r="D303" s="94" t="s">
        <v>417</v>
      </c>
      <c r="E303" s="94" t="s">
        <v>415</v>
      </c>
      <c r="F303" s="94" t="s">
        <v>96</v>
      </c>
      <c r="G303" s="94">
        <v>2024</v>
      </c>
      <c r="H303" s="94">
        <v>1</v>
      </c>
      <c r="I303" s="95">
        <v>45444</v>
      </c>
      <c r="J303" s="96">
        <v>10240</v>
      </c>
      <c r="K303" s="94">
        <v>1</v>
      </c>
      <c r="L303" s="117">
        <v>45468</v>
      </c>
      <c r="M303" s="94">
        <v>8</v>
      </c>
      <c r="N303" s="136">
        <v>10240</v>
      </c>
      <c r="O303" s="126">
        <v>8</v>
      </c>
      <c r="P303" s="127">
        <v>45474</v>
      </c>
      <c r="Q303" s="94">
        <v>1</v>
      </c>
      <c r="R303" s="97">
        <v>10240</v>
      </c>
      <c r="S303" s="94">
        <v>1</v>
      </c>
      <c r="T303" s="128">
        <v>45498</v>
      </c>
      <c r="U303" s="97">
        <v>10240</v>
      </c>
      <c r="V303" s="94"/>
    </row>
    <row r="304" spans="1:22" s="98" customFormat="1" ht="12" hidden="1" x14ac:dyDescent="0.25">
      <c r="A304" s="94">
        <v>302</v>
      </c>
      <c r="B304" s="94" t="s">
        <v>418</v>
      </c>
      <c r="C304" s="94" t="s">
        <v>735</v>
      </c>
      <c r="D304" s="94" t="s">
        <v>735</v>
      </c>
      <c r="E304" s="94" t="s">
        <v>419</v>
      </c>
      <c r="F304" s="94" t="s">
        <v>6</v>
      </c>
      <c r="G304" s="94">
        <v>2024</v>
      </c>
      <c r="H304" s="94">
        <v>-1</v>
      </c>
      <c r="I304" s="95"/>
      <c r="J304" s="96"/>
      <c r="K304" s="94">
        <v>1</v>
      </c>
      <c r="L304" s="117">
        <v>45498</v>
      </c>
      <c r="M304" s="94">
        <v>1</v>
      </c>
      <c r="N304" s="136">
        <v>72664</v>
      </c>
      <c r="O304" s="126">
        <v>44</v>
      </c>
      <c r="P304" s="127">
        <v>45531</v>
      </c>
      <c r="Q304" s="94">
        <v>1</v>
      </c>
      <c r="R304" s="97">
        <v>64906</v>
      </c>
      <c r="S304" s="94">
        <v>1</v>
      </c>
      <c r="T304" s="128">
        <v>45576</v>
      </c>
      <c r="U304" s="97">
        <v>63179</v>
      </c>
      <c r="V304" s="94"/>
    </row>
    <row r="305" spans="1:22" s="98" customFormat="1" ht="12" hidden="1" x14ac:dyDescent="0.25">
      <c r="A305" s="94">
        <v>303</v>
      </c>
      <c r="B305" s="94" t="s">
        <v>418</v>
      </c>
      <c r="C305" s="94" t="s">
        <v>735</v>
      </c>
      <c r="D305" s="94" t="s">
        <v>735</v>
      </c>
      <c r="E305" s="94" t="s">
        <v>419</v>
      </c>
      <c r="F305" s="94" t="s">
        <v>6</v>
      </c>
      <c r="G305" s="94">
        <v>2024</v>
      </c>
      <c r="H305" s="94">
        <v>-1</v>
      </c>
      <c r="I305" s="95"/>
      <c r="J305" s="96"/>
      <c r="K305" s="94">
        <v>1</v>
      </c>
      <c r="L305" s="117">
        <v>45580</v>
      </c>
      <c r="M305" s="94">
        <v>2</v>
      </c>
      <c r="N305" s="136">
        <v>38209</v>
      </c>
      <c r="O305" s="126">
        <v>47</v>
      </c>
      <c r="P305" s="127">
        <v>45580</v>
      </c>
      <c r="Q305" s="94">
        <v>1</v>
      </c>
      <c r="R305" s="97">
        <v>38209</v>
      </c>
      <c r="S305" s="94">
        <v>1</v>
      </c>
      <c r="T305" s="128">
        <v>45625</v>
      </c>
      <c r="U305" s="97">
        <v>34563</v>
      </c>
      <c r="V305" s="94"/>
    </row>
    <row r="306" spans="1:22" s="98" customFormat="1" ht="12" hidden="1" x14ac:dyDescent="0.25">
      <c r="A306" s="94">
        <v>304</v>
      </c>
      <c r="B306" s="94" t="s">
        <v>7</v>
      </c>
      <c r="C306" s="94" t="s">
        <v>8</v>
      </c>
      <c r="D306" s="94" t="s">
        <v>8</v>
      </c>
      <c r="E306" s="94" t="s">
        <v>419</v>
      </c>
      <c r="F306" s="94" t="s">
        <v>6</v>
      </c>
      <c r="G306" s="94">
        <v>2024</v>
      </c>
      <c r="H306" s="94">
        <v>-1</v>
      </c>
      <c r="I306" s="95">
        <v>45413</v>
      </c>
      <c r="J306" s="96"/>
      <c r="K306" s="94">
        <v>1</v>
      </c>
      <c r="L306" s="117">
        <v>45456</v>
      </c>
      <c r="M306" s="94">
        <v>1</v>
      </c>
      <c r="N306" s="136">
        <v>33440</v>
      </c>
      <c r="O306" s="126">
        <v>39</v>
      </c>
      <c r="P306" s="127">
        <v>45477</v>
      </c>
      <c r="Q306" s="94">
        <v>1</v>
      </c>
      <c r="R306" s="97">
        <v>23784</v>
      </c>
      <c r="S306" s="94">
        <v>1</v>
      </c>
      <c r="T306" s="128">
        <v>45520</v>
      </c>
      <c r="U306" s="97">
        <v>22903.034100000001</v>
      </c>
      <c r="V306" s="94"/>
    </row>
    <row r="307" spans="1:22" s="98" customFormat="1" ht="12" hidden="1" x14ac:dyDescent="0.25">
      <c r="A307" s="94">
        <v>305</v>
      </c>
      <c r="B307" s="94" t="s">
        <v>7</v>
      </c>
      <c r="C307" s="94" t="s">
        <v>8</v>
      </c>
      <c r="D307" s="94" t="s">
        <v>8</v>
      </c>
      <c r="E307" s="94" t="s">
        <v>419</v>
      </c>
      <c r="F307" s="94" t="s">
        <v>6</v>
      </c>
      <c r="G307" s="94">
        <v>2024</v>
      </c>
      <c r="H307" s="94">
        <v>1</v>
      </c>
      <c r="I307" s="95">
        <v>45444</v>
      </c>
      <c r="J307" s="96">
        <v>131619.5</v>
      </c>
      <c r="K307" s="94">
        <v>1</v>
      </c>
      <c r="L307" s="117">
        <v>45459</v>
      </c>
      <c r="M307" s="94">
        <v>2</v>
      </c>
      <c r="N307" s="97">
        <v>97282</v>
      </c>
      <c r="O307" s="126">
        <v>40</v>
      </c>
      <c r="P307" s="127">
        <v>45477</v>
      </c>
      <c r="Q307" s="94">
        <v>1</v>
      </c>
      <c r="R307" s="97">
        <v>94621</v>
      </c>
      <c r="S307" s="94">
        <v>1</v>
      </c>
      <c r="T307" s="128">
        <v>45520</v>
      </c>
      <c r="U307" s="97">
        <v>91116.781900000002</v>
      </c>
      <c r="V307" s="94"/>
    </row>
    <row r="308" spans="1:22" s="98" customFormat="1" ht="12" hidden="1" x14ac:dyDescent="0.25">
      <c r="A308" s="94">
        <v>306</v>
      </c>
      <c r="B308" s="94" t="s">
        <v>7</v>
      </c>
      <c r="C308" s="94" t="s">
        <v>8</v>
      </c>
      <c r="D308" s="94" t="s">
        <v>8</v>
      </c>
      <c r="E308" s="94" t="s">
        <v>419</v>
      </c>
      <c r="F308" s="94" t="s">
        <v>6</v>
      </c>
      <c r="G308" s="94">
        <v>2024</v>
      </c>
      <c r="H308" s="94">
        <v>-1</v>
      </c>
      <c r="I308" s="95"/>
      <c r="J308" s="96"/>
      <c r="K308" s="94">
        <v>1</v>
      </c>
      <c r="L308" s="117">
        <v>45523</v>
      </c>
      <c r="M308" s="94">
        <v>3</v>
      </c>
      <c r="N308" s="97">
        <v>27947</v>
      </c>
      <c r="O308" s="126">
        <v>43</v>
      </c>
      <c r="P308" s="127">
        <v>45527</v>
      </c>
      <c r="Q308" s="94">
        <v>1</v>
      </c>
      <c r="R308" s="97">
        <v>27216</v>
      </c>
      <c r="S308" s="94">
        <v>1</v>
      </c>
      <c r="T308" s="128">
        <v>45572</v>
      </c>
      <c r="U308" s="97">
        <v>25263</v>
      </c>
      <c r="V308" s="94"/>
    </row>
    <row r="309" spans="1:22" s="98" customFormat="1" ht="12" hidden="1" x14ac:dyDescent="0.25">
      <c r="A309" s="94">
        <v>307</v>
      </c>
      <c r="B309" s="94" t="s">
        <v>7</v>
      </c>
      <c r="C309" s="94" t="s">
        <v>8</v>
      </c>
      <c r="D309" s="94" t="s">
        <v>8</v>
      </c>
      <c r="E309" s="94" t="s">
        <v>419</v>
      </c>
      <c r="F309" s="94" t="s">
        <v>6</v>
      </c>
      <c r="G309" s="94">
        <v>2024</v>
      </c>
      <c r="H309" s="94">
        <v>-1</v>
      </c>
      <c r="I309" s="95"/>
      <c r="J309" s="96"/>
      <c r="K309" s="94">
        <v>1</v>
      </c>
      <c r="L309" s="117">
        <v>45552</v>
      </c>
      <c r="M309" s="94">
        <v>4</v>
      </c>
      <c r="N309" s="97">
        <v>26332</v>
      </c>
      <c r="O309" s="140">
        <v>46</v>
      </c>
      <c r="P309" s="127">
        <v>45558</v>
      </c>
      <c r="Q309" s="94">
        <v>1</v>
      </c>
      <c r="R309" s="97">
        <v>26332</v>
      </c>
      <c r="S309" s="94">
        <v>1</v>
      </c>
      <c r="T309" s="128">
        <v>45603</v>
      </c>
      <c r="U309" s="97">
        <v>26332</v>
      </c>
      <c r="V309" s="94"/>
    </row>
    <row r="310" spans="1:22" s="98" customFormat="1" ht="12" hidden="1" x14ac:dyDescent="0.25">
      <c r="A310" s="94">
        <v>308</v>
      </c>
      <c r="B310" s="94" t="s">
        <v>7</v>
      </c>
      <c r="C310" s="94" t="s">
        <v>8</v>
      </c>
      <c r="D310" s="94" t="s">
        <v>8</v>
      </c>
      <c r="E310" s="94" t="s">
        <v>419</v>
      </c>
      <c r="F310" s="94" t="s">
        <v>6</v>
      </c>
      <c r="G310" s="94">
        <v>2024</v>
      </c>
      <c r="H310" s="94">
        <v>-1</v>
      </c>
      <c r="I310" s="95"/>
      <c r="J310" s="96"/>
      <c r="K310" s="94">
        <v>1</v>
      </c>
      <c r="L310" s="117">
        <v>45589</v>
      </c>
      <c r="M310" s="94">
        <v>5</v>
      </c>
      <c r="N310" s="97">
        <v>11169</v>
      </c>
      <c r="O310" s="126">
        <v>50</v>
      </c>
      <c r="P310" s="127">
        <v>45600</v>
      </c>
      <c r="Q310" s="94">
        <v>1</v>
      </c>
      <c r="R310" s="97">
        <v>11350</v>
      </c>
      <c r="S310" s="94">
        <v>1</v>
      </c>
      <c r="T310" s="128">
        <v>45642</v>
      </c>
      <c r="U310" s="96">
        <v>10026.379999999999</v>
      </c>
      <c r="V310" s="94"/>
    </row>
    <row r="311" spans="1:22" s="98" customFormat="1" ht="12" hidden="1" x14ac:dyDescent="0.25">
      <c r="A311" s="94">
        <v>309</v>
      </c>
      <c r="B311" s="94" t="s">
        <v>7</v>
      </c>
      <c r="C311" s="94" t="s">
        <v>8</v>
      </c>
      <c r="D311" s="94" t="s">
        <v>8</v>
      </c>
      <c r="E311" s="94" t="s">
        <v>419</v>
      </c>
      <c r="F311" s="94" t="s">
        <v>6</v>
      </c>
      <c r="G311" s="94">
        <v>2024</v>
      </c>
      <c r="H311" s="94">
        <v>-1</v>
      </c>
      <c r="I311" s="95"/>
      <c r="J311" s="96"/>
      <c r="K311" s="94">
        <v>1</v>
      </c>
      <c r="L311" s="117">
        <v>45615</v>
      </c>
      <c r="M311" s="94">
        <v>6</v>
      </c>
      <c r="N311" s="97">
        <v>12089</v>
      </c>
      <c r="O311" s="126">
        <v>51</v>
      </c>
      <c r="P311" s="127">
        <v>45618</v>
      </c>
      <c r="Q311" s="94">
        <v>1</v>
      </c>
      <c r="R311" s="97">
        <v>10703</v>
      </c>
      <c r="S311" s="94">
        <v>1</v>
      </c>
      <c r="T311" s="128">
        <v>45663</v>
      </c>
      <c r="U311" s="96">
        <v>9454</v>
      </c>
      <c r="V311" s="94"/>
    </row>
    <row r="312" spans="1:22" s="98" customFormat="1" ht="12" hidden="1" x14ac:dyDescent="0.25">
      <c r="A312" s="94">
        <v>310</v>
      </c>
      <c r="B312" s="94" t="s">
        <v>7</v>
      </c>
      <c r="C312" s="94" t="s">
        <v>8</v>
      </c>
      <c r="D312" s="94" t="s">
        <v>8</v>
      </c>
      <c r="E312" s="94" t="s">
        <v>419</v>
      </c>
      <c r="F312" s="94" t="s">
        <v>6</v>
      </c>
      <c r="G312" s="94">
        <v>2025</v>
      </c>
      <c r="H312" s="94">
        <v>-1</v>
      </c>
      <c r="I312" s="95"/>
      <c r="J312" s="96"/>
      <c r="K312" s="94">
        <v>1</v>
      </c>
      <c r="L312" s="117">
        <v>45736</v>
      </c>
      <c r="M312" s="94">
        <v>7</v>
      </c>
      <c r="N312" s="97">
        <v>8092</v>
      </c>
      <c r="O312" s="126">
        <v>65</v>
      </c>
      <c r="P312" s="127">
        <v>45749</v>
      </c>
      <c r="Q312" s="94">
        <v>1</v>
      </c>
      <c r="R312" s="97">
        <v>8092</v>
      </c>
      <c r="S312" s="94">
        <v>1</v>
      </c>
      <c r="T312" s="128">
        <v>45796</v>
      </c>
      <c r="U312" s="96">
        <v>8092</v>
      </c>
      <c r="V312" s="94"/>
    </row>
    <row r="313" spans="1:22" s="98" customFormat="1" ht="12" hidden="1" x14ac:dyDescent="0.25">
      <c r="A313" s="94">
        <v>311</v>
      </c>
      <c r="B313" s="94" t="s">
        <v>420</v>
      </c>
      <c r="C313" s="94" t="s">
        <v>74</v>
      </c>
      <c r="D313" s="94" t="s">
        <v>74</v>
      </c>
      <c r="E313" s="94" t="s">
        <v>421</v>
      </c>
      <c r="F313" s="94" t="s">
        <v>70</v>
      </c>
      <c r="G313" s="94">
        <v>2025</v>
      </c>
      <c r="H313" s="94">
        <v>-1</v>
      </c>
      <c r="I313" s="95"/>
      <c r="J313" s="96"/>
      <c r="K313" s="94">
        <v>1</v>
      </c>
      <c r="L313" s="117">
        <v>45743</v>
      </c>
      <c r="M313" s="94">
        <v>1</v>
      </c>
      <c r="N313" s="97">
        <v>58150</v>
      </c>
      <c r="O313" s="126" t="s">
        <v>422</v>
      </c>
      <c r="P313" s="127">
        <v>45804</v>
      </c>
      <c r="Q313" s="94">
        <v>1</v>
      </c>
      <c r="R313" s="97">
        <v>58150</v>
      </c>
      <c r="S313" s="94">
        <v>1</v>
      </c>
      <c r="T313" s="128">
        <v>45839</v>
      </c>
      <c r="U313" s="97">
        <v>58150</v>
      </c>
      <c r="V313" s="94"/>
    </row>
    <row r="314" spans="1:22" s="98" customFormat="1" ht="12" hidden="1" x14ac:dyDescent="0.25">
      <c r="A314" s="94">
        <v>312</v>
      </c>
      <c r="B314" s="94" t="s">
        <v>420</v>
      </c>
      <c r="C314" s="94" t="s">
        <v>74</v>
      </c>
      <c r="D314" s="94" t="s">
        <v>74</v>
      </c>
      <c r="E314" s="94" t="s">
        <v>421</v>
      </c>
      <c r="F314" s="94" t="s">
        <v>70</v>
      </c>
      <c r="G314" s="94">
        <v>2025</v>
      </c>
      <c r="H314" s="94">
        <v>-1</v>
      </c>
      <c r="I314" s="95"/>
      <c r="J314" s="96"/>
      <c r="K314" s="94">
        <v>1</v>
      </c>
      <c r="L314" s="117">
        <v>45833</v>
      </c>
      <c r="M314" s="94">
        <v>2</v>
      </c>
      <c r="N314" s="97">
        <v>453390.59</v>
      </c>
      <c r="O314" s="126" t="s">
        <v>423</v>
      </c>
      <c r="P314" s="127">
        <v>45876</v>
      </c>
      <c r="Q314" s="94">
        <v>1</v>
      </c>
      <c r="R314" s="97">
        <v>453390.59</v>
      </c>
      <c r="S314" s="94">
        <v>1</v>
      </c>
      <c r="T314" s="128">
        <v>45890</v>
      </c>
      <c r="U314" s="96">
        <v>444151.6874113208</v>
      </c>
      <c r="V314" s="94"/>
    </row>
    <row r="315" spans="1:22" s="98" customFormat="1" ht="12" hidden="1" x14ac:dyDescent="0.25">
      <c r="A315" s="94">
        <v>313</v>
      </c>
      <c r="B315" s="94" t="s">
        <v>420</v>
      </c>
      <c r="C315" s="94" t="s">
        <v>74</v>
      </c>
      <c r="D315" s="94" t="s">
        <v>74</v>
      </c>
      <c r="E315" s="94" t="s">
        <v>421</v>
      </c>
      <c r="F315" s="94" t="s">
        <v>70</v>
      </c>
      <c r="G315" s="94">
        <v>2025</v>
      </c>
      <c r="H315" s="94">
        <v>-1</v>
      </c>
      <c r="I315" s="95"/>
      <c r="J315" s="96"/>
      <c r="K315" s="94">
        <v>1</v>
      </c>
      <c r="L315" s="95">
        <v>45887</v>
      </c>
      <c r="M315" s="112">
        <v>3</v>
      </c>
      <c r="N315" s="96">
        <v>153520</v>
      </c>
      <c r="O315" s="128" t="s">
        <v>424</v>
      </c>
      <c r="P315" s="127">
        <v>45926</v>
      </c>
      <c r="Q315" s="94">
        <v>1</v>
      </c>
      <c r="R315" s="97">
        <v>153520</v>
      </c>
      <c r="S315" s="94">
        <v>1</v>
      </c>
      <c r="T315" s="128">
        <v>45950</v>
      </c>
      <c r="U315" s="97">
        <v>152334.5</v>
      </c>
      <c r="V315" s="114"/>
    </row>
    <row r="316" spans="1:22" s="98" customFormat="1" ht="12" hidden="1" x14ac:dyDescent="0.25">
      <c r="A316" s="94">
        <v>314</v>
      </c>
      <c r="B316" s="94" t="s">
        <v>420</v>
      </c>
      <c r="C316" s="94" t="s">
        <v>74</v>
      </c>
      <c r="D316" s="94" t="s">
        <v>74</v>
      </c>
      <c r="E316" s="94" t="s">
        <v>421</v>
      </c>
      <c r="F316" s="94" t="s">
        <v>70</v>
      </c>
      <c r="G316" s="94">
        <v>2025</v>
      </c>
      <c r="H316" s="94">
        <v>-1</v>
      </c>
      <c r="I316" s="95"/>
      <c r="J316" s="96"/>
      <c r="K316" s="94">
        <v>1</v>
      </c>
      <c r="L316" s="95">
        <v>45954</v>
      </c>
      <c r="M316" s="94">
        <v>4</v>
      </c>
      <c r="N316" s="97">
        <v>205079</v>
      </c>
      <c r="O316" s="127" t="s">
        <v>681</v>
      </c>
      <c r="P316" s="127">
        <v>45972</v>
      </c>
      <c r="Q316" s="94">
        <v>1</v>
      </c>
      <c r="R316" s="97">
        <v>205079</v>
      </c>
      <c r="S316" s="94">
        <v>1</v>
      </c>
      <c r="T316" s="127">
        <v>46001</v>
      </c>
      <c r="U316" s="97">
        <v>200900.43396226413</v>
      </c>
      <c r="V316" s="148"/>
    </row>
    <row r="317" spans="1:22" s="98" customFormat="1" ht="12" hidden="1" customHeight="1" x14ac:dyDescent="0.25">
      <c r="A317" s="94">
        <v>315</v>
      </c>
      <c r="B317" s="94" t="s">
        <v>420</v>
      </c>
      <c r="C317" s="94" t="s">
        <v>74</v>
      </c>
      <c r="D317" s="94" t="s">
        <v>74</v>
      </c>
      <c r="E317" s="94" t="s">
        <v>421</v>
      </c>
      <c r="F317" s="94" t="s">
        <v>70</v>
      </c>
      <c r="G317" s="94">
        <v>2025</v>
      </c>
      <c r="H317" s="94">
        <v>-1</v>
      </c>
      <c r="I317" s="95"/>
      <c r="J317" s="142"/>
      <c r="K317" s="94">
        <v>1</v>
      </c>
      <c r="L317" s="95">
        <v>45986</v>
      </c>
      <c r="M317" s="94">
        <v>5</v>
      </c>
      <c r="N317" s="97">
        <v>119590</v>
      </c>
      <c r="O317" s="126" t="s">
        <v>696</v>
      </c>
      <c r="P317" s="127">
        <v>46010</v>
      </c>
      <c r="Q317" s="94">
        <v>1</v>
      </c>
      <c r="R317" s="97">
        <v>119590</v>
      </c>
      <c r="S317" s="94">
        <v>1</v>
      </c>
      <c r="T317" s="127">
        <v>46029</v>
      </c>
      <c r="U317" s="97">
        <v>119590</v>
      </c>
      <c r="V317" s="148"/>
    </row>
    <row r="318" spans="1:22" s="98" customFormat="1" ht="12" hidden="1" customHeight="1" x14ac:dyDescent="0.25">
      <c r="A318" s="94">
        <v>316</v>
      </c>
      <c r="B318" s="94" t="s">
        <v>420</v>
      </c>
      <c r="C318" s="94" t="s">
        <v>74</v>
      </c>
      <c r="D318" s="94" t="s">
        <v>74</v>
      </c>
      <c r="E318" s="94" t="s">
        <v>421</v>
      </c>
      <c r="F318" s="94" t="s">
        <v>70</v>
      </c>
      <c r="G318" s="94">
        <v>2025</v>
      </c>
      <c r="H318" s="94">
        <v>-1</v>
      </c>
      <c r="I318" s="95"/>
      <c r="J318" s="142"/>
      <c r="K318" s="94">
        <v>1</v>
      </c>
      <c r="L318" s="95">
        <v>46010</v>
      </c>
      <c r="M318" s="94">
        <v>6</v>
      </c>
      <c r="N318" s="97">
        <v>8480</v>
      </c>
      <c r="O318" s="126" t="s">
        <v>705</v>
      </c>
      <c r="P318" s="127"/>
      <c r="Q318" s="94">
        <v>-1</v>
      </c>
      <c r="R318" s="97"/>
      <c r="S318" s="94">
        <v>-1</v>
      </c>
      <c r="T318" s="138"/>
      <c r="U318" s="97"/>
      <c r="V318" s="148"/>
    </row>
    <row r="319" spans="1:22" s="98" customFormat="1" ht="12" hidden="1" x14ac:dyDescent="0.25">
      <c r="A319" s="94">
        <v>317</v>
      </c>
      <c r="B319" s="94" t="s">
        <v>425</v>
      </c>
      <c r="C319" s="94" t="s">
        <v>720</v>
      </c>
      <c r="D319" s="118" t="s">
        <v>426</v>
      </c>
      <c r="E319" s="94" t="s">
        <v>421</v>
      </c>
      <c r="F319" s="94" t="s">
        <v>70</v>
      </c>
      <c r="G319" s="94">
        <v>2023</v>
      </c>
      <c r="H319" s="94">
        <v>1</v>
      </c>
      <c r="I319" s="95">
        <v>45231</v>
      </c>
      <c r="J319" s="96">
        <v>5300</v>
      </c>
      <c r="K319" s="94">
        <v>1</v>
      </c>
      <c r="L319" s="95">
        <v>45257</v>
      </c>
      <c r="M319" s="94">
        <v>1</v>
      </c>
      <c r="N319" s="97">
        <v>28417</v>
      </c>
      <c r="O319" s="126" t="s">
        <v>427</v>
      </c>
      <c r="P319" s="127">
        <v>45266</v>
      </c>
      <c r="Q319" s="94">
        <v>1</v>
      </c>
      <c r="R319" s="97">
        <v>28416.995200000001</v>
      </c>
      <c r="S319" s="94">
        <v>1</v>
      </c>
      <c r="T319" s="128">
        <v>45329</v>
      </c>
      <c r="U319" s="136">
        <v>28417</v>
      </c>
      <c r="V319" s="148"/>
    </row>
    <row r="320" spans="1:22" s="98" customFormat="1" ht="12" hidden="1" x14ac:dyDescent="0.25">
      <c r="A320" s="94">
        <v>318</v>
      </c>
      <c r="B320" s="94" t="s">
        <v>425</v>
      </c>
      <c r="C320" s="94" t="s">
        <v>720</v>
      </c>
      <c r="D320" s="94" t="s">
        <v>426</v>
      </c>
      <c r="E320" s="94" t="s">
        <v>421</v>
      </c>
      <c r="F320" s="94" t="s">
        <v>70</v>
      </c>
      <c r="G320" s="94">
        <v>2023</v>
      </c>
      <c r="H320" s="94">
        <v>1</v>
      </c>
      <c r="I320" s="95">
        <v>45261</v>
      </c>
      <c r="J320" s="142">
        <v>30053</v>
      </c>
      <c r="K320" s="94">
        <v>1</v>
      </c>
      <c r="L320" s="95">
        <v>45281</v>
      </c>
      <c r="M320" s="94">
        <v>2</v>
      </c>
      <c r="N320" s="96">
        <v>11977</v>
      </c>
      <c r="O320" s="126" t="s">
        <v>428</v>
      </c>
      <c r="P320" s="127">
        <v>45286</v>
      </c>
      <c r="Q320" s="94">
        <v>1</v>
      </c>
      <c r="R320" s="97">
        <v>11977</v>
      </c>
      <c r="S320" s="94">
        <v>1</v>
      </c>
      <c r="T320" s="128">
        <v>45348</v>
      </c>
      <c r="U320" s="97">
        <v>11977</v>
      </c>
      <c r="V320" s="148"/>
    </row>
    <row r="321" spans="1:22" ht="12" hidden="1" x14ac:dyDescent="0.25">
      <c r="A321" s="94">
        <v>319</v>
      </c>
      <c r="B321" s="94" t="s">
        <v>425</v>
      </c>
      <c r="C321" s="94" t="s">
        <v>720</v>
      </c>
      <c r="D321" s="94" t="s">
        <v>426</v>
      </c>
      <c r="E321" s="94" t="s">
        <v>421</v>
      </c>
      <c r="F321" s="94" t="s">
        <v>70</v>
      </c>
      <c r="G321" s="94">
        <v>2024</v>
      </c>
      <c r="H321" s="94">
        <v>1</v>
      </c>
      <c r="I321" s="95">
        <v>45292</v>
      </c>
      <c r="J321" s="142">
        <v>45000</v>
      </c>
      <c r="K321" s="94">
        <v>1</v>
      </c>
      <c r="L321" s="95">
        <v>45316</v>
      </c>
      <c r="M321" s="94">
        <v>3</v>
      </c>
      <c r="N321" s="96">
        <v>31780</v>
      </c>
      <c r="O321" s="126" t="s">
        <v>429</v>
      </c>
      <c r="P321" s="127">
        <v>45322</v>
      </c>
      <c r="Q321" s="94">
        <v>1</v>
      </c>
      <c r="R321" s="97">
        <v>31780</v>
      </c>
      <c r="S321" s="94">
        <v>1</v>
      </c>
      <c r="T321" s="128">
        <v>45377</v>
      </c>
      <c r="U321" s="97">
        <v>31780</v>
      </c>
      <c r="V321" s="148"/>
    </row>
    <row r="322" spans="1:22" ht="12" hidden="1" x14ac:dyDescent="0.25">
      <c r="A322" s="94">
        <v>320</v>
      </c>
      <c r="B322" s="94" t="s">
        <v>425</v>
      </c>
      <c r="C322" s="94" t="s">
        <v>720</v>
      </c>
      <c r="D322" s="94" t="s">
        <v>426</v>
      </c>
      <c r="E322" s="94" t="s">
        <v>421</v>
      </c>
      <c r="F322" s="94" t="s">
        <v>70</v>
      </c>
      <c r="G322" s="94">
        <v>2024</v>
      </c>
      <c r="H322" s="94">
        <v>1</v>
      </c>
      <c r="I322" s="95">
        <v>45323</v>
      </c>
      <c r="J322" s="142">
        <v>40000</v>
      </c>
      <c r="K322" s="94">
        <v>1</v>
      </c>
      <c r="L322" s="95">
        <v>45347</v>
      </c>
      <c r="M322" s="94">
        <v>4</v>
      </c>
      <c r="N322" s="96">
        <v>23974</v>
      </c>
      <c r="O322" s="126" t="s">
        <v>430</v>
      </c>
      <c r="P322" s="127">
        <v>45357</v>
      </c>
      <c r="Q322" s="94">
        <v>1</v>
      </c>
      <c r="R322" s="97">
        <v>23974</v>
      </c>
      <c r="S322" s="94">
        <v>1</v>
      </c>
      <c r="T322" s="128">
        <v>45386</v>
      </c>
      <c r="U322" s="97">
        <v>23974</v>
      </c>
      <c r="V322" s="148"/>
    </row>
    <row r="323" spans="1:22" ht="12" hidden="1" x14ac:dyDescent="0.25">
      <c r="A323" s="94">
        <v>321</v>
      </c>
      <c r="B323" s="94" t="s">
        <v>425</v>
      </c>
      <c r="C323" s="94" t="s">
        <v>720</v>
      </c>
      <c r="D323" s="99" t="s">
        <v>426</v>
      </c>
      <c r="E323" s="94" t="s">
        <v>421</v>
      </c>
      <c r="F323" s="94" t="s">
        <v>70</v>
      </c>
      <c r="G323" s="94">
        <v>2024</v>
      </c>
      <c r="H323" s="94">
        <v>1</v>
      </c>
      <c r="I323" s="95">
        <v>45383</v>
      </c>
      <c r="J323" s="142">
        <v>13986</v>
      </c>
      <c r="K323" s="94">
        <v>1</v>
      </c>
      <c r="L323" s="95">
        <v>45406</v>
      </c>
      <c r="M323" s="120">
        <v>5</v>
      </c>
      <c r="N323" s="100">
        <v>15573</v>
      </c>
      <c r="O323" s="126" t="s">
        <v>431</v>
      </c>
      <c r="P323" s="127">
        <v>45414</v>
      </c>
      <c r="Q323" s="94">
        <v>1</v>
      </c>
      <c r="R323" s="97">
        <v>15573</v>
      </c>
      <c r="S323" s="94">
        <v>1</v>
      </c>
      <c r="T323" s="128">
        <v>45438</v>
      </c>
      <c r="U323" s="97">
        <v>15573</v>
      </c>
      <c r="V323" s="148"/>
    </row>
    <row r="324" spans="1:22" ht="12" hidden="1" x14ac:dyDescent="0.25">
      <c r="A324" s="94">
        <v>322</v>
      </c>
      <c r="B324" s="94" t="s">
        <v>425</v>
      </c>
      <c r="C324" s="94" t="s">
        <v>720</v>
      </c>
      <c r="D324" s="94" t="s">
        <v>426</v>
      </c>
      <c r="E324" s="94" t="s">
        <v>421</v>
      </c>
      <c r="F324" s="94" t="s">
        <v>70</v>
      </c>
      <c r="G324" s="94">
        <v>2024</v>
      </c>
      <c r="H324" s="94">
        <v>1</v>
      </c>
      <c r="I324" s="95">
        <v>45413</v>
      </c>
      <c r="J324" s="142">
        <v>56860</v>
      </c>
      <c r="K324" s="94">
        <v>1</v>
      </c>
      <c r="L324" s="95">
        <v>45441</v>
      </c>
      <c r="M324" s="94">
        <v>6</v>
      </c>
      <c r="N324" s="96">
        <v>34910</v>
      </c>
      <c r="O324" s="126" t="s">
        <v>432</v>
      </c>
      <c r="P324" s="127">
        <v>45467</v>
      </c>
      <c r="Q324" s="94">
        <v>1</v>
      </c>
      <c r="R324" s="97">
        <v>34910</v>
      </c>
      <c r="S324" s="94">
        <v>1</v>
      </c>
      <c r="T324" s="128">
        <v>45478</v>
      </c>
      <c r="U324" s="97">
        <v>33863</v>
      </c>
      <c r="V324" s="148"/>
    </row>
    <row r="325" spans="1:22" ht="12" hidden="1" x14ac:dyDescent="0.25">
      <c r="A325" s="94">
        <v>323</v>
      </c>
      <c r="B325" s="94" t="s">
        <v>425</v>
      </c>
      <c r="C325" s="94" t="s">
        <v>720</v>
      </c>
      <c r="D325" s="94" t="s">
        <v>426</v>
      </c>
      <c r="E325" s="94" t="s">
        <v>421</v>
      </c>
      <c r="F325" s="94" t="s">
        <v>70</v>
      </c>
      <c r="G325" s="94">
        <v>2024</v>
      </c>
      <c r="H325" s="94">
        <v>-1</v>
      </c>
      <c r="I325" s="95"/>
      <c r="J325" s="142"/>
      <c r="K325" s="94">
        <v>1</v>
      </c>
      <c r="L325" s="95">
        <v>45441</v>
      </c>
      <c r="M325" s="94">
        <v>6</v>
      </c>
      <c r="N325" s="96">
        <v>10160</v>
      </c>
      <c r="O325" s="126" t="s">
        <v>433</v>
      </c>
      <c r="P325" s="127">
        <v>45467</v>
      </c>
      <c r="Q325" s="94">
        <v>1</v>
      </c>
      <c r="R325" s="97">
        <v>10160</v>
      </c>
      <c r="S325" s="94">
        <v>1</v>
      </c>
      <c r="T325" s="128">
        <v>45478</v>
      </c>
      <c r="U325" s="97">
        <v>9855</v>
      </c>
      <c r="V325" s="148"/>
    </row>
    <row r="326" spans="1:22" ht="12" hidden="1" x14ac:dyDescent="0.25">
      <c r="A326" s="94">
        <v>324</v>
      </c>
      <c r="B326" s="94" t="s">
        <v>425</v>
      </c>
      <c r="C326" s="94" t="s">
        <v>720</v>
      </c>
      <c r="D326" s="119" t="s">
        <v>426</v>
      </c>
      <c r="E326" s="94" t="s">
        <v>421</v>
      </c>
      <c r="F326" s="94" t="s">
        <v>70</v>
      </c>
      <c r="G326" s="94">
        <v>2024</v>
      </c>
      <c r="H326" s="94">
        <v>-1</v>
      </c>
      <c r="I326" s="95"/>
      <c r="J326" s="142"/>
      <c r="K326" s="94">
        <v>1</v>
      </c>
      <c r="L326" s="95">
        <v>45441</v>
      </c>
      <c r="M326" s="120">
        <v>6</v>
      </c>
      <c r="N326" s="96">
        <v>11790</v>
      </c>
      <c r="O326" s="126" t="s">
        <v>434</v>
      </c>
      <c r="P326" s="127">
        <v>45467</v>
      </c>
      <c r="Q326" s="94">
        <v>1</v>
      </c>
      <c r="R326" s="97">
        <v>11790</v>
      </c>
      <c r="S326" s="94">
        <v>1</v>
      </c>
      <c r="T326" s="128">
        <v>45478</v>
      </c>
      <c r="U326" s="97">
        <v>11436</v>
      </c>
      <c r="V326" s="148"/>
    </row>
    <row r="327" spans="1:22" ht="12" hidden="1" x14ac:dyDescent="0.25">
      <c r="A327" s="94">
        <v>325</v>
      </c>
      <c r="B327" s="94" t="s">
        <v>425</v>
      </c>
      <c r="C327" s="94" t="s">
        <v>720</v>
      </c>
      <c r="D327" s="119" t="s">
        <v>426</v>
      </c>
      <c r="E327" s="94" t="s">
        <v>421</v>
      </c>
      <c r="F327" s="94" t="s">
        <v>70</v>
      </c>
      <c r="G327" s="94">
        <v>2024</v>
      </c>
      <c r="H327" s="94">
        <v>1</v>
      </c>
      <c r="I327" s="95">
        <v>45444</v>
      </c>
      <c r="J327" s="142">
        <v>17015.324800000002</v>
      </c>
      <c r="K327" s="94">
        <v>1</v>
      </c>
      <c r="L327" s="95">
        <v>45498</v>
      </c>
      <c r="M327" s="120">
        <v>7</v>
      </c>
      <c r="N327" s="96">
        <v>19158</v>
      </c>
      <c r="O327" s="126" t="s">
        <v>435</v>
      </c>
      <c r="P327" s="127">
        <v>45518</v>
      </c>
      <c r="Q327" s="94">
        <v>1</v>
      </c>
      <c r="R327" s="97">
        <v>19159</v>
      </c>
      <c r="S327" s="94">
        <v>1</v>
      </c>
      <c r="T327" s="128">
        <v>45529</v>
      </c>
      <c r="U327" s="97">
        <v>18775.82</v>
      </c>
      <c r="V327" s="148"/>
    </row>
    <row r="328" spans="1:22" ht="12" hidden="1" x14ac:dyDescent="0.25">
      <c r="A328" s="94">
        <v>326</v>
      </c>
      <c r="B328" s="94" t="s">
        <v>425</v>
      </c>
      <c r="C328" s="94" t="s">
        <v>720</v>
      </c>
      <c r="D328" s="94" t="s">
        <v>426</v>
      </c>
      <c r="E328" s="94" t="s">
        <v>421</v>
      </c>
      <c r="F328" s="94" t="s">
        <v>70</v>
      </c>
      <c r="G328" s="94">
        <v>2024</v>
      </c>
      <c r="H328" s="94">
        <v>-1</v>
      </c>
      <c r="I328" s="95">
        <v>45444</v>
      </c>
      <c r="J328" s="96">
        <v>0</v>
      </c>
      <c r="K328" s="94">
        <v>1</v>
      </c>
      <c r="L328" s="117">
        <v>45469</v>
      </c>
      <c r="M328" s="94">
        <v>8</v>
      </c>
      <c r="N328" s="97">
        <v>8313</v>
      </c>
      <c r="O328" s="126" t="s">
        <v>436</v>
      </c>
      <c r="P328" s="127">
        <v>45483</v>
      </c>
      <c r="Q328" s="94">
        <v>1</v>
      </c>
      <c r="R328" s="97">
        <v>8313</v>
      </c>
      <c r="S328" s="94">
        <v>1</v>
      </c>
      <c r="T328" s="128">
        <v>45506</v>
      </c>
      <c r="U328" s="97">
        <v>7897.3499999999995</v>
      </c>
      <c r="V328" s="94" t="s">
        <v>437</v>
      </c>
    </row>
    <row r="329" spans="1:22" ht="12" hidden="1" x14ac:dyDescent="0.25">
      <c r="A329" s="94">
        <v>327</v>
      </c>
      <c r="B329" s="94" t="s">
        <v>425</v>
      </c>
      <c r="C329" s="94" t="s">
        <v>720</v>
      </c>
      <c r="D329" s="94" t="s">
        <v>426</v>
      </c>
      <c r="E329" s="94" t="s">
        <v>421</v>
      </c>
      <c r="F329" s="94" t="s">
        <v>70</v>
      </c>
      <c r="G329" s="94">
        <v>2024</v>
      </c>
      <c r="H329" s="94">
        <v>-1</v>
      </c>
      <c r="I329" s="95">
        <v>45444</v>
      </c>
      <c r="J329" s="96">
        <v>0</v>
      </c>
      <c r="K329" s="94">
        <v>1</v>
      </c>
      <c r="L329" s="117">
        <v>45469</v>
      </c>
      <c r="M329" s="94">
        <v>9</v>
      </c>
      <c r="N329" s="97">
        <v>7105</v>
      </c>
      <c r="O329" s="126" t="s">
        <v>438</v>
      </c>
      <c r="P329" s="127">
        <v>45483</v>
      </c>
      <c r="Q329" s="94">
        <v>1</v>
      </c>
      <c r="R329" s="97">
        <v>7105</v>
      </c>
      <c r="S329" s="94">
        <v>1</v>
      </c>
      <c r="T329" s="128">
        <v>45506</v>
      </c>
      <c r="U329" s="97">
        <v>6749.75</v>
      </c>
      <c r="V329" s="94" t="s">
        <v>439</v>
      </c>
    </row>
    <row r="330" spans="1:22" ht="12" hidden="1" x14ac:dyDescent="0.25">
      <c r="A330" s="94">
        <v>328</v>
      </c>
      <c r="B330" s="112" t="s">
        <v>425</v>
      </c>
      <c r="C330" s="112" t="s">
        <v>720</v>
      </c>
      <c r="D330" s="112" t="s">
        <v>426</v>
      </c>
      <c r="E330" s="112" t="s">
        <v>421</v>
      </c>
      <c r="F330" s="112" t="s">
        <v>70</v>
      </c>
      <c r="G330" s="112">
        <v>2024</v>
      </c>
      <c r="H330" s="112">
        <v>-1</v>
      </c>
      <c r="I330" s="124"/>
      <c r="J330" s="133"/>
      <c r="K330" s="112">
        <v>1</v>
      </c>
      <c r="L330" s="123">
        <v>45498</v>
      </c>
      <c r="M330" s="112">
        <v>10</v>
      </c>
      <c r="N330" s="133">
        <v>19689</v>
      </c>
      <c r="O330" s="149" t="s">
        <v>440</v>
      </c>
      <c r="P330" s="143">
        <v>45518</v>
      </c>
      <c r="Q330" s="112">
        <v>1</v>
      </c>
      <c r="R330" s="133">
        <v>16689</v>
      </c>
      <c r="S330" s="112">
        <v>1</v>
      </c>
      <c r="T330" s="143">
        <v>45529</v>
      </c>
      <c r="U330" s="133">
        <v>16355.22</v>
      </c>
      <c r="V330" s="112"/>
    </row>
    <row r="331" spans="1:22" ht="12" hidden="1" x14ac:dyDescent="0.25">
      <c r="A331" s="94">
        <v>329</v>
      </c>
      <c r="B331" s="94" t="s">
        <v>425</v>
      </c>
      <c r="C331" s="94" t="s">
        <v>720</v>
      </c>
      <c r="D331" s="94" t="s">
        <v>426</v>
      </c>
      <c r="E331" s="94" t="s">
        <v>421</v>
      </c>
      <c r="F331" s="94" t="s">
        <v>70</v>
      </c>
      <c r="G331" s="94">
        <v>2024</v>
      </c>
      <c r="H331" s="94">
        <v>-1</v>
      </c>
      <c r="I331" s="95"/>
      <c r="J331" s="96"/>
      <c r="K331" s="94">
        <v>1</v>
      </c>
      <c r="L331" s="117">
        <v>45498</v>
      </c>
      <c r="M331" s="94">
        <v>11</v>
      </c>
      <c r="N331" s="97">
        <v>7105</v>
      </c>
      <c r="O331" s="126" t="s">
        <v>441</v>
      </c>
      <c r="P331" s="127">
        <v>45518</v>
      </c>
      <c r="Q331" s="94">
        <v>1</v>
      </c>
      <c r="R331" s="97">
        <v>7105</v>
      </c>
      <c r="S331" s="94">
        <v>1</v>
      </c>
      <c r="T331" s="128">
        <v>45529</v>
      </c>
      <c r="U331" s="96">
        <v>6962.9</v>
      </c>
    </row>
    <row r="332" spans="1:22" ht="12" hidden="1" x14ac:dyDescent="0.25">
      <c r="A332" s="94">
        <v>330</v>
      </c>
      <c r="B332" s="94" t="s">
        <v>75</v>
      </c>
      <c r="C332" s="94" t="s">
        <v>76</v>
      </c>
      <c r="D332" s="94" t="s">
        <v>76</v>
      </c>
      <c r="E332" s="94" t="s">
        <v>421</v>
      </c>
      <c r="F332" s="94" t="s">
        <v>70</v>
      </c>
      <c r="G332" s="94">
        <v>2025</v>
      </c>
      <c r="H332" s="94">
        <v>-1</v>
      </c>
      <c r="I332" s="95"/>
      <c r="J332" s="96"/>
      <c r="K332" s="94">
        <v>1</v>
      </c>
      <c r="L332" s="117">
        <v>45682</v>
      </c>
      <c r="M332" s="94">
        <v>1</v>
      </c>
      <c r="N332" s="97">
        <v>9930</v>
      </c>
      <c r="O332" s="126" t="s">
        <v>442</v>
      </c>
      <c r="P332" s="127">
        <v>45762</v>
      </c>
      <c r="Q332" s="94">
        <v>1</v>
      </c>
      <c r="R332" s="97">
        <v>9930</v>
      </c>
      <c r="S332" s="94">
        <v>1</v>
      </c>
      <c r="T332" s="128">
        <v>45824</v>
      </c>
      <c r="U332" s="96">
        <v>9930</v>
      </c>
    </row>
    <row r="333" spans="1:22" ht="12" hidden="1" x14ac:dyDescent="0.25">
      <c r="A333" s="94">
        <v>331</v>
      </c>
      <c r="B333" s="94" t="s">
        <v>75</v>
      </c>
      <c r="C333" s="94" t="s">
        <v>76</v>
      </c>
      <c r="D333" s="94" t="s">
        <v>76</v>
      </c>
      <c r="E333" s="94" t="s">
        <v>421</v>
      </c>
      <c r="F333" s="94" t="s">
        <v>70</v>
      </c>
      <c r="G333" s="94">
        <v>2025</v>
      </c>
      <c r="H333" s="94">
        <v>-1</v>
      </c>
      <c r="I333" s="95"/>
      <c r="J333" s="96"/>
      <c r="K333" s="94">
        <v>1</v>
      </c>
      <c r="L333" s="117">
        <v>45713</v>
      </c>
      <c r="M333" s="94">
        <v>2</v>
      </c>
      <c r="N333" s="97">
        <v>27785</v>
      </c>
      <c r="O333" s="126" t="s">
        <v>443</v>
      </c>
      <c r="P333" s="127">
        <v>45762</v>
      </c>
      <c r="Q333" s="94">
        <v>1</v>
      </c>
      <c r="R333" s="97">
        <v>27785</v>
      </c>
      <c r="S333" s="94">
        <v>1</v>
      </c>
      <c r="T333" s="128">
        <v>45824</v>
      </c>
      <c r="U333" s="96">
        <v>27785</v>
      </c>
    </row>
    <row r="334" spans="1:22" ht="12" hidden="1" x14ac:dyDescent="0.25">
      <c r="A334" s="94">
        <v>332</v>
      </c>
      <c r="B334" s="94" t="s">
        <v>75</v>
      </c>
      <c r="C334" s="94" t="s">
        <v>76</v>
      </c>
      <c r="D334" s="94" t="s">
        <v>76</v>
      </c>
      <c r="E334" s="94" t="s">
        <v>421</v>
      </c>
      <c r="F334" s="94" t="s">
        <v>70</v>
      </c>
      <c r="G334" s="94">
        <v>2025</v>
      </c>
      <c r="H334" s="94">
        <v>-1</v>
      </c>
      <c r="I334" s="95"/>
      <c r="J334" s="96"/>
      <c r="K334" s="94">
        <v>1</v>
      </c>
      <c r="L334" s="117">
        <v>45747</v>
      </c>
      <c r="M334" s="94">
        <v>3</v>
      </c>
      <c r="N334" s="97">
        <v>10082</v>
      </c>
      <c r="O334" s="126" t="s">
        <v>444</v>
      </c>
      <c r="P334" s="127">
        <v>45799</v>
      </c>
      <c r="Q334" s="94">
        <v>1</v>
      </c>
      <c r="R334" s="97">
        <v>10082</v>
      </c>
      <c r="S334" s="94">
        <v>1</v>
      </c>
      <c r="T334" s="128">
        <v>45929</v>
      </c>
      <c r="U334" s="97">
        <v>10082</v>
      </c>
    </row>
    <row r="335" spans="1:22" s="98" customFormat="1" ht="12" hidden="1" x14ac:dyDescent="0.25">
      <c r="A335" s="94">
        <v>333</v>
      </c>
      <c r="B335" s="94" t="s">
        <v>75</v>
      </c>
      <c r="C335" s="94" t="s">
        <v>76</v>
      </c>
      <c r="D335" s="94" t="s">
        <v>76</v>
      </c>
      <c r="E335" s="94" t="s">
        <v>421</v>
      </c>
      <c r="F335" s="94" t="s">
        <v>70</v>
      </c>
      <c r="G335" s="94">
        <v>2025</v>
      </c>
      <c r="H335" s="94">
        <v>-1</v>
      </c>
      <c r="I335" s="95"/>
      <c r="J335" s="96"/>
      <c r="K335" s="94">
        <v>1</v>
      </c>
      <c r="L335" s="117">
        <v>45776</v>
      </c>
      <c r="M335" s="94">
        <v>4</v>
      </c>
      <c r="N335" s="97">
        <v>15088</v>
      </c>
      <c r="O335" s="126" t="s">
        <v>445</v>
      </c>
      <c r="P335" s="127">
        <v>45835</v>
      </c>
      <c r="Q335" s="94">
        <v>1</v>
      </c>
      <c r="R335" s="97">
        <v>15088</v>
      </c>
      <c r="S335" s="94">
        <v>1</v>
      </c>
      <c r="T335" s="128">
        <v>45890</v>
      </c>
      <c r="U335" s="97">
        <v>14780.546415094339</v>
      </c>
      <c r="V335" s="94"/>
    </row>
    <row r="336" spans="1:22" s="98" customFormat="1" ht="12" hidden="1" x14ac:dyDescent="0.25">
      <c r="A336" s="94">
        <v>334</v>
      </c>
      <c r="B336" s="94" t="s">
        <v>75</v>
      </c>
      <c r="C336" s="94" t="s">
        <v>76</v>
      </c>
      <c r="D336" s="94" t="s">
        <v>76</v>
      </c>
      <c r="E336" s="94" t="s">
        <v>421</v>
      </c>
      <c r="F336" s="94" t="s">
        <v>70</v>
      </c>
      <c r="G336" s="94">
        <v>2025</v>
      </c>
      <c r="H336" s="94">
        <v>-1</v>
      </c>
      <c r="I336" s="95"/>
      <c r="J336" s="96"/>
      <c r="K336" s="94">
        <v>1</v>
      </c>
      <c r="L336" s="117">
        <v>45805</v>
      </c>
      <c r="M336" s="94">
        <v>5</v>
      </c>
      <c r="N336" s="97">
        <v>4047</v>
      </c>
      <c r="O336" s="126" t="s">
        <v>446</v>
      </c>
      <c r="P336" s="127">
        <v>45835</v>
      </c>
      <c r="Q336" s="94">
        <v>1</v>
      </c>
      <c r="R336" s="97">
        <v>4047</v>
      </c>
      <c r="S336" s="94">
        <v>1</v>
      </c>
      <c r="T336" s="128">
        <v>45890</v>
      </c>
      <c r="U336" s="145">
        <v>3964.5328301886793</v>
      </c>
      <c r="V336" s="94"/>
    </row>
    <row r="337" spans="1:24" s="98" customFormat="1" ht="12" hidden="1" x14ac:dyDescent="0.25">
      <c r="A337" s="94">
        <v>335</v>
      </c>
      <c r="B337" s="94" t="s">
        <v>75</v>
      </c>
      <c r="C337" s="94" t="s">
        <v>76</v>
      </c>
      <c r="D337" s="94" t="s">
        <v>76</v>
      </c>
      <c r="E337" s="94" t="s">
        <v>421</v>
      </c>
      <c r="F337" s="94" t="s">
        <v>70</v>
      </c>
      <c r="G337" s="94">
        <v>2025</v>
      </c>
      <c r="H337" s="94">
        <v>-1</v>
      </c>
      <c r="I337" s="95"/>
      <c r="J337" s="96"/>
      <c r="K337" s="94">
        <v>1</v>
      </c>
      <c r="L337" s="117">
        <v>45805</v>
      </c>
      <c r="M337" s="94">
        <v>1</v>
      </c>
      <c r="N337" s="97">
        <v>16127</v>
      </c>
      <c r="O337" s="126" t="s">
        <v>447</v>
      </c>
      <c r="P337" s="127">
        <v>45852</v>
      </c>
      <c r="Q337" s="94">
        <v>1</v>
      </c>
      <c r="R337" s="97">
        <v>16127</v>
      </c>
      <c r="S337" s="94">
        <v>1</v>
      </c>
      <c r="T337" s="128">
        <v>45890</v>
      </c>
      <c r="U337" s="97">
        <v>15798.37433962264</v>
      </c>
      <c r="V337" s="94" t="s">
        <v>448</v>
      </c>
    </row>
    <row r="338" spans="1:24" s="98" customFormat="1" ht="12" hidden="1" x14ac:dyDescent="0.25">
      <c r="A338" s="94">
        <v>336</v>
      </c>
      <c r="B338" s="94" t="s">
        <v>75</v>
      </c>
      <c r="C338" s="94" t="s">
        <v>76</v>
      </c>
      <c r="D338" s="94" t="s">
        <v>76</v>
      </c>
      <c r="E338" s="94" t="s">
        <v>421</v>
      </c>
      <c r="F338" s="94" t="s">
        <v>70</v>
      </c>
      <c r="G338" s="94">
        <v>2025</v>
      </c>
      <c r="H338" s="94">
        <v>-1</v>
      </c>
      <c r="I338" s="95"/>
      <c r="J338" s="96"/>
      <c r="K338" s="94">
        <v>1</v>
      </c>
      <c r="L338" s="117">
        <v>45836</v>
      </c>
      <c r="M338" s="94">
        <v>6</v>
      </c>
      <c r="N338" s="97">
        <v>2228</v>
      </c>
      <c r="O338" s="126" t="s">
        <v>449</v>
      </c>
      <c r="P338" s="127">
        <v>45889</v>
      </c>
      <c r="Q338" s="94">
        <v>1</v>
      </c>
      <c r="R338" s="97">
        <v>2228</v>
      </c>
      <c r="S338" s="94">
        <v>1</v>
      </c>
      <c r="T338" s="128">
        <v>45911</v>
      </c>
      <c r="U338" s="97">
        <v>2228</v>
      </c>
      <c r="V338" s="94"/>
    </row>
    <row r="339" spans="1:24" s="98" customFormat="1" ht="12" hidden="1" x14ac:dyDescent="0.25">
      <c r="A339" s="94">
        <v>337</v>
      </c>
      <c r="B339" s="94" t="s">
        <v>75</v>
      </c>
      <c r="C339" s="94" t="s">
        <v>76</v>
      </c>
      <c r="D339" s="94" t="s">
        <v>76</v>
      </c>
      <c r="E339" s="94" t="s">
        <v>421</v>
      </c>
      <c r="F339" s="94" t="s">
        <v>70</v>
      </c>
      <c r="G339" s="94">
        <v>2025</v>
      </c>
      <c r="H339" s="94">
        <v>-1</v>
      </c>
      <c r="I339" s="95"/>
      <c r="J339" s="96"/>
      <c r="K339" s="94">
        <v>1</v>
      </c>
      <c r="L339" s="95">
        <v>45836</v>
      </c>
      <c r="M339" s="94">
        <v>2</v>
      </c>
      <c r="N339" s="97">
        <v>2233</v>
      </c>
      <c r="O339" s="126" t="s">
        <v>450</v>
      </c>
      <c r="P339" s="127">
        <v>45889</v>
      </c>
      <c r="Q339" s="94">
        <v>1</v>
      </c>
      <c r="R339" s="97">
        <v>2233</v>
      </c>
      <c r="S339" s="94">
        <v>1</v>
      </c>
      <c r="T339" s="128">
        <v>45911</v>
      </c>
      <c r="U339" s="97">
        <v>2233</v>
      </c>
      <c r="V339" s="94"/>
    </row>
    <row r="340" spans="1:24" s="98" customFormat="1" ht="12" hidden="1" x14ac:dyDescent="0.25">
      <c r="A340" s="94">
        <v>338</v>
      </c>
      <c r="B340" s="94" t="s">
        <v>451</v>
      </c>
      <c r="C340" s="94" t="s">
        <v>204</v>
      </c>
      <c r="D340" s="94" t="s">
        <v>204</v>
      </c>
      <c r="E340" s="94" t="s">
        <v>452</v>
      </c>
      <c r="F340" s="94" t="s">
        <v>6</v>
      </c>
      <c r="G340" s="94">
        <v>2025</v>
      </c>
      <c r="H340" s="94">
        <v>-1</v>
      </c>
      <c r="I340" s="95"/>
      <c r="J340" s="96"/>
      <c r="K340" s="94">
        <v>1</v>
      </c>
      <c r="L340" s="95">
        <v>45889</v>
      </c>
      <c r="M340" s="94">
        <v>8</v>
      </c>
      <c r="N340" s="97">
        <v>35225</v>
      </c>
      <c r="O340" s="126">
        <v>88</v>
      </c>
      <c r="P340" s="127">
        <v>45891</v>
      </c>
      <c r="Q340" s="94">
        <v>1</v>
      </c>
      <c r="R340" s="97">
        <v>35660</v>
      </c>
      <c r="S340" s="94">
        <v>1</v>
      </c>
      <c r="T340" s="128">
        <v>45945</v>
      </c>
      <c r="U340" s="97">
        <v>33533</v>
      </c>
      <c r="V340" s="94"/>
      <c r="W340" s="94"/>
      <c r="X340" s="94"/>
    </row>
    <row r="341" spans="1:24" s="98" customFormat="1" ht="12" hidden="1" x14ac:dyDescent="0.25">
      <c r="A341" s="94">
        <v>339</v>
      </c>
      <c r="B341" s="94" t="s">
        <v>451</v>
      </c>
      <c r="C341" s="94" t="s">
        <v>204</v>
      </c>
      <c r="D341" s="94" t="s">
        <v>204</v>
      </c>
      <c r="E341" s="94" t="s">
        <v>452</v>
      </c>
      <c r="F341" s="94" t="s">
        <v>6</v>
      </c>
      <c r="G341" s="94">
        <v>2025</v>
      </c>
      <c r="H341" s="94">
        <v>-1</v>
      </c>
      <c r="I341" s="95"/>
      <c r="J341" s="96"/>
      <c r="K341" s="94">
        <v>1</v>
      </c>
      <c r="L341" s="95">
        <v>45915</v>
      </c>
      <c r="M341" s="94">
        <v>9</v>
      </c>
      <c r="N341" s="97">
        <v>39154</v>
      </c>
      <c r="O341" s="126">
        <v>94</v>
      </c>
      <c r="P341" s="127">
        <v>45922</v>
      </c>
      <c r="Q341" s="94">
        <v>1</v>
      </c>
      <c r="R341" s="97">
        <v>38366.605504587154</v>
      </c>
      <c r="S341" s="94">
        <v>1</v>
      </c>
      <c r="T341" s="128">
        <v>45978</v>
      </c>
      <c r="U341" s="97">
        <v>36818</v>
      </c>
      <c r="V341" s="94"/>
    </row>
    <row r="342" spans="1:24" s="98" customFormat="1" ht="12" x14ac:dyDescent="0.25">
      <c r="A342" s="94">
        <v>340</v>
      </c>
      <c r="B342" s="94" t="s">
        <v>451</v>
      </c>
      <c r="C342" s="94" t="s">
        <v>204</v>
      </c>
      <c r="D342" s="94" t="s">
        <v>204</v>
      </c>
      <c r="E342" s="94" t="s">
        <v>452</v>
      </c>
      <c r="F342" s="94" t="s">
        <v>6</v>
      </c>
      <c r="G342" s="94">
        <v>2025</v>
      </c>
      <c r="H342" s="94">
        <v>-1</v>
      </c>
      <c r="I342" s="95"/>
      <c r="J342" s="96"/>
      <c r="K342" s="94">
        <v>1</v>
      </c>
      <c r="L342" s="95">
        <v>45945</v>
      </c>
      <c r="M342" s="94">
        <v>10</v>
      </c>
      <c r="N342" s="97">
        <v>38758</v>
      </c>
      <c r="O342" s="126">
        <v>111</v>
      </c>
      <c r="P342" s="127">
        <v>45975</v>
      </c>
      <c r="Q342" s="94">
        <v>1</v>
      </c>
      <c r="R342" s="97">
        <v>35406.818181818177</v>
      </c>
      <c r="S342" s="94">
        <v>1</v>
      </c>
      <c r="T342" s="128">
        <v>46027</v>
      </c>
      <c r="U342" s="97">
        <v>31785</v>
      </c>
      <c r="V342" s="94" t="s">
        <v>453</v>
      </c>
    </row>
    <row r="343" spans="1:24" ht="12" hidden="1" x14ac:dyDescent="0.25">
      <c r="A343" s="94">
        <v>341</v>
      </c>
      <c r="B343" s="94" t="s">
        <v>454</v>
      </c>
      <c r="C343" s="94" t="s">
        <v>736</v>
      </c>
      <c r="D343" s="94" t="s">
        <v>455</v>
      </c>
      <c r="E343" s="94" t="s">
        <v>254</v>
      </c>
      <c r="F343" s="94" t="s">
        <v>18</v>
      </c>
      <c r="G343" s="94">
        <v>2023</v>
      </c>
      <c r="H343" s="94">
        <v>1</v>
      </c>
      <c r="I343" s="95">
        <v>45170</v>
      </c>
      <c r="J343" s="96">
        <v>37831</v>
      </c>
      <c r="K343" s="94">
        <v>1</v>
      </c>
      <c r="L343" s="95">
        <v>45194</v>
      </c>
      <c r="M343" s="94">
        <v>23</v>
      </c>
      <c r="N343" s="97">
        <v>40233</v>
      </c>
      <c r="O343" s="126">
        <v>119</v>
      </c>
      <c r="P343" s="127">
        <v>45210</v>
      </c>
      <c r="Q343" s="94">
        <v>1</v>
      </c>
      <c r="R343" s="97">
        <v>40233</v>
      </c>
      <c r="S343" s="94">
        <v>1</v>
      </c>
      <c r="T343" s="128">
        <v>45224</v>
      </c>
      <c r="U343" s="97">
        <v>38221.35</v>
      </c>
      <c r="V343" s="94" t="s">
        <v>456</v>
      </c>
    </row>
    <row r="344" spans="1:24" ht="12" hidden="1" x14ac:dyDescent="0.25">
      <c r="A344" s="94">
        <v>342</v>
      </c>
      <c r="B344" s="94" t="s">
        <v>457</v>
      </c>
      <c r="C344" s="94" t="s">
        <v>737</v>
      </c>
      <c r="D344" s="94" t="s">
        <v>458</v>
      </c>
      <c r="E344" s="94" t="s">
        <v>254</v>
      </c>
      <c r="F344" s="94" t="s">
        <v>18</v>
      </c>
      <c r="G344" s="94">
        <v>2023</v>
      </c>
      <c r="H344" s="94">
        <v>1</v>
      </c>
      <c r="I344" s="95">
        <v>45170</v>
      </c>
      <c r="J344" s="96">
        <v>25796</v>
      </c>
      <c r="K344" s="94">
        <v>1</v>
      </c>
      <c r="L344" s="95">
        <v>45194</v>
      </c>
      <c r="M344" s="112">
        <v>23</v>
      </c>
      <c r="N344" s="97">
        <v>27467</v>
      </c>
      <c r="O344" s="149">
        <v>119</v>
      </c>
      <c r="P344" s="127">
        <v>45210</v>
      </c>
      <c r="Q344" s="94">
        <v>1</v>
      </c>
      <c r="R344" s="97">
        <v>27467</v>
      </c>
      <c r="S344" s="94">
        <v>1</v>
      </c>
      <c r="T344" s="128">
        <v>45224</v>
      </c>
      <c r="U344" s="97">
        <v>26093.649999999998</v>
      </c>
      <c r="V344" s="94" t="s">
        <v>456</v>
      </c>
    </row>
    <row r="345" spans="1:24" ht="12" hidden="1" x14ac:dyDescent="0.25">
      <c r="A345" s="94">
        <v>343</v>
      </c>
      <c r="B345" s="94" t="s">
        <v>459</v>
      </c>
      <c r="C345" s="94" t="s">
        <v>716</v>
      </c>
      <c r="D345" s="94" t="s">
        <v>460</v>
      </c>
      <c r="E345" s="94" t="s">
        <v>401</v>
      </c>
      <c r="F345" s="94" t="s">
        <v>18</v>
      </c>
      <c r="G345" s="94">
        <v>2023</v>
      </c>
      <c r="H345" s="94">
        <v>-1</v>
      </c>
      <c r="I345" s="95"/>
      <c r="J345" s="96"/>
      <c r="K345" s="94">
        <v>1</v>
      </c>
      <c r="L345" s="117">
        <v>45008</v>
      </c>
      <c r="M345" s="94">
        <v>1</v>
      </c>
      <c r="N345" s="97">
        <v>62800</v>
      </c>
      <c r="O345" s="126">
        <v>62</v>
      </c>
      <c r="P345" s="127">
        <v>45030</v>
      </c>
      <c r="Q345" s="94">
        <v>1</v>
      </c>
      <c r="R345" s="97">
        <v>62800</v>
      </c>
      <c r="S345" s="94">
        <v>1</v>
      </c>
      <c r="T345" s="128">
        <v>45114</v>
      </c>
      <c r="U345" s="97">
        <v>62800</v>
      </c>
    </row>
    <row r="346" spans="1:24" ht="12" hidden="1" x14ac:dyDescent="0.25">
      <c r="A346" s="94">
        <v>344</v>
      </c>
      <c r="B346" s="94" t="s">
        <v>459</v>
      </c>
      <c r="C346" s="94" t="s">
        <v>716</v>
      </c>
      <c r="D346" s="94" t="s">
        <v>460</v>
      </c>
      <c r="E346" s="94" t="s">
        <v>401</v>
      </c>
      <c r="F346" s="94" t="s">
        <v>18</v>
      </c>
      <c r="G346" s="94">
        <v>2023</v>
      </c>
      <c r="H346" s="94">
        <v>-1</v>
      </c>
      <c r="I346" s="95"/>
      <c r="J346" s="96"/>
      <c r="K346" s="94">
        <v>1</v>
      </c>
      <c r="L346" s="117">
        <v>45128</v>
      </c>
      <c r="M346" s="94">
        <v>2</v>
      </c>
      <c r="N346" s="97">
        <v>104002.7</v>
      </c>
      <c r="O346" s="140">
        <v>94</v>
      </c>
      <c r="P346" s="127">
        <v>45134</v>
      </c>
      <c r="Q346" s="94">
        <v>1</v>
      </c>
      <c r="R346" s="97">
        <v>104003</v>
      </c>
      <c r="S346" s="94">
        <v>1</v>
      </c>
      <c r="T346" s="128">
        <v>45163</v>
      </c>
      <c r="U346" s="97">
        <v>104003</v>
      </c>
    </row>
    <row r="347" spans="1:24" ht="12" hidden="1" x14ac:dyDescent="0.25">
      <c r="A347" s="94">
        <v>345</v>
      </c>
      <c r="B347" s="94" t="s">
        <v>459</v>
      </c>
      <c r="C347" s="94" t="s">
        <v>716</v>
      </c>
      <c r="D347" s="94" t="s">
        <v>460</v>
      </c>
      <c r="E347" s="94" t="s">
        <v>401</v>
      </c>
      <c r="F347" s="94" t="s">
        <v>18</v>
      </c>
      <c r="G347" s="94">
        <v>2023</v>
      </c>
      <c r="H347" s="94">
        <v>-1</v>
      </c>
      <c r="I347" s="95"/>
      <c r="J347" s="96"/>
      <c r="K347" s="94">
        <v>1</v>
      </c>
      <c r="L347" s="117">
        <v>45163</v>
      </c>
      <c r="M347" s="94">
        <v>3</v>
      </c>
      <c r="N347" s="97">
        <v>88160.83</v>
      </c>
      <c r="O347" s="140">
        <v>110</v>
      </c>
      <c r="P347" s="127">
        <v>45198</v>
      </c>
      <c r="Q347" s="94">
        <v>1</v>
      </c>
      <c r="R347" s="97">
        <v>88161</v>
      </c>
      <c r="S347" s="94">
        <v>1</v>
      </c>
      <c r="T347" s="128">
        <v>45225</v>
      </c>
      <c r="U347" s="97">
        <v>88161</v>
      </c>
    </row>
    <row r="348" spans="1:24" ht="12" hidden="1" x14ac:dyDescent="0.25">
      <c r="A348" s="94">
        <v>346</v>
      </c>
      <c r="B348" s="94" t="s">
        <v>459</v>
      </c>
      <c r="C348" s="94" t="s">
        <v>716</v>
      </c>
      <c r="D348" s="94" t="s">
        <v>460</v>
      </c>
      <c r="E348" s="94" t="s">
        <v>401</v>
      </c>
      <c r="F348" s="94" t="s">
        <v>18</v>
      </c>
      <c r="G348" s="94">
        <v>2023</v>
      </c>
      <c r="H348" s="94">
        <v>1</v>
      </c>
      <c r="I348" s="95">
        <v>45200</v>
      </c>
      <c r="J348" s="96">
        <v>42260</v>
      </c>
      <c r="K348" s="94">
        <v>1</v>
      </c>
      <c r="L348" s="117">
        <v>45222</v>
      </c>
      <c r="M348" s="94">
        <v>4</v>
      </c>
      <c r="N348" s="97">
        <v>3577</v>
      </c>
      <c r="O348" s="140">
        <v>131</v>
      </c>
      <c r="P348" s="127">
        <v>45289</v>
      </c>
      <c r="Q348" s="94">
        <v>1</v>
      </c>
      <c r="R348" s="97">
        <v>3577</v>
      </c>
      <c r="S348" s="94">
        <v>1</v>
      </c>
      <c r="T348" s="128">
        <v>45317</v>
      </c>
      <c r="U348" s="97">
        <v>3577</v>
      </c>
    </row>
    <row r="349" spans="1:24" s="98" customFormat="1" ht="12" hidden="1" x14ac:dyDescent="0.25">
      <c r="A349" s="94">
        <v>347</v>
      </c>
      <c r="B349" s="94" t="s">
        <v>461</v>
      </c>
      <c r="C349" s="94" t="s">
        <v>187</v>
      </c>
      <c r="D349" s="94" t="s">
        <v>187</v>
      </c>
      <c r="E349" s="94" t="s">
        <v>304</v>
      </c>
      <c r="F349" s="94" t="s">
        <v>18</v>
      </c>
      <c r="G349" s="94">
        <v>2025</v>
      </c>
      <c r="H349" s="94">
        <v>-1</v>
      </c>
      <c r="I349" s="95"/>
      <c r="J349" s="96"/>
      <c r="K349" s="94">
        <v>1</v>
      </c>
      <c r="L349" s="117">
        <v>45838</v>
      </c>
      <c r="M349" s="94">
        <v>1</v>
      </c>
      <c r="N349" s="105">
        <v>54620</v>
      </c>
      <c r="O349" s="140">
        <v>329</v>
      </c>
      <c r="P349" s="127">
        <v>45873</v>
      </c>
      <c r="Q349" s="94">
        <v>1</v>
      </c>
      <c r="R349" s="140">
        <v>54620</v>
      </c>
      <c r="S349" s="94">
        <v>1</v>
      </c>
      <c r="T349" s="128">
        <v>45898</v>
      </c>
      <c r="U349" s="97">
        <v>54620</v>
      </c>
      <c r="V349" s="94"/>
    </row>
    <row r="350" spans="1:24" s="98" customFormat="1" ht="12" hidden="1" x14ac:dyDescent="0.25">
      <c r="A350" s="94">
        <v>348</v>
      </c>
      <c r="B350" s="94" t="s">
        <v>461</v>
      </c>
      <c r="C350" s="94" t="s">
        <v>187</v>
      </c>
      <c r="D350" s="94" t="s">
        <v>187</v>
      </c>
      <c r="E350" s="94" t="s">
        <v>304</v>
      </c>
      <c r="F350" s="94" t="s">
        <v>18</v>
      </c>
      <c r="G350" s="94">
        <v>2025</v>
      </c>
      <c r="H350" s="94">
        <v>-1</v>
      </c>
      <c r="I350" s="95"/>
      <c r="J350" s="96"/>
      <c r="K350" s="94">
        <v>1</v>
      </c>
      <c r="L350" s="117">
        <v>45869</v>
      </c>
      <c r="M350" s="94">
        <v>2</v>
      </c>
      <c r="N350" s="105">
        <v>70025</v>
      </c>
      <c r="O350" s="140">
        <v>331</v>
      </c>
      <c r="P350" s="127">
        <v>45890</v>
      </c>
      <c r="Q350" s="94">
        <v>1</v>
      </c>
      <c r="R350" s="140">
        <v>70025</v>
      </c>
      <c r="S350" s="94">
        <v>1</v>
      </c>
      <c r="T350" s="128">
        <v>45912</v>
      </c>
      <c r="U350" s="149">
        <v>70025</v>
      </c>
      <c r="V350" s="94"/>
    </row>
    <row r="351" spans="1:24" s="98" customFormat="1" ht="12" hidden="1" x14ac:dyDescent="0.25">
      <c r="A351" s="94">
        <v>349</v>
      </c>
      <c r="B351" s="94" t="s">
        <v>461</v>
      </c>
      <c r="C351" s="94" t="s">
        <v>187</v>
      </c>
      <c r="D351" s="94" t="s">
        <v>187</v>
      </c>
      <c r="E351" s="94" t="s">
        <v>304</v>
      </c>
      <c r="F351" s="94" t="s">
        <v>18</v>
      </c>
      <c r="G351" s="94">
        <v>2025</v>
      </c>
      <c r="H351" s="94">
        <v>-1</v>
      </c>
      <c r="I351" s="95"/>
      <c r="J351" s="142"/>
      <c r="K351" s="94">
        <v>1</v>
      </c>
      <c r="L351" s="117">
        <v>45898</v>
      </c>
      <c r="M351" s="94">
        <v>3</v>
      </c>
      <c r="N351" s="137">
        <v>70020</v>
      </c>
      <c r="O351" s="126">
        <v>340</v>
      </c>
      <c r="P351" s="127">
        <v>45925</v>
      </c>
      <c r="Q351" s="94">
        <v>1</v>
      </c>
      <c r="R351" s="97">
        <v>70020</v>
      </c>
      <c r="S351" s="94">
        <v>1</v>
      </c>
      <c r="T351" s="128">
        <v>45954</v>
      </c>
      <c r="U351" s="97">
        <v>70020</v>
      </c>
      <c r="V351" s="94"/>
    </row>
    <row r="352" spans="1:24" s="98" customFormat="1" ht="12" hidden="1" x14ac:dyDescent="0.25">
      <c r="A352" s="94">
        <v>350</v>
      </c>
      <c r="B352" s="94" t="s">
        <v>461</v>
      </c>
      <c r="C352" s="94" t="s">
        <v>187</v>
      </c>
      <c r="D352" s="121" t="s">
        <v>187</v>
      </c>
      <c r="E352" s="94" t="s">
        <v>304</v>
      </c>
      <c r="F352" s="94" t="s">
        <v>18</v>
      </c>
      <c r="G352" s="94">
        <v>2025</v>
      </c>
      <c r="H352" s="94">
        <v>-1</v>
      </c>
      <c r="I352" s="95"/>
      <c r="J352" s="96"/>
      <c r="K352" s="94">
        <v>1</v>
      </c>
      <c r="L352" s="117">
        <v>45930</v>
      </c>
      <c r="M352" s="94">
        <v>4</v>
      </c>
      <c r="N352" s="96">
        <v>53961</v>
      </c>
      <c r="O352" s="126">
        <v>351</v>
      </c>
      <c r="P352" s="127">
        <v>45954</v>
      </c>
      <c r="Q352" s="94">
        <v>1</v>
      </c>
      <c r="R352" s="97">
        <v>53961</v>
      </c>
      <c r="S352" s="94">
        <v>1</v>
      </c>
      <c r="T352" s="128">
        <v>45982</v>
      </c>
      <c r="U352" s="97">
        <v>53961</v>
      </c>
      <c r="V352" s="94"/>
    </row>
    <row r="353" spans="1:22" s="98" customFormat="1" ht="12" hidden="1" x14ac:dyDescent="0.25">
      <c r="A353" s="94">
        <v>351</v>
      </c>
      <c r="B353" s="94" t="s">
        <v>461</v>
      </c>
      <c r="C353" s="94" t="s">
        <v>187</v>
      </c>
      <c r="D353" s="94" t="s">
        <v>187</v>
      </c>
      <c r="E353" s="94" t="s">
        <v>304</v>
      </c>
      <c r="F353" s="94" t="s">
        <v>18</v>
      </c>
      <c r="G353" s="94">
        <v>2025</v>
      </c>
      <c r="H353" s="94">
        <v>-1</v>
      </c>
      <c r="I353" s="95"/>
      <c r="J353" s="96"/>
      <c r="K353" s="94">
        <v>1</v>
      </c>
      <c r="L353" s="117">
        <v>45954</v>
      </c>
      <c r="M353" s="94">
        <v>5</v>
      </c>
      <c r="N353" s="97">
        <v>31113</v>
      </c>
      <c r="O353" s="126">
        <v>360</v>
      </c>
      <c r="P353" s="127">
        <v>45986</v>
      </c>
      <c r="Q353" s="94">
        <v>1</v>
      </c>
      <c r="R353" s="97">
        <v>31113</v>
      </c>
      <c r="S353" s="94">
        <v>1</v>
      </c>
      <c r="T353" s="128">
        <v>46010</v>
      </c>
      <c r="U353" s="97">
        <v>31113</v>
      </c>
      <c r="V353" s="94"/>
    </row>
    <row r="354" spans="1:22" s="98" customFormat="1" ht="12" hidden="1" x14ac:dyDescent="0.25">
      <c r="A354" s="94">
        <v>352</v>
      </c>
      <c r="B354" s="94" t="s">
        <v>461</v>
      </c>
      <c r="C354" s="94" t="s">
        <v>187</v>
      </c>
      <c r="D354" s="94" t="s">
        <v>187</v>
      </c>
      <c r="E354" s="94" t="s">
        <v>304</v>
      </c>
      <c r="F354" s="94" t="s">
        <v>18</v>
      </c>
      <c r="G354" s="94">
        <v>2025</v>
      </c>
      <c r="H354" s="94">
        <v>-1</v>
      </c>
      <c r="I354" s="95"/>
      <c r="J354" s="96"/>
      <c r="K354" s="94">
        <v>1</v>
      </c>
      <c r="L354" s="117">
        <v>45986</v>
      </c>
      <c r="M354" s="94">
        <v>6</v>
      </c>
      <c r="N354" s="97">
        <v>19531</v>
      </c>
      <c r="O354" s="139">
        <v>376</v>
      </c>
      <c r="P354" s="127">
        <v>46022</v>
      </c>
      <c r="Q354" s="94">
        <v>1</v>
      </c>
      <c r="R354" s="97">
        <v>19531</v>
      </c>
      <c r="S354" s="94">
        <v>-1</v>
      </c>
      <c r="T354" s="128">
        <v>46053</v>
      </c>
      <c r="U354" s="97">
        <v>19531</v>
      </c>
      <c r="V354" s="94"/>
    </row>
    <row r="355" spans="1:22" s="98" customFormat="1" ht="12" hidden="1" x14ac:dyDescent="0.25">
      <c r="A355" s="94">
        <v>353</v>
      </c>
      <c r="B355" s="94" t="s">
        <v>63</v>
      </c>
      <c r="C355" s="94" t="s">
        <v>64</v>
      </c>
      <c r="D355" s="94" t="s">
        <v>64</v>
      </c>
      <c r="E355" s="94" t="s">
        <v>304</v>
      </c>
      <c r="F355" s="94" t="s">
        <v>18</v>
      </c>
      <c r="G355" s="94">
        <v>2024</v>
      </c>
      <c r="H355" s="94">
        <v>1</v>
      </c>
      <c r="I355" s="95">
        <v>45352</v>
      </c>
      <c r="J355" s="96">
        <v>19917</v>
      </c>
      <c r="K355" s="94">
        <v>1</v>
      </c>
      <c r="L355" s="117">
        <v>45376</v>
      </c>
      <c r="M355" s="94">
        <v>1</v>
      </c>
      <c r="N355" s="97">
        <v>26615</v>
      </c>
      <c r="O355" s="144">
        <v>186</v>
      </c>
      <c r="P355" s="127">
        <v>45428</v>
      </c>
      <c r="Q355" s="94">
        <v>1</v>
      </c>
      <c r="R355" s="97">
        <v>26615</v>
      </c>
      <c r="S355" s="94">
        <v>1</v>
      </c>
      <c r="T355" s="128">
        <v>45459</v>
      </c>
      <c r="U355" s="97">
        <v>26615</v>
      </c>
      <c r="V355" s="94"/>
    </row>
    <row r="356" spans="1:22" s="98" customFormat="1" ht="12" hidden="1" x14ac:dyDescent="0.25">
      <c r="A356" s="94">
        <v>354</v>
      </c>
      <c r="B356" s="94" t="s">
        <v>63</v>
      </c>
      <c r="C356" s="94" t="s">
        <v>64</v>
      </c>
      <c r="D356" s="94" t="s">
        <v>64</v>
      </c>
      <c r="E356" s="94" t="s">
        <v>304</v>
      </c>
      <c r="F356" s="94" t="s">
        <v>18</v>
      </c>
      <c r="G356" s="94">
        <v>2024</v>
      </c>
      <c r="H356" s="94">
        <v>1</v>
      </c>
      <c r="I356" s="95">
        <v>45383</v>
      </c>
      <c r="J356" s="96">
        <v>93740</v>
      </c>
      <c r="K356" s="94">
        <v>1</v>
      </c>
      <c r="L356" s="117">
        <v>45498</v>
      </c>
      <c r="M356" s="94">
        <v>2</v>
      </c>
      <c r="N356" s="97">
        <v>71980</v>
      </c>
      <c r="O356" s="126">
        <v>205</v>
      </c>
      <c r="P356" s="127">
        <v>45527</v>
      </c>
      <c r="Q356" s="94">
        <v>1</v>
      </c>
      <c r="R356" s="97">
        <v>73718</v>
      </c>
      <c r="S356" s="94">
        <v>1</v>
      </c>
      <c r="T356" s="128">
        <v>45558</v>
      </c>
      <c r="U356" s="97">
        <v>73718</v>
      </c>
      <c r="V356" s="94"/>
    </row>
    <row r="357" spans="1:22" s="98" customFormat="1" ht="12" hidden="1" x14ac:dyDescent="0.25">
      <c r="A357" s="94">
        <v>355</v>
      </c>
      <c r="B357" s="94" t="s">
        <v>63</v>
      </c>
      <c r="C357" s="94" t="s">
        <v>64</v>
      </c>
      <c r="D357" s="94" t="s">
        <v>64</v>
      </c>
      <c r="E357" s="94" t="s">
        <v>304</v>
      </c>
      <c r="F357" s="94" t="s">
        <v>18</v>
      </c>
      <c r="G357" s="94">
        <v>2024</v>
      </c>
      <c r="H357" s="94">
        <v>-1</v>
      </c>
      <c r="I357" s="95"/>
      <c r="J357" s="96"/>
      <c r="K357" s="94">
        <v>1</v>
      </c>
      <c r="L357" s="117">
        <v>45531</v>
      </c>
      <c r="M357" s="94">
        <v>3</v>
      </c>
      <c r="N357" s="97">
        <v>60342</v>
      </c>
      <c r="O357" s="126">
        <v>226</v>
      </c>
      <c r="P357" s="127">
        <v>45586</v>
      </c>
      <c r="Q357" s="94">
        <v>1</v>
      </c>
      <c r="R357" s="97">
        <v>61499</v>
      </c>
      <c r="S357" s="94">
        <v>1</v>
      </c>
      <c r="T357" s="128">
        <v>45611</v>
      </c>
      <c r="U357" s="97">
        <v>61499</v>
      </c>
      <c r="V357" s="94"/>
    </row>
    <row r="358" spans="1:22" s="98" customFormat="1" ht="12" hidden="1" x14ac:dyDescent="0.25">
      <c r="A358" s="94">
        <v>356</v>
      </c>
      <c r="B358" s="94" t="s">
        <v>63</v>
      </c>
      <c r="C358" s="94" t="s">
        <v>64</v>
      </c>
      <c r="D358" s="94" t="s">
        <v>64</v>
      </c>
      <c r="E358" s="94" t="s">
        <v>304</v>
      </c>
      <c r="F358" s="94" t="s">
        <v>18</v>
      </c>
      <c r="G358" s="94">
        <v>2024</v>
      </c>
      <c r="H358" s="94">
        <v>-1</v>
      </c>
      <c r="I358" s="95"/>
      <c r="J358" s="96"/>
      <c r="K358" s="94">
        <v>1</v>
      </c>
      <c r="L358" s="117">
        <v>45625</v>
      </c>
      <c r="M358" s="94">
        <v>4</v>
      </c>
      <c r="N358" s="97">
        <v>34013</v>
      </c>
      <c r="O358" s="126">
        <v>253</v>
      </c>
      <c r="P358" s="127">
        <v>45667</v>
      </c>
      <c r="Q358" s="94">
        <v>1</v>
      </c>
      <c r="R358" s="133">
        <v>34013</v>
      </c>
      <c r="S358" s="94">
        <v>1</v>
      </c>
      <c r="T358" s="128">
        <v>45695</v>
      </c>
      <c r="U358" s="97">
        <v>35295.290100000006</v>
      </c>
      <c r="V358" s="94"/>
    </row>
    <row r="359" spans="1:22" s="98" customFormat="1" ht="12" hidden="1" customHeight="1" x14ac:dyDescent="0.25">
      <c r="A359" s="94">
        <v>357</v>
      </c>
      <c r="B359" s="94" t="s">
        <v>97</v>
      </c>
      <c r="C359" s="94" t="s">
        <v>98</v>
      </c>
      <c r="D359" s="94" t="s">
        <v>98</v>
      </c>
      <c r="E359" s="94" t="s">
        <v>304</v>
      </c>
      <c r="F359" s="94" t="s">
        <v>96</v>
      </c>
      <c r="G359" s="94">
        <v>2024</v>
      </c>
      <c r="H359" s="94">
        <v>-1</v>
      </c>
      <c r="I359" s="95"/>
      <c r="J359" s="96"/>
      <c r="K359" s="94">
        <v>1</v>
      </c>
      <c r="L359" s="95">
        <v>45657</v>
      </c>
      <c r="M359" s="94">
        <v>1</v>
      </c>
      <c r="N359" s="97">
        <v>66652</v>
      </c>
      <c r="O359" s="126" t="s">
        <v>255</v>
      </c>
      <c r="P359" s="127">
        <v>45657</v>
      </c>
      <c r="Q359" s="94">
        <v>1</v>
      </c>
      <c r="R359" s="97">
        <v>66652</v>
      </c>
      <c r="S359" s="94">
        <v>1</v>
      </c>
      <c r="T359" s="127">
        <v>45702</v>
      </c>
      <c r="U359" s="97">
        <v>66652</v>
      </c>
      <c r="V359" s="94"/>
    </row>
    <row r="360" spans="1:22" s="98" customFormat="1" ht="12" hidden="1" customHeight="1" x14ac:dyDescent="0.25">
      <c r="A360" s="94">
        <v>358</v>
      </c>
      <c r="B360" s="94" t="s">
        <v>65</v>
      </c>
      <c r="C360" s="94" t="s">
        <v>66</v>
      </c>
      <c r="D360" s="98" t="s">
        <v>66</v>
      </c>
      <c r="E360" s="98" t="s">
        <v>304</v>
      </c>
      <c r="F360" s="98" t="s">
        <v>18</v>
      </c>
      <c r="G360" s="98">
        <v>2024</v>
      </c>
      <c r="H360" s="98">
        <v>-1</v>
      </c>
      <c r="J360" s="146"/>
      <c r="K360" s="98">
        <v>1</v>
      </c>
      <c r="L360" s="111">
        <v>45562</v>
      </c>
      <c r="M360" s="98">
        <v>1</v>
      </c>
      <c r="N360" s="129">
        <v>20675</v>
      </c>
      <c r="O360" s="147">
        <v>232</v>
      </c>
      <c r="P360" s="111">
        <v>45590</v>
      </c>
      <c r="Q360" s="98">
        <v>1</v>
      </c>
      <c r="R360" s="129">
        <v>20675</v>
      </c>
      <c r="S360" s="94">
        <v>1</v>
      </c>
      <c r="T360" s="111">
        <v>45618</v>
      </c>
      <c r="U360" s="129">
        <v>20675</v>
      </c>
    </row>
    <row r="361" spans="1:22" s="98" customFormat="1" ht="12" hidden="1" x14ac:dyDescent="0.25">
      <c r="A361" s="94">
        <v>359</v>
      </c>
      <c r="B361" s="94" t="s">
        <v>65</v>
      </c>
      <c r="C361" s="94" t="s">
        <v>66</v>
      </c>
      <c r="D361" s="98" t="s">
        <v>66</v>
      </c>
      <c r="E361" s="98" t="s">
        <v>304</v>
      </c>
      <c r="F361" s="98" t="s">
        <v>18</v>
      </c>
      <c r="G361" s="98">
        <v>2024</v>
      </c>
      <c r="H361" s="98">
        <v>-1</v>
      </c>
      <c r="J361" s="146"/>
      <c r="K361" s="98">
        <v>1</v>
      </c>
      <c r="L361" s="111">
        <v>45589</v>
      </c>
      <c r="M361" s="98">
        <v>2</v>
      </c>
      <c r="N361" s="129">
        <v>17060</v>
      </c>
      <c r="O361" s="147">
        <v>240</v>
      </c>
      <c r="P361" s="111">
        <v>45624</v>
      </c>
      <c r="Q361" s="98">
        <v>1</v>
      </c>
      <c r="R361" s="129">
        <v>17060</v>
      </c>
      <c r="S361" s="94">
        <v>1</v>
      </c>
      <c r="T361" s="111">
        <v>45656</v>
      </c>
      <c r="U361" s="129">
        <v>16456</v>
      </c>
    </row>
    <row r="362" spans="1:22" s="98" customFormat="1" ht="12" hidden="1" x14ac:dyDescent="0.25">
      <c r="A362" s="94">
        <v>360</v>
      </c>
      <c r="B362" s="94" t="s">
        <v>65</v>
      </c>
      <c r="C362" s="94" t="s">
        <v>66</v>
      </c>
      <c r="D362" s="98" t="s">
        <v>66</v>
      </c>
      <c r="E362" s="98" t="s">
        <v>304</v>
      </c>
      <c r="F362" s="98" t="s">
        <v>18</v>
      </c>
      <c r="G362" s="98">
        <v>2024</v>
      </c>
      <c r="H362" s="98">
        <v>-1</v>
      </c>
      <c r="J362" s="146"/>
      <c r="K362" s="98">
        <v>1</v>
      </c>
      <c r="L362" s="111">
        <v>45652</v>
      </c>
      <c r="M362" s="98">
        <v>3</v>
      </c>
      <c r="N362" s="129">
        <v>82420.94</v>
      </c>
      <c r="O362" s="147">
        <v>276</v>
      </c>
      <c r="P362" s="111">
        <v>45728</v>
      </c>
      <c r="Q362" s="98">
        <v>1</v>
      </c>
      <c r="R362" s="129">
        <v>82421</v>
      </c>
      <c r="S362" s="94">
        <v>1</v>
      </c>
      <c r="T362" s="111">
        <v>45759</v>
      </c>
      <c r="U362" s="129">
        <v>87432</v>
      </c>
    </row>
    <row r="363" spans="1:22" s="98" customFormat="1" ht="12" hidden="1" x14ac:dyDescent="0.25">
      <c r="A363" s="94">
        <v>361</v>
      </c>
      <c r="B363" s="94" t="s">
        <v>462</v>
      </c>
      <c r="C363" s="94" t="s">
        <v>738</v>
      </c>
      <c r="D363" s="98" t="s">
        <v>463</v>
      </c>
      <c r="E363" s="98" t="s">
        <v>464</v>
      </c>
      <c r="F363" s="98" t="s">
        <v>18</v>
      </c>
      <c r="G363" s="98">
        <v>2023</v>
      </c>
      <c r="H363" s="98">
        <v>-1</v>
      </c>
      <c r="J363" s="146"/>
      <c r="K363" s="98">
        <v>1</v>
      </c>
      <c r="L363" s="111">
        <v>44978</v>
      </c>
      <c r="M363" s="98">
        <v>1</v>
      </c>
      <c r="N363" s="129">
        <v>23220</v>
      </c>
      <c r="O363" s="147">
        <v>88</v>
      </c>
      <c r="P363" s="111">
        <v>44988</v>
      </c>
      <c r="Q363" s="98">
        <v>1</v>
      </c>
      <c r="R363" s="129">
        <v>23216.87</v>
      </c>
      <c r="S363" s="94">
        <v>1</v>
      </c>
      <c r="T363" s="111">
        <v>45050</v>
      </c>
      <c r="U363" s="129">
        <v>23642</v>
      </c>
    </row>
    <row r="364" spans="1:22" s="98" customFormat="1" ht="12" hidden="1" x14ac:dyDescent="0.25">
      <c r="A364" s="94">
        <v>362</v>
      </c>
      <c r="B364" s="94" t="s">
        <v>465</v>
      </c>
      <c r="C364" s="94" t="s">
        <v>719</v>
      </c>
      <c r="D364" s="94" t="s">
        <v>466</v>
      </c>
      <c r="E364" s="94" t="s">
        <v>467</v>
      </c>
      <c r="F364" s="94" t="s">
        <v>70</v>
      </c>
      <c r="G364" s="94">
        <v>2023</v>
      </c>
      <c r="H364" s="94">
        <v>-1</v>
      </c>
      <c r="I364" s="95"/>
      <c r="J364" s="96"/>
      <c r="K364" s="94">
        <v>1</v>
      </c>
      <c r="L364" s="117">
        <v>45037</v>
      </c>
      <c r="M364" s="94">
        <v>1</v>
      </c>
      <c r="N364" s="97">
        <v>87438.375</v>
      </c>
      <c r="O364" s="126" t="s">
        <v>468</v>
      </c>
      <c r="P364" s="127">
        <v>45077</v>
      </c>
      <c r="Q364" s="94">
        <v>1</v>
      </c>
      <c r="R364" s="97">
        <v>87438.38</v>
      </c>
      <c r="S364" s="94">
        <v>1</v>
      </c>
      <c r="T364" s="128">
        <v>45085</v>
      </c>
      <c r="U364" s="97">
        <v>87438.38</v>
      </c>
      <c r="V364" s="94"/>
    </row>
    <row r="365" spans="1:22" s="98" customFormat="1" ht="12" hidden="1" x14ac:dyDescent="0.25">
      <c r="A365" s="94">
        <v>363</v>
      </c>
      <c r="B365" s="94" t="s">
        <v>465</v>
      </c>
      <c r="C365" s="94" t="s">
        <v>719</v>
      </c>
      <c r="D365" s="94" t="s">
        <v>466</v>
      </c>
      <c r="E365" s="94" t="s">
        <v>467</v>
      </c>
      <c r="F365" s="94" t="s">
        <v>70</v>
      </c>
      <c r="G365" s="94">
        <v>2023</v>
      </c>
      <c r="H365" s="94">
        <v>-1</v>
      </c>
      <c r="I365" s="95"/>
      <c r="J365" s="96"/>
      <c r="K365" s="94">
        <v>1</v>
      </c>
      <c r="L365" s="117">
        <v>45067</v>
      </c>
      <c r="M365" s="94">
        <v>2</v>
      </c>
      <c r="N365" s="97">
        <v>10028.25</v>
      </c>
      <c r="O365" s="126" t="s">
        <v>469</v>
      </c>
      <c r="P365" s="127">
        <v>45098</v>
      </c>
      <c r="Q365" s="94">
        <v>1</v>
      </c>
      <c r="R365" s="97">
        <v>10028.25</v>
      </c>
      <c r="S365" s="94">
        <v>1</v>
      </c>
      <c r="T365" s="128">
        <v>45103</v>
      </c>
      <c r="U365" s="97">
        <v>10028.25</v>
      </c>
      <c r="V365" s="94"/>
    </row>
    <row r="366" spans="1:22" ht="12" hidden="1" x14ac:dyDescent="0.25">
      <c r="A366" s="94">
        <v>364</v>
      </c>
      <c r="B366" s="94" t="s">
        <v>465</v>
      </c>
      <c r="C366" s="94" t="s">
        <v>719</v>
      </c>
      <c r="D366" s="94" t="s">
        <v>466</v>
      </c>
      <c r="E366" s="94" t="s">
        <v>467</v>
      </c>
      <c r="F366" s="94" t="s">
        <v>70</v>
      </c>
      <c r="G366" s="94">
        <v>2023</v>
      </c>
      <c r="H366" s="94">
        <v>-1</v>
      </c>
      <c r="I366" s="95"/>
      <c r="J366" s="96"/>
      <c r="K366" s="94">
        <v>1</v>
      </c>
      <c r="L366" s="117">
        <v>45108</v>
      </c>
      <c r="M366" s="94">
        <v>3</v>
      </c>
      <c r="N366" s="97">
        <v>29431.125</v>
      </c>
      <c r="O366" s="126" t="s">
        <v>470</v>
      </c>
      <c r="P366" s="127">
        <v>45133</v>
      </c>
      <c r="Q366" s="94">
        <v>1</v>
      </c>
      <c r="R366" s="97">
        <v>29431.125</v>
      </c>
      <c r="S366" s="94">
        <v>1</v>
      </c>
      <c r="T366" s="128">
        <v>45141</v>
      </c>
      <c r="U366" s="97">
        <v>29431.125</v>
      </c>
    </row>
    <row r="367" spans="1:22" ht="12" hidden="1" x14ac:dyDescent="0.25">
      <c r="A367" s="94">
        <v>365</v>
      </c>
      <c r="B367" s="94" t="s">
        <v>465</v>
      </c>
      <c r="C367" s="94" t="s">
        <v>719</v>
      </c>
      <c r="D367" s="94" t="s">
        <v>466</v>
      </c>
      <c r="E367" s="94" t="s">
        <v>467</v>
      </c>
      <c r="F367" s="94" t="s">
        <v>70</v>
      </c>
      <c r="G367" s="94">
        <v>2023</v>
      </c>
      <c r="H367" s="94">
        <v>-1</v>
      </c>
      <c r="I367" s="95"/>
      <c r="J367" s="96"/>
      <c r="K367" s="94">
        <v>1</v>
      </c>
      <c r="L367" s="117">
        <v>45134</v>
      </c>
      <c r="M367" s="94">
        <v>4</v>
      </c>
      <c r="N367" s="97">
        <v>10934.25</v>
      </c>
      <c r="O367" s="126" t="s">
        <v>471</v>
      </c>
      <c r="P367" s="127">
        <v>45203</v>
      </c>
      <c r="Q367" s="94">
        <v>1</v>
      </c>
      <c r="R367" s="97">
        <v>10934.25</v>
      </c>
      <c r="S367" s="94">
        <v>1</v>
      </c>
      <c r="T367" s="128">
        <v>45207</v>
      </c>
      <c r="U367" s="97">
        <v>10934.25</v>
      </c>
    </row>
    <row r="368" spans="1:22" ht="12" hidden="1" x14ac:dyDescent="0.25">
      <c r="A368" s="94">
        <v>366</v>
      </c>
      <c r="B368" s="94" t="s">
        <v>77</v>
      </c>
      <c r="C368" s="94" t="s">
        <v>78</v>
      </c>
      <c r="D368" s="94" t="s">
        <v>78</v>
      </c>
      <c r="E368" s="94" t="s">
        <v>467</v>
      </c>
      <c r="F368" s="94" t="s">
        <v>70</v>
      </c>
      <c r="G368" s="94">
        <v>2024</v>
      </c>
      <c r="H368" s="94">
        <v>-1</v>
      </c>
      <c r="I368" s="95"/>
      <c r="J368" s="96"/>
      <c r="K368" s="94">
        <v>1</v>
      </c>
      <c r="L368" s="117">
        <v>45585</v>
      </c>
      <c r="M368" s="94">
        <v>1</v>
      </c>
      <c r="N368" s="97">
        <v>33000</v>
      </c>
      <c r="O368" s="126" t="s">
        <v>472</v>
      </c>
      <c r="P368" s="127">
        <v>45594</v>
      </c>
      <c r="Q368" s="94">
        <v>1</v>
      </c>
      <c r="R368" s="97">
        <v>32612</v>
      </c>
      <c r="S368" s="94">
        <v>1</v>
      </c>
      <c r="T368" s="128">
        <v>45631</v>
      </c>
      <c r="U368" s="97">
        <v>31947.45</v>
      </c>
    </row>
    <row r="369" spans="1:22" ht="12" hidden="1" x14ac:dyDescent="0.25">
      <c r="A369" s="94">
        <v>367</v>
      </c>
      <c r="B369" s="94" t="s">
        <v>77</v>
      </c>
      <c r="C369" s="94" t="s">
        <v>78</v>
      </c>
      <c r="D369" s="94" t="s">
        <v>78</v>
      </c>
      <c r="E369" s="94" t="s">
        <v>467</v>
      </c>
      <c r="F369" s="94" t="s">
        <v>70</v>
      </c>
      <c r="G369" s="94">
        <v>2024</v>
      </c>
      <c r="H369" s="94">
        <v>-1</v>
      </c>
      <c r="I369" s="95"/>
      <c r="J369" s="96"/>
      <c r="K369" s="94">
        <v>1</v>
      </c>
      <c r="L369" s="117">
        <v>45616</v>
      </c>
      <c r="M369" s="94">
        <v>2</v>
      </c>
      <c r="N369" s="97">
        <v>21062</v>
      </c>
      <c r="O369" s="140" t="s">
        <v>473</v>
      </c>
      <c r="P369" s="127">
        <v>45629</v>
      </c>
      <c r="Q369" s="94">
        <v>1</v>
      </c>
      <c r="R369" s="97">
        <v>21062</v>
      </c>
      <c r="S369" s="94">
        <v>1</v>
      </c>
      <c r="T369" s="128">
        <v>45660</v>
      </c>
      <c r="U369" s="97">
        <v>21632</v>
      </c>
    </row>
    <row r="370" spans="1:22" ht="12" hidden="1" x14ac:dyDescent="0.25">
      <c r="A370" s="94">
        <v>368</v>
      </c>
      <c r="B370" s="94" t="s">
        <v>77</v>
      </c>
      <c r="C370" s="94" t="s">
        <v>78</v>
      </c>
      <c r="D370" s="94" t="s">
        <v>78</v>
      </c>
      <c r="E370" s="94" t="s">
        <v>467</v>
      </c>
      <c r="F370" s="94" t="s">
        <v>70</v>
      </c>
      <c r="G370" s="94">
        <v>2024</v>
      </c>
      <c r="H370" s="94">
        <v>-1</v>
      </c>
      <c r="I370" s="95"/>
      <c r="J370" s="96"/>
      <c r="K370" s="94">
        <v>1</v>
      </c>
      <c r="L370" s="117">
        <v>45646</v>
      </c>
      <c r="M370" s="94">
        <v>3</v>
      </c>
      <c r="N370" s="97">
        <v>19771</v>
      </c>
      <c r="O370" s="126" t="s">
        <v>474</v>
      </c>
      <c r="P370" s="127">
        <v>45644</v>
      </c>
      <c r="Q370" s="94">
        <v>1</v>
      </c>
      <c r="R370" s="97">
        <v>19771</v>
      </c>
      <c r="S370" s="94">
        <v>1</v>
      </c>
      <c r="T370" s="128">
        <v>45673</v>
      </c>
      <c r="U370" s="97">
        <v>20771</v>
      </c>
    </row>
    <row r="371" spans="1:22" ht="12" hidden="1" x14ac:dyDescent="0.25">
      <c r="A371" s="94">
        <v>369</v>
      </c>
      <c r="B371" s="94" t="s">
        <v>77</v>
      </c>
      <c r="C371" s="94" t="s">
        <v>78</v>
      </c>
      <c r="D371" s="94" t="s">
        <v>78</v>
      </c>
      <c r="E371" s="94" t="s">
        <v>467</v>
      </c>
      <c r="F371" s="94" t="s">
        <v>70</v>
      </c>
      <c r="G371" s="94">
        <v>2025</v>
      </c>
      <c r="H371" s="94">
        <v>-1</v>
      </c>
      <c r="I371" s="95"/>
      <c r="J371" s="96"/>
      <c r="K371" s="94">
        <v>1</v>
      </c>
      <c r="L371" s="117">
        <v>45681</v>
      </c>
      <c r="M371" s="94">
        <v>4</v>
      </c>
      <c r="N371" s="97">
        <v>57745</v>
      </c>
      <c r="O371" s="126" t="s">
        <v>475</v>
      </c>
      <c r="P371" s="127">
        <v>45688</v>
      </c>
      <c r="Q371" s="94">
        <v>1</v>
      </c>
      <c r="R371" s="97">
        <v>57745</v>
      </c>
      <c r="S371" s="94">
        <v>1</v>
      </c>
      <c r="T371" s="128">
        <v>45720</v>
      </c>
      <c r="U371" s="97">
        <v>59963</v>
      </c>
    </row>
    <row r="372" spans="1:22" ht="12" hidden="1" x14ac:dyDescent="0.25">
      <c r="A372" s="94">
        <v>370</v>
      </c>
      <c r="B372" s="94" t="s">
        <v>77</v>
      </c>
      <c r="C372" s="94" t="s">
        <v>78</v>
      </c>
      <c r="D372" s="94" t="s">
        <v>78</v>
      </c>
      <c r="E372" s="94" t="s">
        <v>467</v>
      </c>
      <c r="F372" s="94" t="s">
        <v>70</v>
      </c>
      <c r="G372" s="94">
        <v>2025</v>
      </c>
      <c r="H372" s="94">
        <v>-1</v>
      </c>
      <c r="I372" s="95"/>
      <c r="J372" s="96"/>
      <c r="K372" s="94">
        <v>1</v>
      </c>
      <c r="L372" s="117">
        <v>45713</v>
      </c>
      <c r="M372" s="94">
        <v>5</v>
      </c>
      <c r="N372" s="97">
        <v>24935</v>
      </c>
      <c r="O372" s="126" t="s">
        <v>476</v>
      </c>
      <c r="P372" s="127">
        <v>45762</v>
      </c>
      <c r="Q372" s="94">
        <v>1</v>
      </c>
      <c r="R372" s="97">
        <v>24935</v>
      </c>
      <c r="S372" s="94">
        <v>1</v>
      </c>
      <c r="T372" s="128">
        <v>45799</v>
      </c>
      <c r="U372" s="97">
        <v>24935</v>
      </c>
    </row>
    <row r="373" spans="1:22" ht="12" hidden="1" x14ac:dyDescent="0.25">
      <c r="A373" s="94">
        <v>371</v>
      </c>
      <c r="B373" s="94" t="s">
        <v>77</v>
      </c>
      <c r="C373" s="94" t="s">
        <v>78</v>
      </c>
      <c r="D373" s="94" t="s">
        <v>78</v>
      </c>
      <c r="E373" s="94" t="s">
        <v>467</v>
      </c>
      <c r="F373" s="94" t="s">
        <v>70</v>
      </c>
      <c r="G373" s="94">
        <v>2025</v>
      </c>
      <c r="H373" s="94">
        <v>-1</v>
      </c>
      <c r="I373" s="95"/>
      <c r="J373" s="96"/>
      <c r="K373" s="94">
        <v>1</v>
      </c>
      <c r="L373" s="117">
        <v>45782</v>
      </c>
      <c r="M373" s="94">
        <v>6</v>
      </c>
      <c r="N373" s="97">
        <v>5265</v>
      </c>
      <c r="O373" s="126" t="s">
        <v>477</v>
      </c>
      <c r="P373" s="127">
        <v>45813</v>
      </c>
      <c r="Q373" s="94">
        <v>1</v>
      </c>
      <c r="R373" s="97">
        <v>5265</v>
      </c>
      <c r="S373" s="94">
        <v>1</v>
      </c>
      <c r="T373" s="128">
        <v>45848</v>
      </c>
      <c r="U373" s="97">
        <v>5265</v>
      </c>
    </row>
    <row r="374" spans="1:22" ht="12" hidden="1" x14ac:dyDescent="0.25">
      <c r="A374" s="94">
        <v>372</v>
      </c>
      <c r="B374" s="94" t="s">
        <v>478</v>
      </c>
      <c r="C374" s="94" t="s">
        <v>479</v>
      </c>
      <c r="D374" s="94" t="s">
        <v>479</v>
      </c>
      <c r="E374" s="94" t="s">
        <v>480</v>
      </c>
      <c r="F374" s="94" t="s">
        <v>96</v>
      </c>
      <c r="G374" s="94">
        <v>2024</v>
      </c>
      <c r="H374" s="94">
        <v>-1</v>
      </c>
      <c r="I374" s="95"/>
      <c r="J374" s="96"/>
      <c r="K374" s="94">
        <v>1</v>
      </c>
      <c r="L374" s="117">
        <v>45471</v>
      </c>
      <c r="M374" s="94">
        <v>1</v>
      </c>
      <c r="N374" s="97">
        <v>288500</v>
      </c>
      <c r="O374" s="126">
        <v>1</v>
      </c>
      <c r="P374" s="127">
        <v>45517</v>
      </c>
      <c r="Q374" s="94">
        <v>1</v>
      </c>
      <c r="R374" s="97">
        <v>288500</v>
      </c>
      <c r="S374" s="94">
        <v>1</v>
      </c>
      <c r="T374" s="128">
        <v>45547</v>
      </c>
      <c r="U374" s="97">
        <v>288500</v>
      </c>
      <c r="V374" s="94" t="s">
        <v>62</v>
      </c>
    </row>
    <row r="375" spans="1:22" ht="12" hidden="1" x14ac:dyDescent="0.25">
      <c r="A375" s="94">
        <v>373</v>
      </c>
      <c r="B375" s="94" t="s">
        <v>478</v>
      </c>
      <c r="C375" s="94" t="s">
        <v>479</v>
      </c>
      <c r="D375" s="94" t="s">
        <v>479</v>
      </c>
      <c r="E375" s="94" t="s">
        <v>480</v>
      </c>
      <c r="F375" s="94" t="s">
        <v>96</v>
      </c>
      <c r="G375" s="94">
        <v>2024</v>
      </c>
      <c r="H375" s="94">
        <v>-1</v>
      </c>
      <c r="I375" s="95"/>
      <c r="J375" s="96"/>
      <c r="K375" s="94">
        <v>1</v>
      </c>
      <c r="L375" s="117">
        <v>45498</v>
      </c>
      <c r="M375" s="94">
        <v>2</v>
      </c>
      <c r="N375" s="97">
        <v>283900</v>
      </c>
      <c r="O375" s="126">
        <v>2</v>
      </c>
      <c r="P375" s="127">
        <v>45517</v>
      </c>
      <c r="Q375" s="94">
        <v>1</v>
      </c>
      <c r="R375" s="97">
        <v>283900</v>
      </c>
      <c r="S375" s="94">
        <v>1</v>
      </c>
      <c r="T375" s="128">
        <v>45547</v>
      </c>
      <c r="U375" s="97">
        <v>283900</v>
      </c>
      <c r="V375" s="94" t="s">
        <v>62</v>
      </c>
    </row>
    <row r="376" spans="1:22" ht="12" hidden="1" x14ac:dyDescent="0.25">
      <c r="A376" s="94">
        <v>374</v>
      </c>
      <c r="B376" s="94" t="s">
        <v>67</v>
      </c>
      <c r="C376" s="94" t="s">
        <v>68</v>
      </c>
      <c r="D376" s="94" t="s">
        <v>68</v>
      </c>
      <c r="E376" s="94" t="s">
        <v>481</v>
      </c>
      <c r="F376" s="94" t="s">
        <v>18</v>
      </c>
      <c r="G376" s="94">
        <v>2024</v>
      </c>
      <c r="H376" s="94">
        <v>-1</v>
      </c>
      <c r="I376" s="95"/>
      <c r="J376" s="96"/>
      <c r="K376" s="94">
        <v>1</v>
      </c>
      <c r="L376" s="95">
        <v>45470</v>
      </c>
      <c r="M376" s="120">
        <v>1</v>
      </c>
      <c r="N376" s="100">
        <v>71760</v>
      </c>
      <c r="O376" s="126">
        <v>194</v>
      </c>
      <c r="P376" s="127">
        <v>45470</v>
      </c>
      <c r="Q376" s="94">
        <v>1</v>
      </c>
      <c r="R376" s="97">
        <v>71760</v>
      </c>
      <c r="S376" s="94">
        <v>1</v>
      </c>
      <c r="T376" s="128">
        <v>45497</v>
      </c>
      <c r="U376" s="97">
        <v>71760</v>
      </c>
      <c r="V376" s="114"/>
    </row>
    <row r="377" spans="1:22" ht="12" hidden="1" x14ac:dyDescent="0.25">
      <c r="A377" s="94">
        <v>375</v>
      </c>
      <c r="B377" s="94" t="s">
        <v>67</v>
      </c>
      <c r="C377" s="94" t="s">
        <v>68</v>
      </c>
      <c r="D377" s="94" t="s">
        <v>68</v>
      </c>
      <c r="E377" s="94" t="s">
        <v>481</v>
      </c>
      <c r="F377" s="94" t="s">
        <v>18</v>
      </c>
      <c r="G377" s="94">
        <v>2024</v>
      </c>
      <c r="H377" s="94">
        <v>-1</v>
      </c>
      <c r="I377" s="95"/>
      <c r="J377" s="96"/>
      <c r="K377" s="94">
        <v>1</v>
      </c>
      <c r="L377" s="95">
        <v>45562</v>
      </c>
      <c r="M377" s="94">
        <v>2</v>
      </c>
      <c r="N377" s="96">
        <v>71760</v>
      </c>
      <c r="O377" s="144">
        <v>219</v>
      </c>
      <c r="P377" s="143">
        <v>45562</v>
      </c>
      <c r="Q377" s="94">
        <v>1</v>
      </c>
      <c r="R377" s="97">
        <v>71760</v>
      </c>
      <c r="S377" s="94">
        <v>1</v>
      </c>
      <c r="T377" s="128">
        <v>45575</v>
      </c>
      <c r="U377" s="133">
        <v>71760</v>
      </c>
      <c r="V377" s="114"/>
    </row>
    <row r="378" spans="1:22" ht="12" hidden="1" x14ac:dyDescent="0.25">
      <c r="A378" s="94">
        <v>376</v>
      </c>
      <c r="B378" s="94" t="s">
        <v>67</v>
      </c>
      <c r="C378" s="94" t="s">
        <v>68</v>
      </c>
      <c r="D378" s="94" t="s">
        <v>68</v>
      </c>
      <c r="E378" s="94" t="s">
        <v>481</v>
      </c>
      <c r="F378" s="94" t="s">
        <v>18</v>
      </c>
      <c r="G378" s="94">
        <v>2024</v>
      </c>
      <c r="H378" s="94">
        <v>-1</v>
      </c>
      <c r="I378" s="95"/>
      <c r="J378" s="96"/>
      <c r="K378" s="94">
        <v>1</v>
      </c>
      <c r="L378" s="95">
        <v>45589</v>
      </c>
      <c r="M378" s="94">
        <v>3</v>
      </c>
      <c r="N378" s="97">
        <v>71760</v>
      </c>
      <c r="O378" s="126">
        <v>227</v>
      </c>
      <c r="P378" s="127">
        <v>45588</v>
      </c>
      <c r="Q378" s="94">
        <v>1</v>
      </c>
      <c r="R378" s="97">
        <v>71760</v>
      </c>
      <c r="S378" s="94">
        <v>1</v>
      </c>
      <c r="T378" s="128">
        <v>45611</v>
      </c>
      <c r="U378" s="97">
        <v>71760</v>
      </c>
    </row>
    <row r="379" spans="1:22" ht="12" hidden="1" x14ac:dyDescent="0.25">
      <c r="A379" s="94">
        <v>377</v>
      </c>
      <c r="B379" s="94" t="s">
        <v>67</v>
      </c>
      <c r="C379" s="94" t="s">
        <v>68</v>
      </c>
      <c r="D379" s="94" t="s">
        <v>68</v>
      </c>
      <c r="E379" s="94" t="s">
        <v>481</v>
      </c>
      <c r="F379" s="94" t="s">
        <v>18</v>
      </c>
      <c r="G379" s="94">
        <v>2025</v>
      </c>
      <c r="H379" s="94">
        <v>-1</v>
      </c>
      <c r="I379" s="95"/>
      <c r="J379" s="96"/>
      <c r="K379" s="94">
        <v>1</v>
      </c>
      <c r="L379" s="95">
        <v>45687</v>
      </c>
      <c r="M379" s="94">
        <v>4</v>
      </c>
      <c r="N379" s="97">
        <v>23720</v>
      </c>
      <c r="O379" s="126">
        <v>269</v>
      </c>
      <c r="P379" s="127">
        <v>45719</v>
      </c>
      <c r="Q379" s="94">
        <v>1</v>
      </c>
      <c r="R379" s="97">
        <v>23720</v>
      </c>
      <c r="S379" s="94">
        <v>1</v>
      </c>
      <c r="T379" s="128">
        <v>45754</v>
      </c>
      <c r="U379" s="97">
        <v>23720</v>
      </c>
    </row>
    <row r="380" spans="1:22" ht="12" hidden="1" x14ac:dyDescent="0.25">
      <c r="A380" s="94">
        <v>378</v>
      </c>
      <c r="B380" s="94" t="s">
        <v>79</v>
      </c>
      <c r="C380" s="94" t="s">
        <v>80</v>
      </c>
      <c r="D380" s="94" t="s">
        <v>80</v>
      </c>
      <c r="E380" s="94" t="s">
        <v>356</v>
      </c>
      <c r="F380" s="94" t="s">
        <v>70</v>
      </c>
      <c r="G380" s="94">
        <v>2024</v>
      </c>
      <c r="H380" s="94">
        <v>-1</v>
      </c>
      <c r="I380" s="95"/>
      <c r="J380" s="96"/>
      <c r="K380" s="94">
        <v>1</v>
      </c>
      <c r="L380" s="95">
        <v>45498</v>
      </c>
      <c r="M380" s="94">
        <v>1</v>
      </c>
      <c r="N380" s="97">
        <v>23980</v>
      </c>
      <c r="O380" s="126" t="s">
        <v>482</v>
      </c>
      <c r="P380" s="127">
        <v>45555</v>
      </c>
      <c r="Q380" s="94">
        <v>1</v>
      </c>
      <c r="R380" s="97">
        <v>23980</v>
      </c>
      <c r="S380" s="94">
        <v>1</v>
      </c>
      <c r="T380" s="128">
        <v>45590</v>
      </c>
      <c r="U380" s="97">
        <v>23491.29</v>
      </c>
    </row>
    <row r="381" spans="1:22" ht="12" hidden="1" x14ac:dyDescent="0.25">
      <c r="A381" s="94">
        <v>379</v>
      </c>
      <c r="B381" s="94" t="s">
        <v>79</v>
      </c>
      <c r="C381" s="94" t="s">
        <v>80</v>
      </c>
      <c r="D381" s="94" t="s">
        <v>80</v>
      </c>
      <c r="E381" s="94" t="s">
        <v>356</v>
      </c>
      <c r="F381" s="94" t="s">
        <v>70</v>
      </c>
      <c r="G381" s="94">
        <v>2024</v>
      </c>
      <c r="H381" s="94">
        <v>-1</v>
      </c>
      <c r="I381" s="95"/>
      <c r="J381" s="96"/>
      <c r="K381" s="94">
        <v>1</v>
      </c>
      <c r="L381" s="95">
        <v>45565</v>
      </c>
      <c r="M381" s="94">
        <v>2</v>
      </c>
      <c r="N381" s="97">
        <v>21582</v>
      </c>
      <c r="O381" s="126" t="s">
        <v>483</v>
      </c>
      <c r="P381" s="127">
        <v>45587</v>
      </c>
      <c r="Q381" s="94">
        <v>1</v>
      </c>
      <c r="R381" s="97">
        <v>21582</v>
      </c>
      <c r="S381" s="94">
        <v>1</v>
      </c>
      <c r="T381" s="128">
        <v>45705</v>
      </c>
      <c r="U381" s="97">
        <v>22411</v>
      </c>
    </row>
    <row r="382" spans="1:22" ht="12" hidden="1" x14ac:dyDescent="0.25">
      <c r="A382" s="94">
        <v>380</v>
      </c>
      <c r="B382" s="94" t="s">
        <v>484</v>
      </c>
      <c r="C382" s="94" t="s">
        <v>486</v>
      </c>
      <c r="D382" s="94" t="s">
        <v>485</v>
      </c>
      <c r="E382" s="94" t="s">
        <v>486</v>
      </c>
      <c r="F382" s="94" t="s">
        <v>18</v>
      </c>
      <c r="G382" s="94">
        <v>2022</v>
      </c>
      <c r="H382" s="94">
        <v>-1</v>
      </c>
      <c r="I382" s="95"/>
      <c r="J382" s="96"/>
      <c r="K382" s="94">
        <v>1</v>
      </c>
      <c r="L382" s="95">
        <v>44886</v>
      </c>
      <c r="M382" s="94">
        <v>3</v>
      </c>
      <c r="N382" s="97">
        <v>39901.11</v>
      </c>
      <c r="O382" s="126">
        <v>507</v>
      </c>
      <c r="P382" s="127">
        <v>44925</v>
      </c>
      <c r="Q382" s="94">
        <v>1</v>
      </c>
      <c r="R382" s="97">
        <v>39901.11</v>
      </c>
      <c r="S382" s="94">
        <v>1</v>
      </c>
      <c r="T382" s="128">
        <v>44932</v>
      </c>
      <c r="U382" s="97">
        <v>39901.11</v>
      </c>
    </row>
    <row r="383" spans="1:22" ht="12" hidden="1" x14ac:dyDescent="0.25">
      <c r="A383" s="94">
        <v>381</v>
      </c>
      <c r="B383" s="94" t="s">
        <v>484</v>
      </c>
      <c r="C383" s="94" t="s">
        <v>486</v>
      </c>
      <c r="D383" s="94" t="s">
        <v>485</v>
      </c>
      <c r="E383" s="94" t="s">
        <v>486</v>
      </c>
      <c r="F383" s="94" t="s">
        <v>18</v>
      </c>
      <c r="G383" s="94">
        <v>2023</v>
      </c>
      <c r="H383" s="94">
        <v>-1</v>
      </c>
      <c r="I383" s="95"/>
      <c r="J383" s="96"/>
      <c r="K383" s="94">
        <v>1</v>
      </c>
      <c r="L383" s="117">
        <v>44916</v>
      </c>
      <c r="M383" s="94">
        <v>5</v>
      </c>
      <c r="N383" s="96">
        <v>46667.988749999997</v>
      </c>
      <c r="O383" s="126">
        <v>48</v>
      </c>
      <c r="P383" s="127">
        <v>44987</v>
      </c>
      <c r="Q383" s="94">
        <v>1</v>
      </c>
      <c r="R383" s="97">
        <v>46667.988749999997</v>
      </c>
      <c r="S383" s="94">
        <v>1</v>
      </c>
      <c r="T383" s="128">
        <v>44994</v>
      </c>
      <c r="U383" s="97">
        <v>46667.988749999997</v>
      </c>
    </row>
    <row r="384" spans="1:22" ht="12" hidden="1" x14ac:dyDescent="0.25">
      <c r="A384" s="94">
        <v>382</v>
      </c>
      <c r="B384" s="94" t="s">
        <v>484</v>
      </c>
      <c r="C384" s="94" t="s">
        <v>486</v>
      </c>
      <c r="D384" s="94" t="s">
        <v>485</v>
      </c>
      <c r="E384" s="94" t="s">
        <v>486</v>
      </c>
      <c r="F384" s="94" t="s">
        <v>18</v>
      </c>
      <c r="G384" s="94">
        <v>2023</v>
      </c>
      <c r="H384" s="94">
        <v>-1</v>
      </c>
      <c r="I384" s="95"/>
      <c r="J384" s="96"/>
      <c r="K384" s="94">
        <v>1</v>
      </c>
      <c r="L384" s="117">
        <v>44947</v>
      </c>
      <c r="M384" s="120">
        <v>6</v>
      </c>
      <c r="N384" s="97">
        <v>27689.485000000001</v>
      </c>
      <c r="O384" s="126">
        <v>49</v>
      </c>
      <c r="P384" s="127">
        <v>44987</v>
      </c>
      <c r="Q384" s="94">
        <v>1</v>
      </c>
      <c r="R384" s="97">
        <v>27689.485000000001</v>
      </c>
      <c r="S384" s="94">
        <v>1</v>
      </c>
      <c r="T384" s="128">
        <v>44994</v>
      </c>
      <c r="U384" s="97">
        <v>27689.485000000001</v>
      </c>
    </row>
    <row r="385" spans="1:22" ht="12" hidden="1" x14ac:dyDescent="0.25">
      <c r="A385" s="94">
        <v>383</v>
      </c>
      <c r="B385" s="94" t="s">
        <v>484</v>
      </c>
      <c r="C385" s="94" t="s">
        <v>486</v>
      </c>
      <c r="D385" s="94" t="s">
        <v>485</v>
      </c>
      <c r="E385" s="94" t="s">
        <v>486</v>
      </c>
      <c r="F385" s="94" t="s">
        <v>18</v>
      </c>
      <c r="G385" s="94">
        <v>2023</v>
      </c>
      <c r="H385" s="94">
        <v>-1</v>
      </c>
      <c r="I385" s="95"/>
      <c r="J385" s="96"/>
      <c r="K385" s="94">
        <v>1</v>
      </c>
      <c r="L385" s="117">
        <v>44978</v>
      </c>
      <c r="M385" s="94">
        <v>7</v>
      </c>
      <c r="N385" s="97">
        <v>35526.91375</v>
      </c>
      <c r="O385" s="126">
        <v>50</v>
      </c>
      <c r="P385" s="127">
        <v>44987</v>
      </c>
      <c r="Q385" s="94">
        <v>1</v>
      </c>
      <c r="R385" s="97">
        <v>35526.91375</v>
      </c>
      <c r="S385" s="94">
        <v>1</v>
      </c>
      <c r="T385" s="128">
        <v>44994</v>
      </c>
      <c r="U385" s="97">
        <v>35526.91375</v>
      </c>
    </row>
    <row r="386" spans="1:22" ht="12" hidden="1" x14ac:dyDescent="0.25">
      <c r="A386" s="94">
        <v>384</v>
      </c>
      <c r="B386" s="94" t="s">
        <v>484</v>
      </c>
      <c r="C386" s="94" t="s">
        <v>486</v>
      </c>
      <c r="D386" s="94" t="s">
        <v>485</v>
      </c>
      <c r="E386" s="94" t="s">
        <v>486</v>
      </c>
      <c r="F386" s="94" t="s">
        <v>18</v>
      </c>
      <c r="G386" s="94">
        <v>2023</v>
      </c>
      <c r="H386" s="94">
        <v>-1</v>
      </c>
      <c r="I386" s="95"/>
      <c r="J386" s="96"/>
      <c r="K386" s="94">
        <v>1</v>
      </c>
      <c r="L386" s="117">
        <v>45078</v>
      </c>
      <c r="M386" s="94">
        <v>8</v>
      </c>
      <c r="N386" s="97">
        <v>40733.79</v>
      </c>
      <c r="O386" s="126">
        <v>81</v>
      </c>
      <c r="P386" s="127">
        <v>45086</v>
      </c>
      <c r="Q386" s="94">
        <v>1</v>
      </c>
      <c r="R386" s="97">
        <v>40773.79</v>
      </c>
      <c r="S386" s="94">
        <v>1</v>
      </c>
      <c r="T386" s="128">
        <v>45093</v>
      </c>
      <c r="U386" s="97">
        <v>40773.79</v>
      </c>
    </row>
    <row r="387" spans="1:22" ht="12" hidden="1" x14ac:dyDescent="0.25">
      <c r="A387" s="94">
        <v>385</v>
      </c>
      <c r="B387" s="94" t="s">
        <v>487</v>
      </c>
      <c r="C387" s="94" t="s">
        <v>488</v>
      </c>
      <c r="D387" s="94" t="s">
        <v>488</v>
      </c>
      <c r="E387" s="94" t="s">
        <v>262</v>
      </c>
      <c r="F387" s="94" t="s">
        <v>70</v>
      </c>
      <c r="G387" s="94">
        <v>2024</v>
      </c>
      <c r="H387" s="94">
        <v>-1</v>
      </c>
      <c r="I387" s="95"/>
      <c r="J387" s="96"/>
      <c r="K387" s="94">
        <v>1</v>
      </c>
      <c r="L387" s="117">
        <v>45440</v>
      </c>
      <c r="M387" s="94">
        <v>1</v>
      </c>
      <c r="N387" s="97">
        <v>8262</v>
      </c>
      <c r="O387" s="126" t="s">
        <v>489</v>
      </c>
      <c r="P387" s="127">
        <v>45460</v>
      </c>
      <c r="Q387" s="94">
        <v>1</v>
      </c>
      <c r="R387" s="97">
        <v>8262</v>
      </c>
      <c r="S387" s="94">
        <v>1</v>
      </c>
      <c r="T387" s="128">
        <v>45484</v>
      </c>
      <c r="U387" s="97">
        <v>8262</v>
      </c>
    </row>
    <row r="388" spans="1:22" ht="12" hidden="1" x14ac:dyDescent="0.25">
      <c r="A388" s="94">
        <v>386</v>
      </c>
      <c r="B388" s="94" t="s">
        <v>490</v>
      </c>
      <c r="C388" s="94" t="s">
        <v>491</v>
      </c>
      <c r="D388" s="94" t="s">
        <v>491</v>
      </c>
      <c r="E388" s="94" t="s">
        <v>262</v>
      </c>
      <c r="F388" s="94" t="s">
        <v>70</v>
      </c>
      <c r="G388" s="94">
        <v>2024</v>
      </c>
      <c r="H388" s="94">
        <v>-1</v>
      </c>
      <c r="I388" s="95"/>
      <c r="J388" s="96"/>
      <c r="K388" s="94">
        <v>1</v>
      </c>
      <c r="L388" s="117">
        <v>45498</v>
      </c>
      <c r="M388" s="94">
        <v>1</v>
      </c>
      <c r="N388" s="97">
        <v>32242</v>
      </c>
      <c r="O388" s="126" t="s">
        <v>492</v>
      </c>
      <c r="P388" s="127">
        <v>45525</v>
      </c>
      <c r="Q388" s="94">
        <v>1</v>
      </c>
      <c r="R388" s="97">
        <v>32242</v>
      </c>
      <c r="S388" s="94">
        <v>1</v>
      </c>
      <c r="T388" s="128">
        <v>45555</v>
      </c>
      <c r="U388" s="97">
        <v>32242</v>
      </c>
    </row>
    <row r="389" spans="1:22" ht="12" hidden="1" x14ac:dyDescent="0.25">
      <c r="A389" s="94">
        <v>387</v>
      </c>
      <c r="B389" s="94" t="s">
        <v>490</v>
      </c>
      <c r="C389" s="94" t="s">
        <v>491</v>
      </c>
      <c r="D389" s="94" t="s">
        <v>491</v>
      </c>
      <c r="E389" s="94" t="s">
        <v>262</v>
      </c>
      <c r="F389" s="94" t="s">
        <v>70</v>
      </c>
      <c r="G389" s="94">
        <v>2024</v>
      </c>
      <c r="H389" s="94">
        <v>-1</v>
      </c>
      <c r="I389" s="95"/>
      <c r="J389" s="96"/>
      <c r="K389" s="94">
        <v>1</v>
      </c>
      <c r="L389" s="117">
        <v>45534</v>
      </c>
      <c r="M389" s="94">
        <v>2</v>
      </c>
      <c r="N389" s="97">
        <v>82138</v>
      </c>
      <c r="O389" s="126" t="s">
        <v>493</v>
      </c>
      <c r="P389" s="127">
        <v>45538</v>
      </c>
      <c r="Q389" s="94">
        <v>1</v>
      </c>
      <c r="R389" s="97">
        <v>82138</v>
      </c>
      <c r="S389" s="94">
        <v>1</v>
      </c>
      <c r="T389" s="128">
        <v>45569</v>
      </c>
      <c r="U389" s="97">
        <v>80437.743399999992</v>
      </c>
    </row>
    <row r="390" spans="1:22" ht="12" hidden="1" x14ac:dyDescent="0.25">
      <c r="A390" s="94">
        <v>388</v>
      </c>
      <c r="B390" s="94" t="s">
        <v>490</v>
      </c>
      <c r="C390" s="94" t="s">
        <v>491</v>
      </c>
      <c r="D390" s="94" t="s">
        <v>491</v>
      </c>
      <c r="E390" s="94" t="s">
        <v>262</v>
      </c>
      <c r="F390" s="94" t="s">
        <v>70</v>
      </c>
      <c r="G390" s="94">
        <v>2024</v>
      </c>
      <c r="H390" s="94">
        <v>-1</v>
      </c>
      <c r="I390" s="95"/>
      <c r="J390" s="96"/>
      <c r="K390" s="94">
        <v>1</v>
      </c>
      <c r="L390" s="117">
        <v>45565</v>
      </c>
      <c r="M390" s="94">
        <v>3</v>
      </c>
      <c r="N390" s="97">
        <v>5513</v>
      </c>
      <c r="O390" s="126" t="s">
        <v>494</v>
      </c>
      <c r="P390" s="127">
        <v>45587</v>
      </c>
      <c r="Q390" s="94">
        <v>1</v>
      </c>
      <c r="R390" s="97">
        <v>5513</v>
      </c>
      <c r="S390" s="94">
        <v>1</v>
      </c>
      <c r="T390" s="128">
        <v>45617</v>
      </c>
      <c r="U390" s="97">
        <v>5513</v>
      </c>
    </row>
    <row r="391" spans="1:22" ht="12" hidden="1" x14ac:dyDescent="0.25">
      <c r="A391" s="94">
        <v>389</v>
      </c>
      <c r="B391" s="98" t="s">
        <v>81</v>
      </c>
      <c r="C391" s="98" t="s">
        <v>82</v>
      </c>
      <c r="D391" s="98" t="s">
        <v>82</v>
      </c>
      <c r="E391" s="98" t="s">
        <v>262</v>
      </c>
      <c r="F391" s="98" t="s">
        <v>70</v>
      </c>
      <c r="G391" s="98">
        <v>2024</v>
      </c>
      <c r="H391" s="98">
        <v>-1</v>
      </c>
      <c r="I391" s="111"/>
      <c r="J391" s="135"/>
      <c r="K391" s="98">
        <v>1</v>
      </c>
      <c r="L391" s="111">
        <v>45596</v>
      </c>
      <c r="M391" s="98">
        <v>1</v>
      </c>
      <c r="N391" s="135">
        <v>26104</v>
      </c>
      <c r="O391" s="147" t="s">
        <v>495</v>
      </c>
      <c r="P391" s="131">
        <v>45607</v>
      </c>
      <c r="Q391" s="98">
        <v>1</v>
      </c>
      <c r="R391" s="129">
        <v>26104</v>
      </c>
      <c r="S391" s="94">
        <v>1</v>
      </c>
      <c r="T391" s="132">
        <v>45617</v>
      </c>
      <c r="U391" s="129">
        <v>26104</v>
      </c>
      <c r="V391" s="98"/>
    </row>
    <row r="392" spans="1:22" ht="12" hidden="1" x14ac:dyDescent="0.25">
      <c r="A392" s="94">
        <v>390</v>
      </c>
      <c r="B392" s="94" t="s">
        <v>81</v>
      </c>
      <c r="C392" s="94" t="s">
        <v>82</v>
      </c>
      <c r="D392" s="94" t="s">
        <v>82</v>
      </c>
      <c r="E392" s="94" t="s">
        <v>262</v>
      </c>
      <c r="F392" s="94" t="s">
        <v>70</v>
      </c>
      <c r="G392" s="94">
        <v>2024</v>
      </c>
      <c r="H392" s="94">
        <v>-1</v>
      </c>
      <c r="I392" s="95"/>
      <c r="J392" s="96"/>
      <c r="K392" s="94">
        <v>1</v>
      </c>
      <c r="L392" s="117">
        <v>45625</v>
      </c>
      <c r="M392" s="94">
        <v>2</v>
      </c>
      <c r="N392" s="96">
        <v>25519</v>
      </c>
      <c r="O392" s="126" t="s">
        <v>496</v>
      </c>
      <c r="P392" s="127">
        <v>45638</v>
      </c>
      <c r="Q392" s="94">
        <v>1</v>
      </c>
      <c r="R392" s="97">
        <v>25519</v>
      </c>
      <c r="S392" s="94">
        <v>1</v>
      </c>
      <c r="T392" s="128">
        <v>45653</v>
      </c>
      <c r="U392" s="97">
        <v>25000</v>
      </c>
    </row>
    <row r="393" spans="1:22" ht="12" hidden="1" x14ac:dyDescent="0.25">
      <c r="A393" s="94">
        <v>391</v>
      </c>
      <c r="B393" s="94" t="s">
        <v>81</v>
      </c>
      <c r="C393" s="94" t="s">
        <v>82</v>
      </c>
      <c r="D393" s="94" t="s">
        <v>82</v>
      </c>
      <c r="E393" s="94" t="s">
        <v>262</v>
      </c>
      <c r="F393" s="94" t="s">
        <v>70</v>
      </c>
      <c r="G393" s="94">
        <v>2024</v>
      </c>
      <c r="H393" s="94">
        <v>-1</v>
      </c>
      <c r="I393" s="95"/>
      <c r="J393" s="96"/>
      <c r="K393" s="94">
        <v>1</v>
      </c>
      <c r="L393" s="117">
        <v>45652</v>
      </c>
      <c r="M393" s="94">
        <v>3</v>
      </c>
      <c r="N393" s="96">
        <v>13312</v>
      </c>
      <c r="O393" s="126" t="s">
        <v>497</v>
      </c>
      <c r="P393" s="127">
        <v>45660</v>
      </c>
      <c r="Q393" s="94">
        <v>1</v>
      </c>
      <c r="R393" s="97">
        <v>13312</v>
      </c>
      <c r="S393" s="94">
        <v>1</v>
      </c>
      <c r="T393" s="128">
        <v>45673</v>
      </c>
      <c r="U393" s="133">
        <v>13823</v>
      </c>
      <c r="V393" s="110"/>
    </row>
    <row r="394" spans="1:22" ht="12" hidden="1" x14ac:dyDescent="0.25">
      <c r="A394" s="94">
        <v>392</v>
      </c>
      <c r="B394" s="94" t="s">
        <v>498</v>
      </c>
      <c r="C394" s="94" t="s">
        <v>217</v>
      </c>
      <c r="D394" s="94" t="s">
        <v>217</v>
      </c>
      <c r="E394" s="94" t="s">
        <v>262</v>
      </c>
      <c r="F394" s="94" t="s">
        <v>70</v>
      </c>
      <c r="G394" s="94">
        <v>2025</v>
      </c>
      <c r="H394" s="94">
        <v>-1</v>
      </c>
      <c r="I394" s="95"/>
      <c r="J394" s="96"/>
      <c r="K394" s="94">
        <v>-1</v>
      </c>
      <c r="L394" s="117"/>
      <c r="M394" s="120" t="s">
        <v>258</v>
      </c>
      <c r="O394" s="126" t="s">
        <v>499</v>
      </c>
      <c r="P394" s="127">
        <v>45901</v>
      </c>
      <c r="Q394" s="94">
        <v>1</v>
      </c>
      <c r="R394" s="97">
        <v>12000</v>
      </c>
      <c r="S394" s="94">
        <v>1</v>
      </c>
      <c r="T394" s="128">
        <v>45953</v>
      </c>
      <c r="U394" s="97">
        <v>12000</v>
      </c>
      <c r="V394" s="94" t="s">
        <v>500</v>
      </c>
    </row>
    <row r="395" spans="1:22" ht="12" hidden="1" x14ac:dyDescent="0.25">
      <c r="A395" s="94">
        <v>393</v>
      </c>
      <c r="B395" s="94" t="s">
        <v>501</v>
      </c>
      <c r="C395" s="94" t="s">
        <v>502</v>
      </c>
      <c r="D395" s="94" t="s">
        <v>502</v>
      </c>
      <c r="E395" s="94" t="s">
        <v>262</v>
      </c>
      <c r="F395" s="94" t="s">
        <v>70</v>
      </c>
      <c r="G395" s="94">
        <v>2023</v>
      </c>
      <c r="H395" s="94">
        <v>-1</v>
      </c>
      <c r="I395" s="95"/>
      <c r="J395" s="96"/>
      <c r="K395" s="94">
        <v>1</v>
      </c>
      <c r="L395" s="117">
        <v>45282</v>
      </c>
      <c r="M395" s="94">
        <v>1</v>
      </c>
      <c r="N395" s="97">
        <v>65088</v>
      </c>
      <c r="O395" s="126" t="s">
        <v>503</v>
      </c>
      <c r="P395" s="127">
        <v>45307</v>
      </c>
      <c r="Q395" s="94">
        <v>1</v>
      </c>
      <c r="R395" s="97">
        <v>65088</v>
      </c>
      <c r="S395" s="94">
        <v>1</v>
      </c>
      <c r="T395" s="128">
        <v>45319</v>
      </c>
      <c r="U395" s="97">
        <v>65088</v>
      </c>
      <c r="V395" s="94" t="s">
        <v>504</v>
      </c>
    </row>
    <row r="396" spans="1:22" ht="12" hidden="1" x14ac:dyDescent="0.25">
      <c r="A396" s="94">
        <v>394</v>
      </c>
      <c r="B396" s="94" t="s">
        <v>505</v>
      </c>
      <c r="C396" s="94" t="s">
        <v>506</v>
      </c>
      <c r="D396" s="119" t="s">
        <v>506</v>
      </c>
      <c r="E396" s="94" t="s">
        <v>262</v>
      </c>
      <c r="F396" s="94" t="s">
        <v>70</v>
      </c>
      <c r="G396" s="94">
        <v>2024</v>
      </c>
      <c r="H396" s="94">
        <v>-1</v>
      </c>
      <c r="I396" s="95"/>
      <c r="J396" s="96"/>
      <c r="K396" s="94">
        <v>1</v>
      </c>
      <c r="L396" s="117">
        <v>45468</v>
      </c>
      <c r="M396" s="120">
        <v>1</v>
      </c>
      <c r="N396" s="100">
        <v>13797</v>
      </c>
      <c r="O396" s="126" t="s">
        <v>507</v>
      </c>
      <c r="P396" s="127">
        <v>45481</v>
      </c>
      <c r="Q396" s="94">
        <v>1</v>
      </c>
      <c r="R396" s="97">
        <v>13797</v>
      </c>
      <c r="S396" s="94">
        <v>1</v>
      </c>
      <c r="T396" s="128">
        <v>45491</v>
      </c>
      <c r="U396" s="97">
        <v>13797</v>
      </c>
    </row>
    <row r="397" spans="1:22" ht="12" hidden="1" x14ac:dyDescent="0.25">
      <c r="A397" s="94">
        <v>395</v>
      </c>
      <c r="B397" s="98" t="s">
        <v>508</v>
      </c>
      <c r="C397" s="98" t="s">
        <v>83</v>
      </c>
      <c r="D397" s="98" t="s">
        <v>83</v>
      </c>
      <c r="E397" s="98" t="s">
        <v>262</v>
      </c>
      <c r="F397" s="98" t="s">
        <v>70</v>
      </c>
      <c r="G397" s="98">
        <v>2025</v>
      </c>
      <c r="H397" s="98">
        <v>-1</v>
      </c>
      <c r="I397" s="111"/>
      <c r="J397" s="135"/>
      <c r="K397" s="98">
        <v>1</v>
      </c>
      <c r="L397" s="111">
        <v>45807</v>
      </c>
      <c r="M397" s="98">
        <v>1</v>
      </c>
      <c r="N397" s="135">
        <v>29207</v>
      </c>
      <c r="O397" s="131" t="s">
        <v>706</v>
      </c>
      <c r="P397" s="131">
        <v>46042</v>
      </c>
      <c r="Q397" s="98">
        <v>1</v>
      </c>
      <c r="R397" s="129">
        <v>33892</v>
      </c>
      <c r="S397" s="94">
        <v>-1</v>
      </c>
      <c r="T397" s="132">
        <v>46090</v>
      </c>
      <c r="U397" s="129">
        <v>33892</v>
      </c>
      <c r="V397" s="98" t="s">
        <v>509</v>
      </c>
    </row>
    <row r="398" spans="1:22" ht="12" hidden="1" x14ac:dyDescent="0.25">
      <c r="A398" s="94">
        <v>396</v>
      </c>
      <c r="B398" s="94" t="s">
        <v>510</v>
      </c>
      <c r="C398" s="94" t="s">
        <v>511</v>
      </c>
      <c r="D398" s="94" t="s">
        <v>511</v>
      </c>
      <c r="E398" s="94" t="s">
        <v>262</v>
      </c>
      <c r="F398" s="94" t="s">
        <v>70</v>
      </c>
      <c r="G398" s="94">
        <v>2024</v>
      </c>
      <c r="H398" s="94">
        <v>-1</v>
      </c>
      <c r="I398" s="95"/>
      <c r="J398" s="96"/>
      <c r="K398" s="94">
        <v>1</v>
      </c>
      <c r="L398" s="117">
        <v>45498</v>
      </c>
      <c r="M398" s="120">
        <v>1</v>
      </c>
      <c r="N398" s="97">
        <v>84801.87</v>
      </c>
      <c r="O398" s="126" t="s">
        <v>512</v>
      </c>
      <c r="P398" s="127">
        <v>45523</v>
      </c>
      <c r="Q398" s="94">
        <v>1</v>
      </c>
      <c r="R398" s="97">
        <v>84862</v>
      </c>
      <c r="S398" s="94">
        <v>1</v>
      </c>
      <c r="T398" s="128">
        <v>45554</v>
      </c>
      <c r="U398" s="97">
        <v>84862</v>
      </c>
    </row>
    <row r="399" spans="1:22" ht="12" hidden="1" x14ac:dyDescent="0.25">
      <c r="A399" s="94">
        <v>397</v>
      </c>
      <c r="B399" s="94" t="s">
        <v>510</v>
      </c>
      <c r="C399" s="94" t="s">
        <v>511</v>
      </c>
      <c r="D399" s="94" t="s">
        <v>511</v>
      </c>
      <c r="E399" s="94" t="s">
        <v>262</v>
      </c>
      <c r="F399" s="94" t="s">
        <v>70</v>
      </c>
      <c r="G399" s="94">
        <v>2024</v>
      </c>
      <c r="H399" s="94">
        <v>-1</v>
      </c>
      <c r="I399" s="95"/>
      <c r="J399" s="96"/>
      <c r="K399" s="94">
        <v>1</v>
      </c>
      <c r="L399" s="117">
        <v>45534</v>
      </c>
      <c r="M399" s="94">
        <v>2</v>
      </c>
      <c r="N399" s="97">
        <v>10481</v>
      </c>
      <c r="O399" s="126" t="s">
        <v>513</v>
      </c>
      <c r="P399" s="127">
        <v>45538</v>
      </c>
      <c r="Q399" s="94">
        <v>1</v>
      </c>
      <c r="R399" s="97">
        <v>10481</v>
      </c>
      <c r="S399" s="94">
        <v>1</v>
      </c>
      <c r="T399" s="128">
        <v>45569</v>
      </c>
      <c r="U399" s="97">
        <v>10264.043299999999</v>
      </c>
    </row>
    <row r="400" spans="1:22" ht="12" hidden="1" x14ac:dyDescent="0.25">
      <c r="A400" s="94">
        <v>398</v>
      </c>
      <c r="B400" s="94" t="s">
        <v>514</v>
      </c>
      <c r="C400" s="94" t="s">
        <v>515</v>
      </c>
      <c r="D400" s="94" t="s">
        <v>515</v>
      </c>
      <c r="E400" s="94" t="s">
        <v>262</v>
      </c>
      <c r="F400" s="94" t="s">
        <v>70</v>
      </c>
      <c r="G400" s="94">
        <v>2024</v>
      </c>
      <c r="H400" s="94">
        <v>-1</v>
      </c>
      <c r="I400" s="95"/>
      <c r="J400" s="96"/>
      <c r="K400" s="94">
        <v>1</v>
      </c>
      <c r="L400" s="117">
        <v>45498</v>
      </c>
      <c r="M400" s="94">
        <v>1</v>
      </c>
      <c r="N400" s="97">
        <v>24551</v>
      </c>
      <c r="O400" s="140" t="s">
        <v>516</v>
      </c>
      <c r="P400" s="127">
        <v>45520</v>
      </c>
      <c r="Q400" s="94">
        <v>1</v>
      </c>
      <c r="R400" s="97">
        <v>24551</v>
      </c>
      <c r="S400" s="94">
        <v>1</v>
      </c>
      <c r="T400" s="128">
        <v>45530</v>
      </c>
      <c r="U400" s="97">
        <v>23814.47</v>
      </c>
      <c r="V400" s="110"/>
    </row>
    <row r="401" spans="1:22" ht="12" hidden="1" x14ac:dyDescent="0.25">
      <c r="A401" s="94">
        <v>399</v>
      </c>
      <c r="B401" s="94" t="s">
        <v>517</v>
      </c>
      <c r="C401" s="94" t="s">
        <v>518</v>
      </c>
      <c r="D401" s="94" t="s">
        <v>518</v>
      </c>
      <c r="E401" s="94" t="s">
        <v>262</v>
      </c>
      <c r="F401" s="94" t="s">
        <v>70</v>
      </c>
      <c r="G401" s="94">
        <v>2023</v>
      </c>
      <c r="H401" s="94">
        <v>-1</v>
      </c>
      <c r="I401" s="95">
        <v>45231</v>
      </c>
      <c r="J401" s="96">
        <v>0</v>
      </c>
      <c r="K401" s="94">
        <v>1</v>
      </c>
      <c r="L401" s="117">
        <v>45257</v>
      </c>
      <c r="M401" s="94">
        <v>1</v>
      </c>
      <c r="N401" s="97">
        <v>15000</v>
      </c>
      <c r="O401" s="126" t="s">
        <v>519</v>
      </c>
      <c r="P401" s="127">
        <v>45280</v>
      </c>
      <c r="Q401" s="94">
        <v>1</v>
      </c>
      <c r="R401" s="97">
        <v>15000</v>
      </c>
      <c r="S401" s="94">
        <v>1</v>
      </c>
      <c r="T401" s="128">
        <v>45289</v>
      </c>
      <c r="U401" s="97">
        <v>15000</v>
      </c>
      <c r="V401" s="110"/>
    </row>
    <row r="402" spans="1:22" ht="12" hidden="1" x14ac:dyDescent="0.25">
      <c r="A402" s="94">
        <v>400</v>
      </c>
      <c r="B402" s="94" t="s">
        <v>520</v>
      </c>
      <c r="C402" s="94" t="s">
        <v>521</v>
      </c>
      <c r="D402" s="94" t="s">
        <v>521</v>
      </c>
      <c r="E402" s="94" t="s">
        <v>262</v>
      </c>
      <c r="F402" s="94" t="s">
        <v>70</v>
      </c>
      <c r="G402" s="94">
        <v>2024</v>
      </c>
      <c r="H402" s="94">
        <v>-1</v>
      </c>
      <c r="I402" s="95"/>
      <c r="J402" s="96"/>
      <c r="K402" s="94">
        <v>1</v>
      </c>
      <c r="L402" s="117">
        <v>45487</v>
      </c>
      <c r="M402" s="94">
        <v>1</v>
      </c>
      <c r="N402" s="97">
        <v>53339</v>
      </c>
      <c r="O402" s="126" t="s">
        <v>522</v>
      </c>
      <c r="P402" s="127">
        <v>45586</v>
      </c>
      <c r="Q402" s="94">
        <v>1</v>
      </c>
      <c r="R402" s="97">
        <v>53339</v>
      </c>
      <c r="S402" s="94">
        <v>1</v>
      </c>
      <c r="T402" s="128">
        <v>45596</v>
      </c>
      <c r="U402" s="97">
        <v>52252</v>
      </c>
      <c r="V402" s="110"/>
    </row>
    <row r="403" spans="1:22" ht="12" hidden="1" x14ac:dyDescent="0.25">
      <c r="A403" s="94">
        <v>401</v>
      </c>
      <c r="B403" s="94" t="s">
        <v>84</v>
      </c>
      <c r="C403" s="94" t="s">
        <v>111</v>
      </c>
      <c r="D403" s="94" t="s">
        <v>111</v>
      </c>
      <c r="E403" s="94" t="s">
        <v>262</v>
      </c>
      <c r="F403" s="94" t="s">
        <v>70</v>
      </c>
      <c r="G403" s="94">
        <v>2025</v>
      </c>
      <c r="H403" s="94">
        <v>-1</v>
      </c>
      <c r="I403" s="95"/>
      <c r="J403" s="96"/>
      <c r="K403" s="94">
        <v>1</v>
      </c>
      <c r="L403" s="117">
        <v>45742</v>
      </c>
      <c r="M403" s="94">
        <v>1</v>
      </c>
      <c r="N403" s="97">
        <v>51870</v>
      </c>
      <c r="O403" s="126" t="s">
        <v>523</v>
      </c>
      <c r="P403" s="127">
        <v>45786</v>
      </c>
      <c r="Q403" s="94">
        <v>1</v>
      </c>
      <c r="R403" s="97">
        <v>51870</v>
      </c>
      <c r="S403" s="94">
        <v>1</v>
      </c>
      <c r="T403" s="128">
        <v>45798</v>
      </c>
      <c r="U403" s="97">
        <v>48608</v>
      </c>
      <c r="V403" s="110" t="s">
        <v>524</v>
      </c>
    </row>
    <row r="404" spans="1:22" ht="12" hidden="1" x14ac:dyDescent="0.25">
      <c r="A404" s="94">
        <v>402</v>
      </c>
      <c r="B404" s="94" t="s">
        <v>525</v>
      </c>
      <c r="C404" s="94" t="s">
        <v>112</v>
      </c>
      <c r="D404" s="94" t="s">
        <v>112</v>
      </c>
      <c r="E404" s="94" t="s">
        <v>262</v>
      </c>
      <c r="F404" s="94" t="s">
        <v>70</v>
      </c>
      <c r="G404" s="94">
        <v>2025</v>
      </c>
      <c r="H404" s="94">
        <v>-1</v>
      </c>
      <c r="I404" s="95"/>
      <c r="J404" s="96"/>
      <c r="K404" s="94">
        <v>1</v>
      </c>
      <c r="L404" s="117">
        <v>45776</v>
      </c>
      <c r="M404" s="94">
        <v>1</v>
      </c>
      <c r="N404" s="97">
        <v>76361</v>
      </c>
      <c r="O404" s="126" t="s">
        <v>526</v>
      </c>
      <c r="P404" s="127">
        <v>45813</v>
      </c>
      <c r="Q404" s="94">
        <v>1</v>
      </c>
      <c r="R404" s="97">
        <v>76361</v>
      </c>
      <c r="S404" s="94">
        <v>1</v>
      </c>
      <c r="T404" s="128">
        <v>45862</v>
      </c>
      <c r="U404" s="97">
        <v>76361</v>
      </c>
      <c r="V404" s="110"/>
    </row>
    <row r="405" spans="1:22" ht="12" hidden="1" x14ac:dyDescent="0.25">
      <c r="A405" s="94">
        <v>403</v>
      </c>
      <c r="B405" s="94" t="s">
        <v>525</v>
      </c>
      <c r="C405" s="94" t="s">
        <v>112</v>
      </c>
      <c r="D405" s="94" t="s">
        <v>112</v>
      </c>
      <c r="E405" s="94" t="s">
        <v>262</v>
      </c>
      <c r="F405" s="94" t="s">
        <v>70</v>
      </c>
      <c r="G405" s="94">
        <v>2025</v>
      </c>
      <c r="H405" s="94">
        <v>-1</v>
      </c>
      <c r="I405" s="95"/>
      <c r="J405" s="96"/>
      <c r="K405" s="94">
        <v>1</v>
      </c>
      <c r="L405" s="117">
        <v>45823</v>
      </c>
      <c r="M405" s="94">
        <v>2</v>
      </c>
      <c r="N405" s="97">
        <v>114681</v>
      </c>
      <c r="O405" s="126" t="s">
        <v>527</v>
      </c>
      <c r="P405" s="127">
        <v>45873</v>
      </c>
      <c r="Q405" s="94">
        <v>1</v>
      </c>
      <c r="R405" s="97">
        <v>114681</v>
      </c>
      <c r="S405" s="94">
        <v>1</v>
      </c>
      <c r="T405" s="128">
        <v>45904</v>
      </c>
      <c r="U405" s="96">
        <v>112344</v>
      </c>
    </row>
    <row r="406" spans="1:22" ht="12" hidden="1" x14ac:dyDescent="0.25">
      <c r="A406" s="94">
        <v>404</v>
      </c>
      <c r="B406" s="94" t="s">
        <v>525</v>
      </c>
      <c r="C406" s="94" t="s">
        <v>112</v>
      </c>
      <c r="D406" s="94" t="s">
        <v>112</v>
      </c>
      <c r="E406" s="94" t="s">
        <v>262</v>
      </c>
      <c r="F406" s="94" t="s">
        <v>70</v>
      </c>
      <c r="G406" s="94">
        <v>2025</v>
      </c>
      <c r="H406" s="94">
        <v>-1</v>
      </c>
      <c r="I406" s="95"/>
      <c r="J406" s="142"/>
      <c r="K406" s="94">
        <v>1</v>
      </c>
      <c r="L406" s="95">
        <v>45889</v>
      </c>
      <c r="M406" s="94">
        <v>3</v>
      </c>
      <c r="N406" s="97">
        <v>23019</v>
      </c>
      <c r="O406" s="126" t="s">
        <v>528</v>
      </c>
      <c r="P406" s="127">
        <v>45901</v>
      </c>
      <c r="Q406" s="94">
        <v>1</v>
      </c>
      <c r="R406" s="97">
        <v>23019</v>
      </c>
      <c r="S406" s="94">
        <v>1</v>
      </c>
      <c r="T406" s="127">
        <v>45953</v>
      </c>
      <c r="U406" s="150">
        <v>23019</v>
      </c>
      <c r="V406" s="114" t="s">
        <v>500</v>
      </c>
    </row>
    <row r="407" spans="1:22" ht="12" hidden="1" customHeight="1" x14ac:dyDescent="0.25">
      <c r="A407" s="94">
        <v>405</v>
      </c>
      <c r="B407" s="94" t="s">
        <v>525</v>
      </c>
      <c r="C407" s="94" t="s">
        <v>112</v>
      </c>
      <c r="D407" s="94" t="s">
        <v>112</v>
      </c>
      <c r="E407" s="94" t="s">
        <v>262</v>
      </c>
      <c r="F407" s="94" t="s">
        <v>70</v>
      </c>
      <c r="G407" s="94">
        <v>2025</v>
      </c>
      <c r="H407" s="94">
        <v>-1</v>
      </c>
      <c r="I407" s="95"/>
      <c r="J407" s="96"/>
      <c r="K407" s="94">
        <v>1</v>
      </c>
      <c r="L407" s="95">
        <v>45925</v>
      </c>
      <c r="M407" s="94">
        <v>4</v>
      </c>
      <c r="N407" s="97">
        <v>8564</v>
      </c>
      <c r="O407" s="127" t="s">
        <v>705</v>
      </c>
      <c r="P407" s="127"/>
      <c r="Q407" s="94">
        <v>-1</v>
      </c>
      <c r="S407" s="94">
        <v>-1</v>
      </c>
      <c r="T407" s="128"/>
      <c r="V407" s="115"/>
    </row>
    <row r="408" spans="1:22" ht="12" hidden="1" customHeight="1" x14ac:dyDescent="0.25">
      <c r="A408" s="94">
        <v>406</v>
      </c>
      <c r="B408" s="94" t="s">
        <v>525</v>
      </c>
      <c r="C408" s="94" t="s">
        <v>112</v>
      </c>
      <c r="D408" s="94" t="s">
        <v>112</v>
      </c>
      <c r="E408" s="94" t="s">
        <v>262</v>
      </c>
      <c r="F408" s="94" t="s">
        <v>70</v>
      </c>
      <c r="G408" s="94">
        <v>2025</v>
      </c>
      <c r="H408" s="94">
        <v>-1</v>
      </c>
      <c r="I408" s="95"/>
      <c r="J408" s="96"/>
      <c r="K408" s="94">
        <v>1</v>
      </c>
      <c r="L408" s="95">
        <v>45954</v>
      </c>
      <c r="M408" s="94">
        <v>5</v>
      </c>
      <c r="N408" s="97">
        <v>17010</v>
      </c>
      <c r="O408" s="126" t="s">
        <v>705</v>
      </c>
      <c r="P408" s="127"/>
      <c r="Q408" s="94">
        <v>-1</v>
      </c>
      <c r="S408" s="94">
        <v>-1</v>
      </c>
      <c r="T408" s="128"/>
      <c r="V408" s="115"/>
    </row>
    <row r="409" spans="1:22" ht="12" hidden="1" customHeight="1" x14ac:dyDescent="0.25">
      <c r="A409" s="94">
        <v>407</v>
      </c>
      <c r="B409" s="94" t="s">
        <v>529</v>
      </c>
      <c r="C409" s="94" t="s">
        <v>197</v>
      </c>
      <c r="D409" s="94" t="s">
        <v>197</v>
      </c>
      <c r="E409" s="94" t="s">
        <v>262</v>
      </c>
      <c r="F409" s="94" t="s">
        <v>70</v>
      </c>
      <c r="G409" s="94">
        <v>2025</v>
      </c>
      <c r="H409" s="94">
        <v>-1</v>
      </c>
      <c r="I409" s="95"/>
      <c r="J409" s="142"/>
      <c r="K409" s="94">
        <v>1</v>
      </c>
      <c r="L409" s="95">
        <v>45869</v>
      </c>
      <c r="M409" s="94">
        <v>1</v>
      </c>
      <c r="N409" s="97">
        <v>35690</v>
      </c>
      <c r="O409" s="126" t="s">
        <v>530</v>
      </c>
      <c r="P409" s="127">
        <v>45936</v>
      </c>
      <c r="Q409" s="94">
        <v>1</v>
      </c>
      <c r="R409" s="97">
        <v>37221</v>
      </c>
      <c r="S409" s="94">
        <v>1</v>
      </c>
      <c r="T409" s="127">
        <v>45937</v>
      </c>
      <c r="U409" s="136">
        <v>33707.714285714283</v>
      </c>
      <c r="V409" s="148" t="s">
        <v>531</v>
      </c>
    </row>
    <row r="410" spans="1:22" ht="12" hidden="1" customHeight="1" x14ac:dyDescent="0.25">
      <c r="A410" s="94">
        <v>408</v>
      </c>
      <c r="B410" s="94" t="s">
        <v>532</v>
      </c>
      <c r="C410" s="94" t="s">
        <v>533</v>
      </c>
      <c r="D410" s="94" t="s">
        <v>533</v>
      </c>
      <c r="E410" s="94" t="s">
        <v>262</v>
      </c>
      <c r="F410" s="94" t="s">
        <v>70</v>
      </c>
      <c r="G410" s="94">
        <v>2024</v>
      </c>
      <c r="H410" s="94">
        <v>1</v>
      </c>
      <c r="I410" s="95">
        <v>45323</v>
      </c>
      <c r="J410" s="142">
        <v>25600</v>
      </c>
      <c r="K410" s="94">
        <v>1</v>
      </c>
      <c r="L410" s="95">
        <v>45350</v>
      </c>
      <c r="M410" s="94">
        <v>1</v>
      </c>
      <c r="N410" s="97">
        <v>25600</v>
      </c>
      <c r="O410" s="126" t="s">
        <v>534</v>
      </c>
      <c r="P410" s="127">
        <v>45371</v>
      </c>
      <c r="Q410" s="94">
        <v>1</v>
      </c>
      <c r="R410" s="97">
        <v>25600</v>
      </c>
      <c r="S410" s="94">
        <v>1</v>
      </c>
      <c r="T410" s="138">
        <v>45372</v>
      </c>
      <c r="U410" s="97">
        <v>25600</v>
      </c>
      <c r="V410" s="148"/>
    </row>
    <row r="411" spans="1:22" ht="12" hidden="1" customHeight="1" x14ac:dyDescent="0.25">
      <c r="A411" s="94">
        <v>409</v>
      </c>
      <c r="B411" s="94" t="s">
        <v>535</v>
      </c>
      <c r="C411" s="94" t="s">
        <v>536</v>
      </c>
      <c r="D411" s="94" t="s">
        <v>536</v>
      </c>
      <c r="E411" s="94" t="s">
        <v>537</v>
      </c>
      <c r="F411" s="94" t="s">
        <v>70</v>
      </c>
      <c r="G411" s="94">
        <v>2023</v>
      </c>
      <c r="H411" s="94">
        <v>1</v>
      </c>
      <c r="I411" s="95">
        <v>45231</v>
      </c>
      <c r="J411" s="142">
        <v>9666.6666666666679</v>
      </c>
      <c r="K411" s="94">
        <v>1</v>
      </c>
      <c r="L411" s="95">
        <v>45275</v>
      </c>
      <c r="M411" s="94">
        <v>1</v>
      </c>
      <c r="N411" s="137">
        <v>23659.07</v>
      </c>
      <c r="O411" s="126" t="s">
        <v>538</v>
      </c>
      <c r="P411" s="127">
        <v>45278</v>
      </c>
      <c r="Q411" s="94">
        <v>1</v>
      </c>
      <c r="R411" s="97">
        <v>23659</v>
      </c>
      <c r="S411" s="94">
        <v>1</v>
      </c>
      <c r="T411" s="138">
        <v>45282</v>
      </c>
      <c r="U411" s="97">
        <v>23659</v>
      </c>
      <c r="V411" s="148"/>
    </row>
    <row r="412" spans="1:22" ht="12" hidden="1" customHeight="1" x14ac:dyDescent="0.25">
      <c r="A412" s="94">
        <v>410</v>
      </c>
      <c r="B412" s="94" t="s">
        <v>535</v>
      </c>
      <c r="C412" s="94" t="s">
        <v>536</v>
      </c>
      <c r="D412" s="118" t="s">
        <v>536</v>
      </c>
      <c r="E412" s="94" t="s">
        <v>537</v>
      </c>
      <c r="F412" s="94" t="s">
        <v>70</v>
      </c>
      <c r="G412" s="94">
        <v>2023</v>
      </c>
      <c r="H412" s="94">
        <v>1</v>
      </c>
      <c r="I412" s="95">
        <v>45261</v>
      </c>
      <c r="J412" s="96">
        <v>23027.200000000001</v>
      </c>
      <c r="K412" s="94">
        <v>1</v>
      </c>
      <c r="L412" s="95">
        <v>45291</v>
      </c>
      <c r="M412" s="94">
        <v>2</v>
      </c>
      <c r="N412" s="97">
        <v>26813.83</v>
      </c>
      <c r="O412" s="126" t="s">
        <v>539</v>
      </c>
      <c r="P412" s="127">
        <v>45314</v>
      </c>
      <c r="Q412" s="94">
        <v>1</v>
      </c>
      <c r="R412" s="97">
        <v>26813.83</v>
      </c>
      <c r="S412" s="94">
        <v>1</v>
      </c>
      <c r="T412" s="128">
        <v>45345</v>
      </c>
      <c r="U412" s="136">
        <v>26902</v>
      </c>
      <c r="V412" s="148"/>
    </row>
    <row r="413" spans="1:22" ht="12" hidden="1" customHeight="1" x14ac:dyDescent="0.25">
      <c r="A413" s="94">
        <v>411</v>
      </c>
      <c r="B413" s="94" t="s">
        <v>535</v>
      </c>
      <c r="C413" s="94" t="s">
        <v>536</v>
      </c>
      <c r="D413" s="94" t="s">
        <v>536</v>
      </c>
      <c r="E413" s="94" t="s">
        <v>537</v>
      </c>
      <c r="F413" s="94" t="s">
        <v>70</v>
      </c>
      <c r="G413" s="94">
        <v>2024</v>
      </c>
      <c r="H413" s="94">
        <v>1</v>
      </c>
      <c r="I413" s="95">
        <v>45292</v>
      </c>
      <c r="J413" s="96">
        <v>32332</v>
      </c>
      <c r="K413" s="94">
        <v>1</v>
      </c>
      <c r="L413" s="117">
        <v>45316</v>
      </c>
      <c r="M413" s="94">
        <v>3</v>
      </c>
      <c r="N413" s="97">
        <v>11221.900000000001</v>
      </c>
      <c r="O413" s="126" t="s">
        <v>540</v>
      </c>
      <c r="P413" s="127">
        <v>45327</v>
      </c>
      <c r="Q413" s="94">
        <v>1</v>
      </c>
      <c r="R413" s="97">
        <v>11221.900000000001</v>
      </c>
      <c r="S413" s="94">
        <v>1</v>
      </c>
      <c r="T413" s="128">
        <v>45416</v>
      </c>
      <c r="U413" s="97">
        <v>11222</v>
      </c>
    </row>
    <row r="414" spans="1:22" ht="12" hidden="1" customHeight="1" x14ac:dyDescent="0.25">
      <c r="A414" s="94">
        <v>412</v>
      </c>
      <c r="B414" s="94" t="s">
        <v>535</v>
      </c>
      <c r="C414" s="94" t="s">
        <v>536</v>
      </c>
      <c r="D414" s="94" t="s">
        <v>536</v>
      </c>
      <c r="E414" s="94" t="s">
        <v>537</v>
      </c>
      <c r="F414" s="94" t="s">
        <v>70</v>
      </c>
      <c r="G414" s="94">
        <v>2024</v>
      </c>
      <c r="H414" s="94">
        <v>1</v>
      </c>
      <c r="I414" s="95">
        <v>45323</v>
      </c>
      <c r="J414" s="96">
        <v>33133</v>
      </c>
      <c r="K414" s="94">
        <v>1</v>
      </c>
      <c r="L414" s="117">
        <v>45351</v>
      </c>
      <c r="M414" s="94">
        <v>4</v>
      </c>
      <c r="N414" s="97">
        <v>7526</v>
      </c>
      <c r="O414" s="126" t="s">
        <v>541</v>
      </c>
      <c r="P414" s="127">
        <v>45362</v>
      </c>
      <c r="Q414" s="94">
        <v>1</v>
      </c>
      <c r="R414" s="97">
        <v>7526</v>
      </c>
      <c r="S414" s="94">
        <v>1</v>
      </c>
      <c r="T414" s="128">
        <v>45403</v>
      </c>
      <c r="U414" s="97">
        <v>7526</v>
      </c>
    </row>
    <row r="415" spans="1:22" ht="12" hidden="1" customHeight="1" x14ac:dyDescent="0.25">
      <c r="A415" s="94">
        <v>413</v>
      </c>
      <c r="B415" s="94" t="s">
        <v>535</v>
      </c>
      <c r="C415" s="94" t="s">
        <v>536</v>
      </c>
      <c r="D415" s="94" t="s">
        <v>536</v>
      </c>
      <c r="E415" s="94" t="s">
        <v>537</v>
      </c>
      <c r="F415" s="94" t="s">
        <v>70</v>
      </c>
      <c r="G415" s="94">
        <v>2024</v>
      </c>
      <c r="H415" s="94">
        <v>1</v>
      </c>
      <c r="I415" s="95">
        <v>45352</v>
      </c>
      <c r="J415" s="96">
        <v>30481</v>
      </c>
      <c r="K415" s="94">
        <v>1</v>
      </c>
      <c r="L415" s="95">
        <v>45371</v>
      </c>
      <c r="M415" s="94">
        <v>5</v>
      </c>
      <c r="N415" s="97">
        <v>15246</v>
      </c>
      <c r="O415" s="126" t="s">
        <v>542</v>
      </c>
      <c r="P415" s="127">
        <v>45372</v>
      </c>
      <c r="Q415" s="94">
        <v>1</v>
      </c>
      <c r="R415" s="97">
        <v>15246</v>
      </c>
      <c r="S415" s="94">
        <v>1</v>
      </c>
      <c r="T415" s="128">
        <v>45403</v>
      </c>
      <c r="U415" s="97">
        <v>15246</v>
      </c>
    </row>
    <row r="416" spans="1:22" ht="12" hidden="1" customHeight="1" x14ac:dyDescent="0.25">
      <c r="A416" s="94">
        <v>414</v>
      </c>
      <c r="B416" s="94" t="s">
        <v>535</v>
      </c>
      <c r="C416" s="94" t="s">
        <v>536</v>
      </c>
      <c r="D416" s="94" t="s">
        <v>536</v>
      </c>
      <c r="E416" s="94" t="s">
        <v>537</v>
      </c>
      <c r="F416" s="94" t="s">
        <v>70</v>
      </c>
      <c r="G416" s="94">
        <v>2024</v>
      </c>
      <c r="H416" s="94">
        <v>1</v>
      </c>
      <c r="I416" s="95">
        <v>45383</v>
      </c>
      <c r="J416" s="96">
        <v>22893</v>
      </c>
      <c r="K416" s="94">
        <v>1</v>
      </c>
      <c r="L416" s="95">
        <v>45402</v>
      </c>
      <c r="M416" s="94">
        <v>6</v>
      </c>
      <c r="N416" s="97">
        <v>30669.3</v>
      </c>
      <c r="O416" s="126" t="s">
        <v>543</v>
      </c>
      <c r="P416" s="127">
        <v>45408</v>
      </c>
      <c r="Q416" s="94">
        <v>1</v>
      </c>
      <c r="R416" s="97">
        <v>30669</v>
      </c>
      <c r="S416" s="94">
        <v>1</v>
      </c>
      <c r="T416" s="128">
        <v>45438</v>
      </c>
      <c r="U416" s="97">
        <v>30669</v>
      </c>
    </row>
    <row r="417" spans="1:22" ht="12" hidden="1" customHeight="1" x14ac:dyDescent="0.25">
      <c r="A417" s="94">
        <v>415</v>
      </c>
      <c r="B417" s="94" t="s">
        <v>9</v>
      </c>
      <c r="C417" s="94" t="s">
        <v>10</v>
      </c>
      <c r="D417" s="94" t="s">
        <v>10</v>
      </c>
      <c r="E417" s="94" t="s">
        <v>544</v>
      </c>
      <c r="F417" s="94" t="s">
        <v>6</v>
      </c>
      <c r="G417" s="94">
        <v>2024</v>
      </c>
      <c r="H417" s="94">
        <v>-1</v>
      </c>
      <c r="I417" s="95"/>
      <c r="J417" s="96"/>
      <c r="K417" s="94">
        <v>1</v>
      </c>
      <c r="L417" s="95">
        <v>45576</v>
      </c>
      <c r="M417" s="94">
        <v>1</v>
      </c>
      <c r="N417" s="97">
        <v>31426</v>
      </c>
      <c r="O417" s="126">
        <v>49</v>
      </c>
      <c r="P417" s="127">
        <v>45590</v>
      </c>
      <c r="Q417" s="94">
        <v>1</v>
      </c>
      <c r="R417" s="97">
        <v>31720</v>
      </c>
      <c r="S417" s="94">
        <v>1</v>
      </c>
      <c r="T417" s="127">
        <v>45682</v>
      </c>
      <c r="U417" s="97">
        <v>28019</v>
      </c>
    </row>
    <row r="418" spans="1:22" ht="12" hidden="1" customHeight="1" x14ac:dyDescent="0.25">
      <c r="A418" s="94">
        <v>416</v>
      </c>
      <c r="B418" s="94" t="s">
        <v>9</v>
      </c>
      <c r="C418" s="94" t="s">
        <v>10</v>
      </c>
      <c r="D418" s="94" t="s">
        <v>10</v>
      </c>
      <c r="E418" s="94" t="s">
        <v>544</v>
      </c>
      <c r="F418" s="94" t="s">
        <v>6</v>
      </c>
      <c r="G418" s="94">
        <v>2024</v>
      </c>
      <c r="H418" s="94">
        <v>-1</v>
      </c>
      <c r="I418" s="95"/>
      <c r="J418" s="96"/>
      <c r="K418" s="94">
        <v>1</v>
      </c>
      <c r="L418" s="95">
        <v>45615</v>
      </c>
      <c r="M418" s="94">
        <v>2</v>
      </c>
      <c r="N418" s="97">
        <v>43703</v>
      </c>
      <c r="O418" s="126">
        <v>53</v>
      </c>
      <c r="P418" s="127">
        <v>45621</v>
      </c>
      <c r="Q418" s="94">
        <v>1</v>
      </c>
      <c r="R418" s="97">
        <v>38694</v>
      </c>
      <c r="S418" s="94">
        <v>1</v>
      </c>
      <c r="T418" s="128">
        <v>45712</v>
      </c>
      <c r="U418" s="97">
        <v>34759</v>
      </c>
    </row>
    <row r="419" spans="1:22" ht="12" hidden="1" customHeight="1" x14ac:dyDescent="0.25">
      <c r="A419" s="94">
        <v>417</v>
      </c>
      <c r="B419" s="94" t="s">
        <v>545</v>
      </c>
      <c r="C419" s="94" t="s">
        <v>718</v>
      </c>
      <c r="D419" s="94" t="s">
        <v>546</v>
      </c>
      <c r="E419" s="94" t="s">
        <v>544</v>
      </c>
      <c r="F419" s="94" t="s">
        <v>6</v>
      </c>
      <c r="G419" s="94">
        <v>2023</v>
      </c>
      <c r="H419" s="94">
        <v>-1</v>
      </c>
      <c r="I419" s="95"/>
      <c r="J419" s="96"/>
      <c r="K419" s="94">
        <v>1</v>
      </c>
      <c r="L419" s="95">
        <v>45006</v>
      </c>
      <c r="M419" s="94">
        <v>6</v>
      </c>
      <c r="N419" s="97">
        <v>35960</v>
      </c>
      <c r="O419" s="126">
        <v>5</v>
      </c>
      <c r="P419" s="127">
        <v>45071</v>
      </c>
      <c r="Q419" s="94">
        <v>1</v>
      </c>
      <c r="R419" s="97">
        <v>38046</v>
      </c>
      <c r="S419" s="94">
        <v>1</v>
      </c>
      <c r="T419" s="128">
        <v>45131</v>
      </c>
      <c r="U419" s="97">
        <v>36434</v>
      </c>
    </row>
    <row r="420" spans="1:22" ht="12" hidden="1" customHeight="1" x14ac:dyDescent="0.25">
      <c r="A420" s="94">
        <v>418</v>
      </c>
      <c r="B420" s="94" t="s">
        <v>545</v>
      </c>
      <c r="C420" s="94" t="s">
        <v>718</v>
      </c>
      <c r="D420" s="94" t="s">
        <v>546</v>
      </c>
      <c r="E420" s="94" t="s">
        <v>544</v>
      </c>
      <c r="F420" s="94" t="s">
        <v>6</v>
      </c>
      <c r="G420" s="94">
        <v>2023</v>
      </c>
      <c r="H420" s="99">
        <v>-1</v>
      </c>
      <c r="I420" s="109"/>
      <c r="J420" s="151"/>
      <c r="K420" s="99">
        <v>1</v>
      </c>
      <c r="L420" s="95">
        <v>45037</v>
      </c>
      <c r="M420" s="94">
        <v>7</v>
      </c>
      <c r="N420" s="97">
        <v>11589</v>
      </c>
      <c r="O420" s="126">
        <v>3</v>
      </c>
      <c r="P420" s="127">
        <v>45071</v>
      </c>
      <c r="Q420" s="99">
        <v>1</v>
      </c>
      <c r="R420" s="97">
        <v>11247</v>
      </c>
      <c r="S420" s="94">
        <v>1</v>
      </c>
      <c r="T420" s="128">
        <v>45131</v>
      </c>
      <c r="U420" s="97">
        <v>10770</v>
      </c>
      <c r="V420" s="99"/>
    </row>
    <row r="421" spans="1:22" ht="12" hidden="1" customHeight="1" x14ac:dyDescent="0.25">
      <c r="A421" s="94">
        <v>419</v>
      </c>
      <c r="B421" s="94" t="s">
        <v>545</v>
      </c>
      <c r="C421" s="94" t="s">
        <v>718</v>
      </c>
      <c r="D421" s="94" t="s">
        <v>546</v>
      </c>
      <c r="E421" s="94" t="s">
        <v>544</v>
      </c>
      <c r="F421" s="94" t="s">
        <v>6</v>
      </c>
      <c r="G421" s="94">
        <v>2023</v>
      </c>
      <c r="H421" s="94">
        <v>-1</v>
      </c>
      <c r="I421" s="95"/>
      <c r="J421" s="96"/>
      <c r="K421" s="94">
        <v>1</v>
      </c>
      <c r="L421" s="95">
        <v>45067</v>
      </c>
      <c r="M421" s="94">
        <v>8</v>
      </c>
      <c r="N421" s="97">
        <v>26229.48</v>
      </c>
      <c r="O421" s="126">
        <v>4</v>
      </c>
      <c r="P421" s="127">
        <v>45071</v>
      </c>
      <c r="Q421" s="94">
        <v>1</v>
      </c>
      <c r="R421" s="97">
        <v>26048</v>
      </c>
      <c r="S421" s="94">
        <v>1</v>
      </c>
      <c r="T421" s="128">
        <v>45131</v>
      </c>
      <c r="U421" s="97">
        <v>29445</v>
      </c>
    </row>
    <row r="422" spans="1:22" ht="12" hidden="1" customHeight="1" x14ac:dyDescent="0.25">
      <c r="A422" s="94">
        <v>420</v>
      </c>
      <c r="B422" s="94" t="s">
        <v>545</v>
      </c>
      <c r="C422" s="94" t="s">
        <v>718</v>
      </c>
      <c r="D422" s="94" t="s">
        <v>546</v>
      </c>
      <c r="E422" s="94" t="s">
        <v>544</v>
      </c>
      <c r="F422" s="94" t="s">
        <v>6</v>
      </c>
      <c r="G422" s="94">
        <v>2023</v>
      </c>
      <c r="H422" s="94">
        <v>-1</v>
      </c>
      <c r="I422" s="95"/>
      <c r="J422" s="152"/>
      <c r="K422" s="94">
        <v>1</v>
      </c>
      <c r="L422" s="95">
        <v>45098</v>
      </c>
      <c r="M422" s="153">
        <v>9</v>
      </c>
      <c r="N422" s="97">
        <v>16026</v>
      </c>
      <c r="O422" s="154">
        <v>6</v>
      </c>
      <c r="P422" s="155">
        <v>45100</v>
      </c>
      <c r="Q422" s="94">
        <v>1</v>
      </c>
      <c r="R422" s="156">
        <v>15553</v>
      </c>
      <c r="S422" s="94">
        <v>1</v>
      </c>
      <c r="T422" s="157">
        <v>45160</v>
      </c>
      <c r="U422" s="156">
        <v>14894</v>
      </c>
    </row>
    <row r="423" spans="1:22" ht="12" hidden="1" x14ac:dyDescent="0.25">
      <c r="A423" s="94">
        <v>421</v>
      </c>
      <c r="B423" s="94" t="s">
        <v>545</v>
      </c>
      <c r="C423" s="94" t="s">
        <v>718</v>
      </c>
      <c r="D423" s="94" t="s">
        <v>546</v>
      </c>
      <c r="E423" s="94" t="s">
        <v>544</v>
      </c>
      <c r="F423" s="94" t="s">
        <v>6</v>
      </c>
      <c r="G423" s="94">
        <v>2023</v>
      </c>
      <c r="H423" s="94">
        <v>-1</v>
      </c>
      <c r="I423" s="95"/>
      <c r="J423" s="96"/>
      <c r="K423" s="94">
        <v>1</v>
      </c>
      <c r="L423" s="95">
        <v>45121</v>
      </c>
      <c r="M423" s="112">
        <v>10</v>
      </c>
      <c r="N423" s="97">
        <v>45952.98</v>
      </c>
      <c r="O423" s="149">
        <v>7</v>
      </c>
      <c r="P423" s="127">
        <v>45132</v>
      </c>
      <c r="Q423" s="94">
        <v>1</v>
      </c>
      <c r="R423" s="97">
        <v>43600</v>
      </c>
      <c r="S423" s="94">
        <v>1</v>
      </c>
      <c r="T423" s="128">
        <v>45192</v>
      </c>
      <c r="U423" s="97">
        <v>36435</v>
      </c>
    </row>
    <row r="424" spans="1:22" ht="12" hidden="1" x14ac:dyDescent="0.25">
      <c r="A424" s="94">
        <v>422</v>
      </c>
      <c r="B424" s="94" t="s">
        <v>545</v>
      </c>
      <c r="C424" s="94" t="s">
        <v>718</v>
      </c>
      <c r="D424" s="94" t="s">
        <v>546</v>
      </c>
      <c r="E424" s="94" t="s">
        <v>544</v>
      </c>
      <c r="F424" s="94" t="s">
        <v>6</v>
      </c>
      <c r="G424" s="94">
        <v>2023</v>
      </c>
      <c r="H424" s="94">
        <v>-1</v>
      </c>
      <c r="I424" s="95"/>
      <c r="J424" s="96"/>
      <c r="K424" s="94">
        <v>1</v>
      </c>
      <c r="L424" s="95">
        <v>45163</v>
      </c>
      <c r="M424" s="94">
        <v>11</v>
      </c>
      <c r="N424" s="97">
        <v>28092</v>
      </c>
      <c r="O424" s="126">
        <v>8</v>
      </c>
      <c r="P424" s="127">
        <v>45170</v>
      </c>
      <c r="Q424" s="94">
        <v>1</v>
      </c>
      <c r="R424" s="97">
        <v>39321.186000000002</v>
      </c>
      <c r="S424" s="94">
        <v>1</v>
      </c>
      <c r="T424" s="128">
        <v>45230</v>
      </c>
      <c r="U424" s="97">
        <v>40124</v>
      </c>
      <c r="V424" s="94" t="s">
        <v>547</v>
      </c>
    </row>
    <row r="425" spans="1:22" ht="12" hidden="1" x14ac:dyDescent="0.25">
      <c r="A425" s="94">
        <v>423</v>
      </c>
      <c r="B425" s="94" t="s">
        <v>545</v>
      </c>
      <c r="C425" s="94" t="s">
        <v>718</v>
      </c>
      <c r="D425" s="94" t="s">
        <v>546</v>
      </c>
      <c r="E425" s="94" t="s">
        <v>544</v>
      </c>
      <c r="F425" s="94" t="s">
        <v>6</v>
      </c>
      <c r="G425" s="94">
        <v>2023</v>
      </c>
      <c r="H425" s="94">
        <v>1</v>
      </c>
      <c r="I425" s="95">
        <v>45170</v>
      </c>
      <c r="J425" s="96">
        <v>87653</v>
      </c>
      <c r="K425" s="94">
        <v>1</v>
      </c>
      <c r="L425" s="95">
        <v>45194</v>
      </c>
      <c r="M425" s="94">
        <v>12</v>
      </c>
      <c r="N425" s="97">
        <v>29306</v>
      </c>
      <c r="O425" s="126">
        <v>9</v>
      </c>
      <c r="P425" s="127">
        <v>45201</v>
      </c>
      <c r="Q425" s="94">
        <v>1</v>
      </c>
      <c r="R425" s="97">
        <v>29306</v>
      </c>
      <c r="S425" s="94">
        <v>1</v>
      </c>
      <c r="T425" s="128">
        <v>45261</v>
      </c>
      <c r="U425" s="97">
        <v>27377</v>
      </c>
    </row>
    <row r="426" spans="1:22" ht="12" hidden="1" x14ac:dyDescent="0.25">
      <c r="A426" s="94">
        <v>424</v>
      </c>
      <c r="B426" s="94" t="s">
        <v>545</v>
      </c>
      <c r="C426" s="94" t="s">
        <v>718</v>
      </c>
      <c r="D426" s="94" t="s">
        <v>546</v>
      </c>
      <c r="E426" s="94" t="s">
        <v>544</v>
      </c>
      <c r="F426" s="94" t="s">
        <v>6</v>
      </c>
      <c r="G426" s="94">
        <v>2023</v>
      </c>
      <c r="H426" s="94">
        <v>1</v>
      </c>
      <c r="I426" s="95">
        <v>45200</v>
      </c>
      <c r="J426" s="142">
        <v>103661</v>
      </c>
      <c r="K426" s="94">
        <v>1</v>
      </c>
      <c r="L426" s="95">
        <v>45222</v>
      </c>
      <c r="M426" s="94">
        <v>13</v>
      </c>
      <c r="N426" s="97">
        <v>23474</v>
      </c>
      <c r="O426" s="126">
        <v>14</v>
      </c>
      <c r="P426" s="127">
        <v>45238</v>
      </c>
      <c r="Q426" s="94">
        <v>1</v>
      </c>
      <c r="R426" s="97">
        <v>22142</v>
      </c>
      <c r="S426" s="94">
        <v>1</v>
      </c>
      <c r="T426" s="138">
        <v>45298</v>
      </c>
      <c r="U426" s="97">
        <v>22589</v>
      </c>
    </row>
    <row r="427" spans="1:22" ht="12" hidden="1" x14ac:dyDescent="0.25">
      <c r="A427" s="94">
        <v>425</v>
      </c>
      <c r="B427" s="94" t="s">
        <v>545</v>
      </c>
      <c r="C427" s="94" t="s">
        <v>718</v>
      </c>
      <c r="D427" s="94" t="s">
        <v>546</v>
      </c>
      <c r="E427" s="94" t="s">
        <v>544</v>
      </c>
      <c r="F427" s="94" t="s">
        <v>6</v>
      </c>
      <c r="G427" s="94">
        <v>2023</v>
      </c>
      <c r="H427" s="94">
        <v>1</v>
      </c>
      <c r="I427" s="95">
        <v>45231</v>
      </c>
      <c r="J427" s="142">
        <v>175963.60080000001</v>
      </c>
      <c r="K427" s="94">
        <v>1</v>
      </c>
      <c r="L427" s="95">
        <v>45250</v>
      </c>
      <c r="M427" s="94">
        <v>14</v>
      </c>
      <c r="N427" s="97">
        <v>103264</v>
      </c>
      <c r="O427" s="126">
        <v>16</v>
      </c>
      <c r="P427" s="127">
        <v>45261</v>
      </c>
      <c r="Q427" s="94">
        <v>1</v>
      </c>
      <c r="R427" s="97">
        <v>100293</v>
      </c>
      <c r="S427" s="94">
        <v>1</v>
      </c>
      <c r="T427" s="128">
        <v>45322</v>
      </c>
      <c r="U427" s="136">
        <v>96993</v>
      </c>
    </row>
    <row r="428" spans="1:22" ht="12" hidden="1" x14ac:dyDescent="0.25">
      <c r="A428" s="94">
        <v>426</v>
      </c>
      <c r="B428" s="94" t="s">
        <v>545</v>
      </c>
      <c r="C428" s="94" t="s">
        <v>718</v>
      </c>
      <c r="D428" s="94" t="s">
        <v>546</v>
      </c>
      <c r="E428" s="94" t="s">
        <v>544</v>
      </c>
      <c r="F428" s="94" t="s">
        <v>6</v>
      </c>
      <c r="G428" s="94">
        <v>2023</v>
      </c>
      <c r="H428" s="94">
        <v>1</v>
      </c>
      <c r="I428" s="95">
        <v>45261</v>
      </c>
      <c r="J428" s="142">
        <v>188102</v>
      </c>
      <c r="K428" s="94">
        <v>1</v>
      </c>
      <c r="L428" s="95">
        <v>45281</v>
      </c>
      <c r="M428" s="94">
        <v>15</v>
      </c>
      <c r="N428" s="137">
        <v>36224</v>
      </c>
      <c r="O428" s="126">
        <v>19</v>
      </c>
      <c r="P428" s="127">
        <v>45272</v>
      </c>
      <c r="Q428" s="94">
        <v>1</v>
      </c>
      <c r="R428" s="97">
        <v>33481.699999999997</v>
      </c>
      <c r="S428" s="94">
        <v>1</v>
      </c>
      <c r="T428" s="128">
        <v>45329</v>
      </c>
      <c r="U428" s="136">
        <v>34165</v>
      </c>
    </row>
    <row r="429" spans="1:22" ht="12" hidden="1" x14ac:dyDescent="0.25">
      <c r="A429" s="94">
        <v>427</v>
      </c>
      <c r="B429" s="94" t="s">
        <v>545</v>
      </c>
      <c r="C429" s="94" t="s">
        <v>718</v>
      </c>
      <c r="D429" s="94" t="s">
        <v>546</v>
      </c>
      <c r="E429" s="94" t="s">
        <v>544</v>
      </c>
      <c r="F429" s="94" t="s">
        <v>6</v>
      </c>
      <c r="G429" s="94">
        <v>2023</v>
      </c>
      <c r="H429" s="94">
        <v>-1</v>
      </c>
      <c r="I429" s="95">
        <v>45275</v>
      </c>
      <c r="J429" s="96">
        <v>0</v>
      </c>
      <c r="K429" s="94">
        <v>1</v>
      </c>
      <c r="L429" s="95">
        <v>45289</v>
      </c>
      <c r="M429" s="94">
        <v>16</v>
      </c>
      <c r="N429" s="97">
        <v>11989</v>
      </c>
      <c r="O429" s="126">
        <v>23</v>
      </c>
      <c r="P429" s="127">
        <v>45292</v>
      </c>
      <c r="Q429" s="94">
        <v>1</v>
      </c>
      <c r="R429" s="97">
        <v>11081.13</v>
      </c>
      <c r="S429" s="94">
        <v>1</v>
      </c>
      <c r="T429" s="128">
        <v>45354</v>
      </c>
      <c r="U429" s="97">
        <v>11307.28</v>
      </c>
    </row>
    <row r="430" spans="1:22" ht="12" hidden="1" x14ac:dyDescent="0.25">
      <c r="A430" s="94">
        <v>428</v>
      </c>
      <c r="B430" s="94" t="s">
        <v>545</v>
      </c>
      <c r="C430" s="94" t="s">
        <v>718</v>
      </c>
      <c r="D430" s="94" t="s">
        <v>546</v>
      </c>
      <c r="E430" s="94" t="s">
        <v>544</v>
      </c>
      <c r="F430" s="94" t="s">
        <v>6</v>
      </c>
      <c r="G430" s="94">
        <v>2024</v>
      </c>
      <c r="H430" s="94">
        <v>1</v>
      </c>
      <c r="I430" s="95">
        <v>45292</v>
      </c>
      <c r="J430" s="96">
        <v>20000</v>
      </c>
      <c r="K430" s="94">
        <v>1</v>
      </c>
      <c r="L430" s="95">
        <v>45311</v>
      </c>
      <c r="M430" s="94">
        <v>17</v>
      </c>
      <c r="N430" s="97">
        <v>11822</v>
      </c>
      <c r="O430" s="126">
        <v>25</v>
      </c>
      <c r="P430" s="127">
        <v>45324</v>
      </c>
      <c r="Q430" s="94">
        <v>1</v>
      </c>
      <c r="R430" s="97">
        <v>11094</v>
      </c>
      <c r="S430" s="94">
        <v>1</v>
      </c>
      <c r="T430" s="128">
        <v>45384</v>
      </c>
      <c r="U430" s="97">
        <v>11094</v>
      </c>
    </row>
    <row r="431" spans="1:22" ht="12" hidden="1" x14ac:dyDescent="0.25">
      <c r="A431" s="94">
        <v>429</v>
      </c>
      <c r="B431" s="94" t="s">
        <v>545</v>
      </c>
      <c r="C431" s="94" t="s">
        <v>718</v>
      </c>
      <c r="D431" s="94" t="s">
        <v>546</v>
      </c>
      <c r="E431" s="94" t="s">
        <v>544</v>
      </c>
      <c r="F431" s="94" t="s">
        <v>6</v>
      </c>
      <c r="G431" s="94">
        <v>2024</v>
      </c>
      <c r="H431" s="94">
        <v>1</v>
      </c>
      <c r="I431" s="95">
        <v>45323</v>
      </c>
      <c r="J431" s="96">
        <v>40000</v>
      </c>
      <c r="K431" s="94">
        <v>1</v>
      </c>
      <c r="L431" s="95">
        <v>45342</v>
      </c>
      <c r="M431" s="94">
        <v>18</v>
      </c>
      <c r="N431" s="97">
        <v>42124</v>
      </c>
      <c r="O431" s="126">
        <v>33</v>
      </c>
      <c r="P431" s="127">
        <v>45375</v>
      </c>
      <c r="Q431" s="94">
        <v>1</v>
      </c>
      <c r="R431" s="97">
        <v>39532.92</v>
      </c>
      <c r="S431" s="94">
        <v>1</v>
      </c>
      <c r="T431" s="128">
        <v>45436</v>
      </c>
      <c r="U431" s="136">
        <v>39533</v>
      </c>
    </row>
    <row r="432" spans="1:22" ht="12" hidden="1" x14ac:dyDescent="0.25">
      <c r="A432" s="94">
        <v>430</v>
      </c>
      <c r="B432" s="94" t="s">
        <v>545</v>
      </c>
      <c r="C432" s="94" t="s">
        <v>718</v>
      </c>
      <c r="D432" s="94" t="s">
        <v>546</v>
      </c>
      <c r="E432" s="94" t="s">
        <v>544</v>
      </c>
      <c r="F432" s="94" t="s">
        <v>6</v>
      </c>
      <c r="G432" s="94">
        <v>2024</v>
      </c>
      <c r="H432" s="94">
        <v>1</v>
      </c>
      <c r="I432" s="95">
        <v>45352</v>
      </c>
      <c r="J432" s="96">
        <v>127854</v>
      </c>
      <c r="K432" s="94">
        <v>1</v>
      </c>
      <c r="L432" s="95">
        <v>45371</v>
      </c>
      <c r="M432" s="94">
        <v>19</v>
      </c>
      <c r="N432" s="97">
        <v>186908</v>
      </c>
      <c r="O432" s="126">
        <v>34</v>
      </c>
      <c r="P432" s="127">
        <v>45382</v>
      </c>
      <c r="Q432" s="94">
        <v>1</v>
      </c>
      <c r="R432" s="97">
        <v>172280.11</v>
      </c>
      <c r="S432" s="94">
        <v>1</v>
      </c>
      <c r="T432" s="128">
        <v>45443</v>
      </c>
      <c r="U432" s="136">
        <v>172280.11</v>
      </c>
    </row>
    <row r="433" spans="1:22" ht="12" hidden="1" x14ac:dyDescent="0.25">
      <c r="A433" s="94">
        <v>431</v>
      </c>
      <c r="B433" s="94" t="s">
        <v>545</v>
      </c>
      <c r="C433" s="94" t="s">
        <v>718</v>
      </c>
      <c r="D433" s="94" t="s">
        <v>546</v>
      </c>
      <c r="E433" s="94" t="s">
        <v>544</v>
      </c>
      <c r="F433" s="94" t="s">
        <v>6</v>
      </c>
      <c r="G433" s="94">
        <v>2024</v>
      </c>
      <c r="H433" s="94">
        <v>1</v>
      </c>
      <c r="I433" s="95">
        <v>45383</v>
      </c>
      <c r="J433" s="96">
        <v>25112</v>
      </c>
      <c r="K433" s="94">
        <v>1</v>
      </c>
      <c r="L433" s="95">
        <v>45402</v>
      </c>
      <c r="M433" s="94">
        <v>20</v>
      </c>
      <c r="N433" s="136">
        <v>22215</v>
      </c>
      <c r="O433" s="126">
        <v>35</v>
      </c>
      <c r="P433" s="127">
        <v>45434</v>
      </c>
      <c r="Q433" s="94">
        <v>1</v>
      </c>
      <c r="R433" s="97">
        <v>20440</v>
      </c>
      <c r="S433" s="94">
        <v>1</v>
      </c>
      <c r="T433" s="128">
        <v>45495</v>
      </c>
      <c r="U433" s="97">
        <v>20440</v>
      </c>
    </row>
    <row r="434" spans="1:22" ht="12" hidden="1" x14ac:dyDescent="0.25">
      <c r="A434" s="94">
        <v>432</v>
      </c>
      <c r="B434" s="94" t="s">
        <v>545</v>
      </c>
      <c r="C434" s="94" t="s">
        <v>718</v>
      </c>
      <c r="D434" s="94" t="s">
        <v>546</v>
      </c>
      <c r="E434" s="94" t="s">
        <v>544</v>
      </c>
      <c r="F434" s="94" t="s">
        <v>6</v>
      </c>
      <c r="G434" s="94">
        <v>2024</v>
      </c>
      <c r="H434" s="94">
        <v>-1</v>
      </c>
      <c r="I434" s="95"/>
      <c r="J434" s="96"/>
      <c r="K434" s="94">
        <v>1</v>
      </c>
      <c r="L434" s="95">
        <v>45498</v>
      </c>
      <c r="M434" s="94">
        <v>21</v>
      </c>
      <c r="N434" s="136">
        <v>12694</v>
      </c>
      <c r="O434" s="126">
        <v>45</v>
      </c>
      <c r="P434" s="127">
        <v>45540</v>
      </c>
      <c r="Q434" s="94">
        <v>1</v>
      </c>
      <c r="R434" s="97">
        <v>11239</v>
      </c>
      <c r="S434" s="94">
        <v>1</v>
      </c>
      <c r="T434" s="128">
        <v>45630</v>
      </c>
      <c r="U434" s="97">
        <v>9927.7099999999991</v>
      </c>
    </row>
    <row r="435" spans="1:22" ht="12" hidden="1" x14ac:dyDescent="0.25">
      <c r="A435" s="94">
        <v>433</v>
      </c>
      <c r="B435" s="94" t="s">
        <v>545</v>
      </c>
      <c r="C435" s="94" t="s">
        <v>718</v>
      </c>
      <c r="D435" s="94" t="s">
        <v>548</v>
      </c>
      <c r="E435" s="94" t="s">
        <v>544</v>
      </c>
      <c r="F435" s="94" t="s">
        <v>6</v>
      </c>
      <c r="G435" s="94">
        <v>2024</v>
      </c>
      <c r="H435" s="94">
        <v>-1</v>
      </c>
      <c r="I435" s="95">
        <v>45292</v>
      </c>
      <c r="J435" s="96">
        <v>0</v>
      </c>
      <c r="K435" s="94">
        <v>1</v>
      </c>
      <c r="L435" s="95">
        <v>45311</v>
      </c>
      <c r="M435" s="94">
        <v>1</v>
      </c>
      <c r="N435" s="97">
        <v>19641</v>
      </c>
      <c r="O435" s="126">
        <v>31</v>
      </c>
      <c r="P435" s="127">
        <v>45371</v>
      </c>
      <c r="Q435" s="94">
        <v>1</v>
      </c>
      <c r="R435" s="97">
        <v>18697.22</v>
      </c>
      <c r="S435" s="94">
        <v>1</v>
      </c>
      <c r="T435" s="128">
        <v>45431</v>
      </c>
      <c r="U435" s="97">
        <v>18697</v>
      </c>
    </row>
    <row r="436" spans="1:22" ht="12" hidden="1" x14ac:dyDescent="0.25">
      <c r="A436" s="94">
        <v>434</v>
      </c>
      <c r="B436" s="94" t="s">
        <v>545</v>
      </c>
      <c r="C436" s="94" t="s">
        <v>718</v>
      </c>
      <c r="D436" s="94" t="s">
        <v>548</v>
      </c>
      <c r="E436" s="94" t="s">
        <v>544</v>
      </c>
      <c r="F436" s="94" t="s">
        <v>6</v>
      </c>
      <c r="G436" s="94">
        <v>2024</v>
      </c>
      <c r="H436" s="94">
        <v>-1</v>
      </c>
      <c r="I436" s="95">
        <v>45323</v>
      </c>
      <c r="J436" s="96">
        <v>0</v>
      </c>
      <c r="K436" s="94">
        <v>1</v>
      </c>
      <c r="L436" s="117">
        <v>45342</v>
      </c>
      <c r="M436" s="94">
        <v>2</v>
      </c>
      <c r="N436" s="97">
        <v>29998</v>
      </c>
      <c r="O436" s="126">
        <v>32</v>
      </c>
      <c r="P436" s="127">
        <v>45371</v>
      </c>
      <c r="Q436" s="94">
        <v>1</v>
      </c>
      <c r="R436" s="97">
        <v>23210.240000000002</v>
      </c>
      <c r="S436" s="94">
        <v>1</v>
      </c>
      <c r="T436" s="128">
        <v>45431</v>
      </c>
      <c r="U436" s="97">
        <v>23210.240000000002</v>
      </c>
      <c r="V436" s="110"/>
    </row>
    <row r="437" spans="1:22" ht="12" hidden="1" x14ac:dyDescent="0.25">
      <c r="A437" s="94">
        <v>435</v>
      </c>
      <c r="B437" s="94" t="s">
        <v>545</v>
      </c>
      <c r="C437" s="94" t="s">
        <v>718</v>
      </c>
      <c r="D437" s="94" t="s">
        <v>548</v>
      </c>
      <c r="E437" s="94" t="s">
        <v>544</v>
      </c>
      <c r="F437" s="94" t="s">
        <v>6</v>
      </c>
      <c r="G437" s="94">
        <v>2024</v>
      </c>
      <c r="H437" s="94">
        <v>-1</v>
      </c>
      <c r="I437" s="95">
        <v>45352</v>
      </c>
      <c r="J437" s="96">
        <v>0</v>
      </c>
      <c r="K437" s="94">
        <v>1</v>
      </c>
      <c r="L437" s="117">
        <v>45371</v>
      </c>
      <c r="M437" s="94">
        <v>3</v>
      </c>
      <c r="N437" s="97">
        <v>11425</v>
      </c>
      <c r="O437" s="126">
        <v>36</v>
      </c>
      <c r="P437" s="127">
        <v>45446</v>
      </c>
      <c r="Q437" s="94">
        <v>1</v>
      </c>
      <c r="R437" s="97">
        <v>10960.4</v>
      </c>
      <c r="S437" s="94">
        <v>1</v>
      </c>
      <c r="T437" s="128">
        <v>45506</v>
      </c>
      <c r="U437" s="97">
        <v>10133.24</v>
      </c>
      <c r="V437" s="110"/>
    </row>
    <row r="438" spans="1:22" ht="12" hidden="1" x14ac:dyDescent="0.25">
      <c r="A438" s="94">
        <v>436</v>
      </c>
      <c r="B438" s="94" t="s">
        <v>545</v>
      </c>
      <c r="C438" s="94" t="s">
        <v>718</v>
      </c>
      <c r="D438" s="94" t="s">
        <v>548</v>
      </c>
      <c r="E438" s="94" t="s">
        <v>544</v>
      </c>
      <c r="F438" s="94" t="s">
        <v>6</v>
      </c>
      <c r="G438" s="94">
        <v>2024</v>
      </c>
      <c r="H438" s="94">
        <v>-1</v>
      </c>
      <c r="I438" s="95">
        <v>45383</v>
      </c>
      <c r="J438" s="96">
        <v>0</v>
      </c>
      <c r="K438" s="94">
        <v>1</v>
      </c>
      <c r="L438" s="117">
        <v>45402</v>
      </c>
      <c r="M438" s="94">
        <v>4</v>
      </c>
      <c r="N438" s="97">
        <v>9425</v>
      </c>
      <c r="O438" s="126">
        <v>37</v>
      </c>
      <c r="P438" s="127">
        <v>45446</v>
      </c>
      <c r="Q438" s="94">
        <v>1</v>
      </c>
      <c r="R438" s="97">
        <v>9026.25</v>
      </c>
      <c r="S438" s="94">
        <v>1</v>
      </c>
      <c r="T438" s="128">
        <v>45506</v>
      </c>
      <c r="U438" s="97">
        <v>8345</v>
      </c>
      <c r="V438" s="110"/>
    </row>
    <row r="439" spans="1:22" ht="12" hidden="1" x14ac:dyDescent="0.25">
      <c r="A439" s="94">
        <v>437</v>
      </c>
      <c r="B439" s="94" t="s">
        <v>545</v>
      </c>
      <c r="C439" s="94" t="s">
        <v>718</v>
      </c>
      <c r="D439" s="94" t="s">
        <v>548</v>
      </c>
      <c r="E439" s="94" t="s">
        <v>544</v>
      </c>
      <c r="F439" s="94" t="s">
        <v>6</v>
      </c>
      <c r="G439" s="94">
        <v>2024</v>
      </c>
      <c r="H439" s="94">
        <v>-1</v>
      </c>
      <c r="I439" s="95"/>
      <c r="J439" s="96"/>
      <c r="K439" s="94">
        <v>1</v>
      </c>
      <c r="L439" s="117">
        <v>45498</v>
      </c>
      <c r="M439" s="94">
        <v>5</v>
      </c>
      <c r="N439" s="97">
        <v>2748</v>
      </c>
      <c r="O439" s="126">
        <v>41</v>
      </c>
      <c r="P439" s="127">
        <v>45498</v>
      </c>
      <c r="Q439" s="94">
        <v>1</v>
      </c>
      <c r="R439" s="97">
        <v>2384</v>
      </c>
      <c r="S439" s="94">
        <v>1</v>
      </c>
      <c r="T439" s="128">
        <v>45588</v>
      </c>
      <c r="U439" s="97">
        <v>2213</v>
      </c>
      <c r="V439" s="110"/>
    </row>
    <row r="440" spans="1:22" ht="12" hidden="1" x14ac:dyDescent="0.25">
      <c r="A440" s="94">
        <v>438</v>
      </c>
      <c r="B440" s="94" t="s">
        <v>549</v>
      </c>
      <c r="C440" s="94" t="s">
        <v>11</v>
      </c>
      <c r="D440" s="94" t="s">
        <v>11</v>
      </c>
      <c r="E440" s="94" t="s">
        <v>544</v>
      </c>
      <c r="F440" s="94" t="s">
        <v>6</v>
      </c>
      <c r="G440" s="94">
        <v>2025</v>
      </c>
      <c r="H440" s="94">
        <v>-1</v>
      </c>
      <c r="I440" s="95"/>
      <c r="J440" s="96"/>
      <c r="K440" s="94">
        <v>1</v>
      </c>
      <c r="L440" s="117">
        <v>45768</v>
      </c>
      <c r="M440" s="94">
        <v>22</v>
      </c>
      <c r="N440" s="97">
        <v>32268</v>
      </c>
      <c r="O440" s="126">
        <v>70</v>
      </c>
      <c r="P440" s="127">
        <v>45826</v>
      </c>
      <c r="Q440" s="94">
        <v>1</v>
      </c>
      <c r="R440" s="97">
        <v>32454</v>
      </c>
      <c r="S440" s="94">
        <v>1</v>
      </c>
      <c r="T440" s="128">
        <v>45918</v>
      </c>
      <c r="U440" s="97">
        <v>35729.724770642199</v>
      </c>
      <c r="V440" s="110"/>
    </row>
    <row r="441" spans="1:22" ht="12" hidden="1" x14ac:dyDescent="0.25">
      <c r="A441" s="94">
        <v>439</v>
      </c>
      <c r="B441" s="94" t="s">
        <v>549</v>
      </c>
      <c r="C441" s="94" t="s">
        <v>11</v>
      </c>
      <c r="D441" s="94" t="s">
        <v>11</v>
      </c>
      <c r="E441" s="94" t="s">
        <v>544</v>
      </c>
      <c r="F441" s="94" t="s">
        <v>6</v>
      </c>
      <c r="G441" s="94">
        <v>2025</v>
      </c>
      <c r="H441" s="94">
        <v>-1</v>
      </c>
      <c r="I441" s="95"/>
      <c r="J441" s="96"/>
      <c r="K441" s="94">
        <v>1</v>
      </c>
      <c r="L441" s="95">
        <v>45798</v>
      </c>
      <c r="M441" s="94">
        <v>23</v>
      </c>
      <c r="N441" s="97">
        <v>39074</v>
      </c>
      <c r="O441" s="126">
        <v>71</v>
      </c>
      <c r="P441" s="127">
        <v>45826</v>
      </c>
      <c r="Q441" s="94">
        <v>1</v>
      </c>
      <c r="R441" s="97">
        <v>34963</v>
      </c>
      <c r="S441" s="94">
        <v>1</v>
      </c>
      <c r="T441" s="128">
        <v>45918</v>
      </c>
      <c r="U441" s="97">
        <v>38491.192660550456</v>
      </c>
    </row>
    <row r="442" spans="1:22" ht="12" hidden="1" x14ac:dyDescent="0.25">
      <c r="A442" s="94">
        <v>440</v>
      </c>
      <c r="B442" s="94" t="s">
        <v>549</v>
      </c>
      <c r="C442" s="94" t="s">
        <v>11</v>
      </c>
      <c r="D442" s="94" t="s">
        <v>11</v>
      </c>
      <c r="E442" s="94" t="s">
        <v>544</v>
      </c>
      <c r="F442" s="94" t="s">
        <v>6</v>
      </c>
      <c r="G442" s="94">
        <v>2025</v>
      </c>
      <c r="H442" s="94">
        <v>-1</v>
      </c>
      <c r="I442" s="95"/>
      <c r="J442" s="96"/>
      <c r="K442" s="94">
        <v>1</v>
      </c>
      <c r="L442" s="117">
        <v>45829</v>
      </c>
      <c r="M442" s="94">
        <v>24</v>
      </c>
      <c r="N442" s="97">
        <v>38732</v>
      </c>
      <c r="O442" s="126">
        <v>75</v>
      </c>
      <c r="P442" s="127">
        <v>45847</v>
      </c>
      <c r="Q442" s="94">
        <v>1</v>
      </c>
      <c r="R442" s="97">
        <v>38732</v>
      </c>
      <c r="S442" s="94">
        <v>1</v>
      </c>
      <c r="T442" s="128">
        <v>45937</v>
      </c>
      <c r="U442" s="97">
        <v>37011</v>
      </c>
    </row>
    <row r="443" spans="1:22" ht="12" hidden="1" x14ac:dyDescent="0.25">
      <c r="A443" s="94">
        <v>441</v>
      </c>
      <c r="B443" s="94" t="s">
        <v>549</v>
      </c>
      <c r="C443" s="94" t="s">
        <v>11</v>
      </c>
      <c r="D443" s="94" t="s">
        <v>11</v>
      </c>
      <c r="E443" s="94" t="s">
        <v>544</v>
      </c>
      <c r="F443" s="94" t="s">
        <v>6</v>
      </c>
      <c r="G443" s="94">
        <v>2025</v>
      </c>
      <c r="H443" s="94">
        <v>-1</v>
      </c>
      <c r="I443" s="95"/>
      <c r="J443" s="96"/>
      <c r="K443" s="94">
        <v>1</v>
      </c>
      <c r="L443" s="117">
        <v>45853</v>
      </c>
      <c r="M443" s="94">
        <v>25</v>
      </c>
      <c r="N443" s="97">
        <v>22700</v>
      </c>
      <c r="O443" s="126">
        <v>80</v>
      </c>
      <c r="P443" s="127">
        <v>45860</v>
      </c>
      <c r="Q443" s="94">
        <v>1</v>
      </c>
      <c r="R443" s="97">
        <v>22700</v>
      </c>
      <c r="S443" s="94">
        <v>1</v>
      </c>
      <c r="T443" s="128">
        <v>45950</v>
      </c>
      <c r="U443" s="97">
        <v>22524.814814814814</v>
      </c>
    </row>
    <row r="444" spans="1:22" ht="12" hidden="1" x14ac:dyDescent="0.25">
      <c r="A444" s="94">
        <v>442</v>
      </c>
      <c r="B444" s="94" t="s">
        <v>549</v>
      </c>
      <c r="C444" s="94" t="s">
        <v>11</v>
      </c>
      <c r="D444" s="94" t="s">
        <v>11</v>
      </c>
      <c r="E444" s="94" t="s">
        <v>544</v>
      </c>
      <c r="F444" s="94" t="s">
        <v>6</v>
      </c>
      <c r="G444" s="94">
        <v>2025</v>
      </c>
      <c r="H444" s="94">
        <v>-1</v>
      </c>
      <c r="I444" s="95"/>
      <c r="J444" s="96"/>
      <c r="K444" s="94">
        <v>1</v>
      </c>
      <c r="L444" s="117">
        <v>45889</v>
      </c>
      <c r="M444" s="94">
        <v>26</v>
      </c>
      <c r="N444" s="97">
        <v>15161</v>
      </c>
      <c r="O444" s="126">
        <v>87</v>
      </c>
      <c r="P444" s="127">
        <v>45891</v>
      </c>
      <c r="Q444" s="94">
        <v>1</v>
      </c>
      <c r="R444" s="97">
        <v>15265</v>
      </c>
      <c r="S444" s="94">
        <v>1</v>
      </c>
      <c r="T444" s="128">
        <v>45982</v>
      </c>
      <c r="U444" s="97">
        <v>14517</v>
      </c>
    </row>
    <row r="445" spans="1:22" ht="12" hidden="1" x14ac:dyDescent="0.25">
      <c r="A445" s="94">
        <v>443</v>
      </c>
      <c r="B445" s="94" t="s">
        <v>12</v>
      </c>
      <c r="C445" s="94" t="s">
        <v>13</v>
      </c>
      <c r="D445" s="94" t="s">
        <v>13</v>
      </c>
      <c r="E445" s="94" t="s">
        <v>544</v>
      </c>
      <c r="F445" s="94" t="s">
        <v>6</v>
      </c>
      <c r="G445" s="94">
        <v>2024</v>
      </c>
      <c r="H445" s="94">
        <v>-1</v>
      </c>
      <c r="I445" s="95"/>
      <c r="J445" s="96"/>
      <c r="K445" s="94">
        <v>1</v>
      </c>
      <c r="L445" s="95">
        <v>45611</v>
      </c>
      <c r="M445" s="112">
        <v>1</v>
      </c>
      <c r="N445" s="97">
        <v>8053</v>
      </c>
      <c r="O445" s="149">
        <v>54</v>
      </c>
      <c r="P445" s="127">
        <v>45637</v>
      </c>
      <c r="Q445" s="94">
        <v>1</v>
      </c>
      <c r="R445" s="97">
        <v>7558</v>
      </c>
      <c r="S445" s="94">
        <v>1</v>
      </c>
      <c r="T445" s="128">
        <v>45727</v>
      </c>
      <c r="U445" s="97">
        <v>7054</v>
      </c>
    </row>
    <row r="446" spans="1:22" ht="12" hidden="1" x14ac:dyDescent="0.25">
      <c r="A446" s="94">
        <v>444</v>
      </c>
      <c r="B446" s="94" t="s">
        <v>12</v>
      </c>
      <c r="C446" s="94" t="s">
        <v>13</v>
      </c>
      <c r="D446" s="94" t="s">
        <v>13</v>
      </c>
      <c r="E446" s="94" t="s">
        <v>544</v>
      </c>
      <c r="F446" s="94" t="s">
        <v>6</v>
      </c>
      <c r="G446" s="94">
        <v>2024</v>
      </c>
      <c r="H446" s="94">
        <v>-1</v>
      </c>
      <c r="I446" s="95"/>
      <c r="J446" s="96"/>
      <c r="K446" s="94">
        <v>1</v>
      </c>
      <c r="L446" s="95">
        <v>45641</v>
      </c>
      <c r="M446" s="112">
        <v>2</v>
      </c>
      <c r="N446" s="97">
        <v>17461</v>
      </c>
      <c r="O446" s="149">
        <v>57</v>
      </c>
      <c r="P446" s="127">
        <v>45640</v>
      </c>
      <c r="Q446" s="94">
        <v>1</v>
      </c>
      <c r="R446" s="97">
        <v>17578</v>
      </c>
      <c r="S446" s="94">
        <v>1</v>
      </c>
      <c r="T446" s="128">
        <v>45730</v>
      </c>
      <c r="U446" s="97">
        <v>16407</v>
      </c>
    </row>
    <row r="447" spans="1:22" ht="12" hidden="1" x14ac:dyDescent="0.25">
      <c r="A447" s="94">
        <v>445</v>
      </c>
      <c r="B447" s="94" t="s">
        <v>12</v>
      </c>
      <c r="C447" s="94" t="s">
        <v>13</v>
      </c>
      <c r="D447" s="94" t="s">
        <v>13</v>
      </c>
      <c r="E447" s="94" t="s">
        <v>544</v>
      </c>
      <c r="F447" s="94" t="s">
        <v>6</v>
      </c>
      <c r="G447" s="94">
        <v>2025</v>
      </c>
      <c r="H447" s="94">
        <v>-1</v>
      </c>
      <c r="I447" s="95"/>
      <c r="J447" s="96"/>
      <c r="K447" s="94">
        <v>1</v>
      </c>
      <c r="L447" s="95">
        <v>45680</v>
      </c>
      <c r="M447" s="112">
        <v>3</v>
      </c>
      <c r="N447" s="97">
        <v>21816</v>
      </c>
      <c r="O447" s="149">
        <v>58</v>
      </c>
      <c r="P447" s="127">
        <v>45680</v>
      </c>
      <c r="Q447" s="94">
        <v>1</v>
      </c>
      <c r="R447" s="97">
        <v>21327</v>
      </c>
      <c r="S447" s="94">
        <v>1</v>
      </c>
      <c r="T447" s="128">
        <v>45769</v>
      </c>
      <c r="U447" s="97">
        <v>21327.41</v>
      </c>
    </row>
    <row r="448" spans="1:22" ht="12" hidden="1" x14ac:dyDescent="0.25">
      <c r="A448" s="94">
        <v>446</v>
      </c>
      <c r="B448" s="94" t="s">
        <v>12</v>
      </c>
      <c r="C448" s="94" t="s">
        <v>13</v>
      </c>
      <c r="D448" s="94" t="s">
        <v>13</v>
      </c>
      <c r="E448" s="94" t="s">
        <v>544</v>
      </c>
      <c r="F448" s="94" t="s">
        <v>6</v>
      </c>
      <c r="G448" s="94">
        <v>2025</v>
      </c>
      <c r="H448" s="94">
        <v>-1</v>
      </c>
      <c r="I448" s="95"/>
      <c r="J448" s="96"/>
      <c r="K448" s="94">
        <v>1</v>
      </c>
      <c r="L448" s="95">
        <v>45708</v>
      </c>
      <c r="M448" s="94">
        <v>4</v>
      </c>
      <c r="N448" s="97">
        <v>12770</v>
      </c>
      <c r="O448" s="126">
        <v>64</v>
      </c>
      <c r="P448" s="127">
        <v>45733</v>
      </c>
      <c r="Q448" s="94">
        <v>1</v>
      </c>
      <c r="R448" s="97">
        <v>11785</v>
      </c>
      <c r="S448" s="94">
        <v>1</v>
      </c>
      <c r="T448" s="128">
        <v>45824</v>
      </c>
      <c r="U448" s="97">
        <v>11785</v>
      </c>
    </row>
    <row r="449" spans="1:21" ht="12" hidden="1" x14ac:dyDescent="0.25">
      <c r="A449" s="94">
        <v>447</v>
      </c>
      <c r="B449" s="94" t="s">
        <v>550</v>
      </c>
      <c r="C449" s="94" t="s">
        <v>551</v>
      </c>
      <c r="D449" s="94" t="s">
        <v>551</v>
      </c>
      <c r="E449" s="94" t="s">
        <v>544</v>
      </c>
      <c r="F449" s="94" t="s">
        <v>6</v>
      </c>
      <c r="G449" s="94">
        <v>2023</v>
      </c>
      <c r="H449" s="94">
        <v>1</v>
      </c>
      <c r="I449" s="95">
        <v>45170</v>
      </c>
      <c r="J449" s="142">
        <v>24662</v>
      </c>
      <c r="K449" s="94">
        <v>1</v>
      </c>
      <c r="L449" s="95">
        <v>45194</v>
      </c>
      <c r="M449" s="94">
        <v>1</v>
      </c>
      <c r="N449" s="97">
        <v>34067</v>
      </c>
      <c r="O449" s="126">
        <v>12</v>
      </c>
      <c r="P449" s="127">
        <v>45238</v>
      </c>
      <c r="Q449" s="94">
        <v>1</v>
      </c>
      <c r="R449" s="97">
        <v>31187.856</v>
      </c>
      <c r="S449" s="94">
        <v>1</v>
      </c>
      <c r="T449" s="138">
        <v>45298</v>
      </c>
      <c r="U449" s="97">
        <v>31824</v>
      </c>
    </row>
    <row r="450" spans="1:21" ht="12" hidden="1" x14ac:dyDescent="0.25">
      <c r="A450" s="94">
        <v>448</v>
      </c>
      <c r="B450" s="94" t="s">
        <v>550</v>
      </c>
      <c r="C450" s="94" t="s">
        <v>551</v>
      </c>
      <c r="D450" s="94" t="s">
        <v>551</v>
      </c>
      <c r="E450" s="94" t="s">
        <v>544</v>
      </c>
      <c r="F450" s="94" t="s">
        <v>6</v>
      </c>
      <c r="G450" s="94">
        <v>2023</v>
      </c>
      <c r="H450" s="94">
        <v>1</v>
      </c>
      <c r="I450" s="95">
        <v>45200</v>
      </c>
      <c r="J450" s="142">
        <v>98625</v>
      </c>
      <c r="K450" s="94">
        <v>1</v>
      </c>
      <c r="L450" s="95">
        <v>45222</v>
      </c>
      <c r="M450" s="94">
        <v>2</v>
      </c>
      <c r="N450" s="97">
        <v>39226</v>
      </c>
      <c r="O450" s="126">
        <v>13</v>
      </c>
      <c r="P450" s="127">
        <v>45238</v>
      </c>
      <c r="Q450" s="94">
        <v>1</v>
      </c>
      <c r="R450" s="97">
        <v>36997.358</v>
      </c>
      <c r="S450" s="94">
        <v>1</v>
      </c>
      <c r="T450" s="128">
        <v>45298</v>
      </c>
      <c r="U450" s="136">
        <v>37752</v>
      </c>
    </row>
    <row r="451" spans="1:21" ht="12" hidden="1" x14ac:dyDescent="0.25">
      <c r="A451" s="94">
        <v>449</v>
      </c>
      <c r="B451" s="94" t="s">
        <v>550</v>
      </c>
      <c r="C451" s="94" t="s">
        <v>551</v>
      </c>
      <c r="D451" s="94" t="s">
        <v>551</v>
      </c>
      <c r="E451" s="94" t="s">
        <v>544</v>
      </c>
      <c r="F451" s="94" t="s">
        <v>6</v>
      </c>
      <c r="G451" s="94">
        <v>2023</v>
      </c>
      <c r="H451" s="94">
        <v>1</v>
      </c>
      <c r="I451" s="95">
        <v>45231</v>
      </c>
      <c r="J451" s="96">
        <v>129266.28</v>
      </c>
      <c r="K451" s="94">
        <v>1</v>
      </c>
      <c r="L451" s="95">
        <v>45250</v>
      </c>
      <c r="M451" s="94">
        <v>3</v>
      </c>
      <c r="N451" s="97">
        <v>92851</v>
      </c>
      <c r="O451" s="126">
        <v>20</v>
      </c>
      <c r="P451" s="127">
        <v>45273</v>
      </c>
      <c r="Q451" s="94">
        <v>1</v>
      </c>
      <c r="R451" s="97">
        <v>84777.332800000004</v>
      </c>
      <c r="S451" s="94">
        <v>1</v>
      </c>
      <c r="T451" s="128">
        <v>45333</v>
      </c>
      <c r="U451" s="97">
        <v>86507</v>
      </c>
    </row>
    <row r="452" spans="1:21" ht="12" hidden="1" x14ac:dyDescent="0.25">
      <c r="A452" s="94">
        <v>450</v>
      </c>
      <c r="B452" s="94" t="s">
        <v>550</v>
      </c>
      <c r="C452" s="94" t="s">
        <v>551</v>
      </c>
      <c r="D452" s="94" t="s">
        <v>551</v>
      </c>
      <c r="E452" s="94" t="s">
        <v>544</v>
      </c>
      <c r="F452" s="94" t="s">
        <v>6</v>
      </c>
      <c r="G452" s="94">
        <v>2023</v>
      </c>
      <c r="H452" s="94">
        <v>1</v>
      </c>
      <c r="I452" s="95">
        <v>45261</v>
      </c>
      <c r="J452" s="96">
        <v>93670.894800000009</v>
      </c>
      <c r="K452" s="94">
        <v>1</v>
      </c>
      <c r="L452" s="95">
        <v>45281</v>
      </c>
      <c r="M452" s="94">
        <v>4</v>
      </c>
      <c r="N452" s="97">
        <v>66118</v>
      </c>
      <c r="O452" s="126">
        <v>21</v>
      </c>
      <c r="P452" s="127">
        <v>45273</v>
      </c>
      <c r="Q452" s="94">
        <v>1</v>
      </c>
      <c r="R452" s="97">
        <v>60435.83</v>
      </c>
      <c r="S452" s="94">
        <v>1</v>
      </c>
      <c r="T452" s="128">
        <v>45333</v>
      </c>
      <c r="U452" s="97">
        <v>61669</v>
      </c>
    </row>
    <row r="453" spans="1:21" ht="12" hidden="1" x14ac:dyDescent="0.25">
      <c r="A453" s="94">
        <v>451</v>
      </c>
      <c r="B453" s="94" t="s">
        <v>550</v>
      </c>
      <c r="C453" s="94" t="s">
        <v>551</v>
      </c>
      <c r="D453" s="94" t="s">
        <v>551</v>
      </c>
      <c r="E453" s="94" t="s">
        <v>544</v>
      </c>
      <c r="F453" s="94" t="s">
        <v>6</v>
      </c>
      <c r="G453" s="94">
        <v>2024</v>
      </c>
      <c r="H453" s="94">
        <v>1</v>
      </c>
      <c r="I453" s="95">
        <v>45292</v>
      </c>
      <c r="J453" s="96">
        <v>52371</v>
      </c>
      <c r="K453" s="94">
        <v>1</v>
      </c>
      <c r="L453" s="95">
        <v>45311</v>
      </c>
      <c r="M453" s="94">
        <v>5</v>
      </c>
      <c r="N453" s="97">
        <v>41400</v>
      </c>
      <c r="O453" s="126">
        <v>27</v>
      </c>
      <c r="P453" s="127">
        <v>45345</v>
      </c>
      <c r="Q453" s="94">
        <v>1</v>
      </c>
      <c r="R453" s="97">
        <v>39081</v>
      </c>
      <c r="S453" s="94">
        <v>1</v>
      </c>
      <c r="T453" s="128">
        <v>45405</v>
      </c>
      <c r="U453" s="97">
        <v>39081</v>
      </c>
    </row>
    <row r="454" spans="1:21" ht="12" hidden="1" x14ac:dyDescent="0.25">
      <c r="A454" s="94">
        <v>452</v>
      </c>
      <c r="B454" s="94" t="s">
        <v>550</v>
      </c>
      <c r="C454" s="94" t="s">
        <v>551</v>
      </c>
      <c r="D454" s="94" t="s">
        <v>551</v>
      </c>
      <c r="E454" s="94" t="s">
        <v>544</v>
      </c>
      <c r="F454" s="94" t="s">
        <v>6</v>
      </c>
      <c r="G454" s="94">
        <v>2024</v>
      </c>
      <c r="H454" s="94">
        <v>1</v>
      </c>
      <c r="I454" s="95">
        <v>45323</v>
      </c>
      <c r="J454" s="96">
        <v>10971</v>
      </c>
      <c r="K454" s="94">
        <v>1</v>
      </c>
      <c r="L454" s="95">
        <v>45342</v>
      </c>
      <c r="M454" s="94">
        <v>6</v>
      </c>
      <c r="N454" s="97">
        <v>6768</v>
      </c>
      <c r="O454" s="126">
        <v>28</v>
      </c>
      <c r="P454" s="127">
        <v>45341</v>
      </c>
      <c r="Q454" s="94">
        <v>1</v>
      </c>
      <c r="R454" s="97">
        <v>6510</v>
      </c>
      <c r="S454" s="94">
        <v>1</v>
      </c>
      <c r="T454" s="128">
        <v>45418</v>
      </c>
      <c r="U454" s="97">
        <v>6510</v>
      </c>
    </row>
    <row r="455" spans="1:21" ht="12" hidden="1" x14ac:dyDescent="0.25">
      <c r="A455" s="94">
        <v>453</v>
      </c>
      <c r="B455" s="94" t="s">
        <v>550</v>
      </c>
      <c r="C455" s="94" t="s">
        <v>551</v>
      </c>
      <c r="D455" s="94" t="s">
        <v>551</v>
      </c>
      <c r="E455" s="94" t="s">
        <v>544</v>
      </c>
      <c r="F455" s="94" t="s">
        <v>6</v>
      </c>
      <c r="G455" s="94">
        <v>2024</v>
      </c>
      <c r="H455" s="94">
        <v>1</v>
      </c>
      <c r="I455" s="95">
        <v>45383</v>
      </c>
      <c r="J455" s="96">
        <v>4173</v>
      </c>
      <c r="K455" s="94">
        <v>1</v>
      </c>
      <c r="L455" s="117">
        <v>45402</v>
      </c>
      <c r="M455" s="94">
        <v>7</v>
      </c>
      <c r="N455" s="96">
        <v>4173</v>
      </c>
      <c r="O455" s="126">
        <v>38</v>
      </c>
      <c r="P455" s="127">
        <v>45457</v>
      </c>
      <c r="Q455" s="94">
        <v>1</v>
      </c>
      <c r="R455" s="97">
        <v>6509.9</v>
      </c>
      <c r="S455" s="94">
        <v>1</v>
      </c>
      <c r="T455" s="128">
        <v>45517</v>
      </c>
      <c r="U455" s="97">
        <v>6018</v>
      </c>
    </row>
    <row r="456" spans="1:21" ht="12" hidden="1" x14ac:dyDescent="0.25">
      <c r="A456" s="94">
        <v>454</v>
      </c>
      <c r="B456" s="94" t="s">
        <v>550</v>
      </c>
      <c r="C456" s="94" t="s">
        <v>551</v>
      </c>
      <c r="D456" s="94" t="s">
        <v>552</v>
      </c>
      <c r="E456" s="94" t="s">
        <v>544</v>
      </c>
      <c r="F456" s="94" t="s">
        <v>6</v>
      </c>
      <c r="G456" s="94">
        <v>2024</v>
      </c>
      <c r="H456" s="94">
        <v>-1</v>
      </c>
      <c r="I456" s="95">
        <v>45323</v>
      </c>
      <c r="J456" s="96">
        <v>0</v>
      </c>
      <c r="K456" s="94">
        <v>1</v>
      </c>
      <c r="L456" s="117">
        <v>45342</v>
      </c>
      <c r="M456" s="94">
        <v>1</v>
      </c>
      <c r="N456" s="97">
        <v>6765</v>
      </c>
      <c r="O456" s="126" t="s">
        <v>255</v>
      </c>
      <c r="P456" s="127">
        <v>45520</v>
      </c>
      <c r="Q456" s="94">
        <v>1</v>
      </c>
      <c r="R456" s="97">
        <v>6765</v>
      </c>
      <c r="S456" s="94">
        <v>1</v>
      </c>
      <c r="T456" s="128">
        <v>45520</v>
      </c>
      <c r="U456" s="97">
        <v>6765</v>
      </c>
    </row>
    <row r="457" spans="1:21" ht="12" hidden="1" x14ac:dyDescent="0.25">
      <c r="A457" s="94">
        <v>455</v>
      </c>
      <c r="B457" s="94" t="s">
        <v>14</v>
      </c>
      <c r="C457" s="94" t="s">
        <v>15</v>
      </c>
      <c r="D457" s="94" t="s">
        <v>15</v>
      </c>
      <c r="E457" s="94" t="s">
        <v>544</v>
      </c>
      <c r="F457" s="94" t="s">
        <v>6</v>
      </c>
      <c r="G457" s="94">
        <v>2024</v>
      </c>
      <c r="H457" s="94">
        <v>-1</v>
      </c>
      <c r="I457" s="95"/>
      <c r="J457" s="96"/>
      <c r="K457" s="94">
        <v>1</v>
      </c>
      <c r="L457" s="117">
        <v>45611</v>
      </c>
      <c r="M457" s="94">
        <v>1</v>
      </c>
      <c r="N457" s="97">
        <v>31337</v>
      </c>
      <c r="O457" s="126">
        <v>52</v>
      </c>
      <c r="P457" s="127">
        <v>45621</v>
      </c>
      <c r="Q457" s="94">
        <v>1</v>
      </c>
      <c r="R457" s="97">
        <v>27745</v>
      </c>
      <c r="S457" s="94">
        <v>1</v>
      </c>
      <c r="T457" s="128">
        <v>45712</v>
      </c>
      <c r="U457" s="97">
        <v>24924</v>
      </c>
    </row>
    <row r="458" spans="1:21" ht="12" hidden="1" x14ac:dyDescent="0.25">
      <c r="A458" s="94">
        <v>456</v>
      </c>
      <c r="B458" s="94" t="s">
        <v>14</v>
      </c>
      <c r="C458" s="94" t="s">
        <v>15</v>
      </c>
      <c r="D458" s="94" t="s">
        <v>15</v>
      </c>
      <c r="E458" s="94" t="s">
        <v>544</v>
      </c>
      <c r="F458" s="94" t="s">
        <v>6</v>
      </c>
      <c r="G458" s="94">
        <v>2024</v>
      </c>
      <c r="H458" s="94">
        <v>-1</v>
      </c>
      <c r="I458" s="95"/>
      <c r="J458" s="96"/>
      <c r="K458" s="94">
        <v>1</v>
      </c>
      <c r="L458" s="117">
        <v>45641</v>
      </c>
      <c r="M458" s="94">
        <v>2</v>
      </c>
      <c r="N458" s="97">
        <v>5952</v>
      </c>
      <c r="O458" s="126">
        <v>55</v>
      </c>
      <c r="P458" s="128">
        <v>45637</v>
      </c>
      <c r="Q458" s="94">
        <v>1</v>
      </c>
      <c r="R458" s="97">
        <v>5952</v>
      </c>
      <c r="S458" s="94">
        <v>1</v>
      </c>
      <c r="T458" s="128">
        <v>45727</v>
      </c>
      <c r="U458" s="97">
        <v>5952</v>
      </c>
    </row>
    <row r="459" spans="1:21" ht="12" hidden="1" x14ac:dyDescent="0.25">
      <c r="A459" s="94">
        <v>457</v>
      </c>
      <c r="B459" s="94" t="s">
        <v>14</v>
      </c>
      <c r="C459" s="94" t="s">
        <v>15</v>
      </c>
      <c r="D459" s="94" t="s">
        <v>15</v>
      </c>
      <c r="E459" s="94" t="s">
        <v>544</v>
      </c>
      <c r="F459" s="94" t="s">
        <v>6</v>
      </c>
      <c r="G459" s="94">
        <v>2024</v>
      </c>
      <c r="H459" s="94">
        <v>-1</v>
      </c>
      <c r="I459" s="95"/>
      <c r="J459" s="96"/>
      <c r="K459" s="94">
        <v>1</v>
      </c>
      <c r="L459" s="117">
        <v>45641</v>
      </c>
      <c r="M459" s="94">
        <v>2</v>
      </c>
      <c r="N459" s="97">
        <v>14000</v>
      </c>
      <c r="O459" s="126">
        <v>56</v>
      </c>
      <c r="P459" s="128">
        <v>45640</v>
      </c>
      <c r="Q459" s="94">
        <v>1</v>
      </c>
      <c r="R459" s="137">
        <v>10364</v>
      </c>
      <c r="S459" s="94">
        <v>1</v>
      </c>
      <c r="T459" s="128">
        <v>45730</v>
      </c>
      <c r="U459" s="97">
        <v>9743</v>
      </c>
    </row>
    <row r="460" spans="1:21" ht="12" hidden="1" x14ac:dyDescent="0.25">
      <c r="A460" s="94">
        <v>458</v>
      </c>
      <c r="B460" s="94" t="s">
        <v>14</v>
      </c>
      <c r="C460" s="94" t="s">
        <v>15</v>
      </c>
      <c r="D460" s="94" t="s">
        <v>15</v>
      </c>
      <c r="E460" s="94" t="s">
        <v>544</v>
      </c>
      <c r="F460" s="94" t="s">
        <v>6</v>
      </c>
      <c r="G460" s="94">
        <v>2025</v>
      </c>
      <c r="H460" s="94">
        <v>-1</v>
      </c>
      <c r="I460" s="95"/>
      <c r="J460" s="96"/>
      <c r="K460" s="94">
        <v>1</v>
      </c>
      <c r="L460" s="117">
        <v>45681</v>
      </c>
      <c r="M460" s="94">
        <v>3</v>
      </c>
      <c r="N460" s="97">
        <v>22948</v>
      </c>
      <c r="O460" s="126">
        <v>59</v>
      </c>
      <c r="P460" s="128">
        <v>45681</v>
      </c>
      <c r="Q460" s="94">
        <v>1</v>
      </c>
      <c r="R460" s="97">
        <v>18747</v>
      </c>
      <c r="S460" s="94">
        <v>1</v>
      </c>
      <c r="T460" s="128">
        <v>45771</v>
      </c>
      <c r="U460" s="97">
        <v>18747.16</v>
      </c>
    </row>
    <row r="461" spans="1:21" ht="12" hidden="1" x14ac:dyDescent="0.25">
      <c r="A461" s="94">
        <v>459</v>
      </c>
      <c r="B461" s="94" t="s">
        <v>14</v>
      </c>
      <c r="C461" s="94" t="s">
        <v>15</v>
      </c>
      <c r="D461" s="94" t="s">
        <v>15</v>
      </c>
      <c r="E461" s="94" t="s">
        <v>544</v>
      </c>
      <c r="F461" s="94" t="s">
        <v>6</v>
      </c>
      <c r="G461" s="94">
        <v>2025</v>
      </c>
      <c r="H461" s="94">
        <v>-1</v>
      </c>
      <c r="I461" s="95"/>
      <c r="J461" s="96"/>
      <c r="K461" s="94">
        <v>1</v>
      </c>
      <c r="L461" s="117">
        <v>45708</v>
      </c>
      <c r="M461" s="94">
        <v>4</v>
      </c>
      <c r="N461" s="97">
        <v>10293</v>
      </c>
      <c r="O461" s="126">
        <v>63</v>
      </c>
      <c r="P461" s="128">
        <v>45733</v>
      </c>
      <c r="Q461" s="94">
        <v>1</v>
      </c>
      <c r="R461" s="97">
        <v>9499</v>
      </c>
      <c r="S461" s="94">
        <v>1</v>
      </c>
      <c r="T461" s="128">
        <v>45824</v>
      </c>
      <c r="U461" s="97">
        <v>9499</v>
      </c>
    </row>
    <row r="462" spans="1:21" ht="12" hidden="1" x14ac:dyDescent="0.25">
      <c r="A462" s="94">
        <v>460</v>
      </c>
      <c r="B462" s="94" t="s">
        <v>14</v>
      </c>
      <c r="C462" s="94" t="s">
        <v>15</v>
      </c>
      <c r="D462" s="94" t="s">
        <v>15</v>
      </c>
      <c r="E462" s="94" t="s">
        <v>544</v>
      </c>
      <c r="F462" s="94" t="s">
        <v>6</v>
      </c>
      <c r="G462" s="94">
        <v>2025</v>
      </c>
      <c r="H462" s="94">
        <v>-1</v>
      </c>
      <c r="I462" s="95"/>
      <c r="J462" s="96"/>
      <c r="K462" s="94">
        <v>1</v>
      </c>
      <c r="L462" s="117">
        <v>45742</v>
      </c>
      <c r="M462" s="94">
        <v>5</v>
      </c>
      <c r="N462" s="97">
        <v>5393</v>
      </c>
      <c r="O462" s="126">
        <v>67</v>
      </c>
      <c r="P462" s="128">
        <v>45758</v>
      </c>
      <c r="Q462" s="94">
        <v>1</v>
      </c>
      <c r="R462" s="97">
        <v>4858.46</v>
      </c>
      <c r="S462" s="94">
        <v>1</v>
      </c>
      <c r="T462" s="128">
        <v>45849</v>
      </c>
      <c r="U462" s="97">
        <v>5421</v>
      </c>
    </row>
    <row r="463" spans="1:21" ht="12" hidden="1" x14ac:dyDescent="0.25">
      <c r="A463" s="94">
        <v>461</v>
      </c>
      <c r="B463" s="94" t="s">
        <v>14</v>
      </c>
      <c r="C463" s="94" t="s">
        <v>15</v>
      </c>
      <c r="D463" s="94" t="s">
        <v>15</v>
      </c>
      <c r="E463" s="94" t="s">
        <v>544</v>
      </c>
      <c r="F463" s="94" t="s">
        <v>6</v>
      </c>
      <c r="G463" s="94">
        <v>2025</v>
      </c>
      <c r="H463" s="94">
        <v>-1</v>
      </c>
      <c r="I463" s="95"/>
      <c r="J463" s="96"/>
      <c r="K463" s="94">
        <v>1</v>
      </c>
      <c r="L463" s="117">
        <v>45777</v>
      </c>
      <c r="M463" s="94">
        <v>6</v>
      </c>
      <c r="N463" s="97">
        <v>11237</v>
      </c>
      <c r="O463" s="126">
        <v>69</v>
      </c>
      <c r="P463" s="128">
        <v>45797</v>
      </c>
      <c r="Q463" s="94">
        <v>1</v>
      </c>
      <c r="R463" s="97">
        <v>10592</v>
      </c>
      <c r="S463" s="94">
        <v>1</v>
      </c>
      <c r="T463" s="128">
        <v>45887</v>
      </c>
      <c r="U463" s="97">
        <v>11024.51</v>
      </c>
    </row>
    <row r="464" spans="1:21" ht="12" hidden="1" x14ac:dyDescent="0.25">
      <c r="A464" s="94">
        <v>462</v>
      </c>
      <c r="B464" s="94" t="s">
        <v>14</v>
      </c>
      <c r="C464" s="94" t="s">
        <v>15</v>
      </c>
      <c r="D464" s="94" t="s">
        <v>15</v>
      </c>
      <c r="E464" s="94" t="s">
        <v>544</v>
      </c>
      <c r="F464" s="94" t="s">
        <v>6</v>
      </c>
      <c r="G464" s="94">
        <v>2025</v>
      </c>
      <c r="H464" s="94">
        <v>-1</v>
      </c>
      <c r="I464" s="95"/>
      <c r="J464" s="96"/>
      <c r="K464" s="94">
        <v>1</v>
      </c>
      <c r="L464" s="117">
        <v>45807</v>
      </c>
      <c r="M464" s="94">
        <v>7</v>
      </c>
      <c r="N464" s="97">
        <v>32693</v>
      </c>
      <c r="O464" s="126">
        <v>72</v>
      </c>
      <c r="P464" s="128">
        <v>45826</v>
      </c>
      <c r="Q464" s="94">
        <v>1</v>
      </c>
      <c r="R464" s="97">
        <v>30683</v>
      </c>
      <c r="S464" s="94">
        <v>1</v>
      </c>
      <c r="T464" s="128">
        <v>45918</v>
      </c>
      <c r="U464" s="97">
        <v>33778.899082568809</v>
      </c>
    </row>
    <row r="465" spans="1:22" ht="12" hidden="1" x14ac:dyDescent="0.25">
      <c r="A465" s="94">
        <v>463</v>
      </c>
      <c r="B465" s="94" t="s">
        <v>14</v>
      </c>
      <c r="C465" s="94" t="s">
        <v>15</v>
      </c>
      <c r="D465" s="94" t="s">
        <v>15</v>
      </c>
      <c r="E465" s="94" t="s">
        <v>544</v>
      </c>
      <c r="F465" s="94" t="s">
        <v>6</v>
      </c>
      <c r="G465" s="94">
        <v>2025</v>
      </c>
      <c r="H465" s="94">
        <v>-1</v>
      </c>
      <c r="I465" s="95"/>
      <c r="J465" s="96"/>
      <c r="K465" s="94">
        <v>1</v>
      </c>
      <c r="L465" s="117">
        <v>45833</v>
      </c>
      <c r="M465" s="94">
        <v>8</v>
      </c>
      <c r="N465" s="97">
        <v>34273</v>
      </c>
      <c r="O465" s="126">
        <v>74</v>
      </c>
      <c r="P465" s="128">
        <v>45846</v>
      </c>
      <c r="Q465" s="94">
        <v>1</v>
      </c>
      <c r="R465" s="97">
        <v>29305.88</v>
      </c>
      <c r="S465" s="94">
        <v>1</v>
      </c>
      <c r="T465" s="128">
        <v>45936</v>
      </c>
      <c r="U465" s="133">
        <v>32622</v>
      </c>
    </row>
    <row r="466" spans="1:22" ht="12" hidden="1" x14ac:dyDescent="0.25">
      <c r="A466" s="94">
        <v>464</v>
      </c>
      <c r="B466" s="94" t="s">
        <v>14</v>
      </c>
      <c r="C466" s="94" t="s">
        <v>15</v>
      </c>
      <c r="D466" s="94" t="s">
        <v>15</v>
      </c>
      <c r="E466" s="94" t="s">
        <v>544</v>
      </c>
      <c r="F466" s="94" t="s">
        <v>6</v>
      </c>
      <c r="G466" s="94">
        <v>2025</v>
      </c>
      <c r="H466" s="94">
        <v>-1</v>
      </c>
      <c r="I466" s="95"/>
      <c r="J466" s="96"/>
      <c r="K466" s="94">
        <v>1</v>
      </c>
      <c r="L466" s="95">
        <v>45859</v>
      </c>
      <c r="M466" s="94">
        <v>9</v>
      </c>
      <c r="N466" s="97">
        <v>21033</v>
      </c>
      <c r="O466" s="126">
        <v>79</v>
      </c>
      <c r="P466" s="127">
        <v>45889</v>
      </c>
      <c r="Q466" s="94">
        <v>1</v>
      </c>
      <c r="R466" s="97">
        <v>21927</v>
      </c>
      <c r="S466" s="94">
        <v>1</v>
      </c>
      <c r="T466" s="128">
        <v>45950</v>
      </c>
      <c r="U466" s="97">
        <v>20835.925925925923</v>
      </c>
    </row>
    <row r="467" spans="1:22" ht="12" hidden="1" x14ac:dyDescent="0.25">
      <c r="A467" s="94">
        <v>465</v>
      </c>
      <c r="B467" s="94" t="s">
        <v>14</v>
      </c>
      <c r="C467" s="94" t="s">
        <v>15</v>
      </c>
      <c r="D467" s="94" t="s">
        <v>15</v>
      </c>
      <c r="E467" s="94" t="s">
        <v>544</v>
      </c>
      <c r="F467" s="94" t="s">
        <v>6</v>
      </c>
      <c r="G467" s="94">
        <v>2025</v>
      </c>
      <c r="H467" s="94">
        <v>-1</v>
      </c>
      <c r="I467" s="95"/>
      <c r="J467" s="96"/>
      <c r="K467" s="94">
        <v>1</v>
      </c>
      <c r="L467" s="95">
        <v>45889</v>
      </c>
      <c r="M467" s="94">
        <v>10</v>
      </c>
      <c r="N467" s="97">
        <v>25050</v>
      </c>
      <c r="O467" s="126">
        <v>86</v>
      </c>
      <c r="P467" s="127">
        <v>45891</v>
      </c>
      <c r="Q467" s="94">
        <v>1</v>
      </c>
      <c r="R467" s="97">
        <v>25358</v>
      </c>
      <c r="S467" s="94">
        <v>1</v>
      </c>
      <c r="T467" s="128">
        <v>45982</v>
      </c>
      <c r="U467" s="97">
        <v>24115</v>
      </c>
    </row>
    <row r="468" spans="1:22" ht="12" hidden="1" x14ac:dyDescent="0.25">
      <c r="A468" s="94">
        <v>466</v>
      </c>
      <c r="B468" s="94" t="s">
        <v>14</v>
      </c>
      <c r="C468" s="94" t="s">
        <v>15</v>
      </c>
      <c r="D468" s="94" t="s">
        <v>15</v>
      </c>
      <c r="E468" s="94" t="s">
        <v>544</v>
      </c>
      <c r="F468" s="94" t="s">
        <v>6</v>
      </c>
      <c r="G468" s="94">
        <v>2025</v>
      </c>
      <c r="H468" s="94">
        <v>-1</v>
      </c>
      <c r="I468" s="95"/>
      <c r="J468" s="96"/>
      <c r="K468" s="94">
        <v>1</v>
      </c>
      <c r="L468" s="95">
        <v>45920</v>
      </c>
      <c r="M468" s="112">
        <v>11</v>
      </c>
      <c r="N468" s="97">
        <v>33890</v>
      </c>
      <c r="O468" s="149">
        <v>92</v>
      </c>
      <c r="P468" s="127">
        <v>45917</v>
      </c>
      <c r="Q468" s="94">
        <v>1</v>
      </c>
      <c r="R468" s="97">
        <v>33182.018348623853</v>
      </c>
      <c r="S468" s="94">
        <v>1</v>
      </c>
      <c r="T468" s="128">
        <v>46011</v>
      </c>
      <c r="U468" s="97">
        <v>28287</v>
      </c>
    </row>
    <row r="469" spans="1:22" ht="12" x14ac:dyDescent="0.25">
      <c r="A469" s="94">
        <v>467</v>
      </c>
      <c r="B469" s="94" t="s">
        <v>14</v>
      </c>
      <c r="C469" s="94" t="s">
        <v>15</v>
      </c>
      <c r="D469" s="94" t="s">
        <v>15</v>
      </c>
      <c r="E469" s="94" t="s">
        <v>544</v>
      </c>
      <c r="F469" s="94" t="s">
        <v>6</v>
      </c>
      <c r="G469" s="94">
        <v>2025</v>
      </c>
      <c r="H469" s="94">
        <v>-1</v>
      </c>
      <c r="I469" s="95"/>
      <c r="J469" s="96"/>
      <c r="K469" s="94">
        <v>1</v>
      </c>
      <c r="L469" s="95">
        <v>45945</v>
      </c>
      <c r="M469" s="112">
        <v>12</v>
      </c>
      <c r="N469" s="97">
        <v>24873</v>
      </c>
      <c r="O469" s="149">
        <v>102</v>
      </c>
      <c r="P469" s="127">
        <v>45951</v>
      </c>
      <c r="Q469" s="94">
        <v>1</v>
      </c>
      <c r="R469" s="97">
        <v>25194</v>
      </c>
      <c r="S469" s="94">
        <v>-1</v>
      </c>
      <c r="T469" s="128">
        <v>46043</v>
      </c>
      <c r="U469" s="97">
        <v>23101</v>
      </c>
    </row>
    <row r="470" spans="1:22" ht="12" hidden="1" x14ac:dyDescent="0.25">
      <c r="A470" s="94">
        <v>468</v>
      </c>
      <c r="B470" s="94" t="s">
        <v>16</v>
      </c>
      <c r="C470" s="94" t="s">
        <v>17</v>
      </c>
      <c r="D470" s="94" t="s">
        <v>17</v>
      </c>
      <c r="E470" s="94" t="s">
        <v>544</v>
      </c>
      <c r="F470" s="94" t="s">
        <v>6</v>
      </c>
      <c r="G470" s="94">
        <v>2024</v>
      </c>
      <c r="H470" s="94">
        <v>-1</v>
      </c>
      <c r="I470" s="95"/>
      <c r="J470" s="96"/>
      <c r="K470" s="94">
        <v>1</v>
      </c>
      <c r="L470" s="95">
        <v>45561</v>
      </c>
      <c r="M470" s="94">
        <v>1</v>
      </c>
      <c r="N470" s="97">
        <v>52744</v>
      </c>
      <c r="O470" s="126">
        <v>48</v>
      </c>
      <c r="P470" s="127">
        <v>45590</v>
      </c>
      <c r="Q470" s="94">
        <v>1</v>
      </c>
      <c r="R470" s="97">
        <v>48730</v>
      </c>
      <c r="S470" s="94">
        <v>1</v>
      </c>
      <c r="T470" s="128">
        <v>45682</v>
      </c>
      <c r="U470" s="97">
        <v>43045</v>
      </c>
    </row>
    <row r="471" spans="1:22" ht="12" hidden="1" x14ac:dyDescent="0.25">
      <c r="A471" s="94">
        <v>469</v>
      </c>
      <c r="B471" s="94" t="s">
        <v>553</v>
      </c>
      <c r="C471" s="94" t="s">
        <v>554</v>
      </c>
      <c r="D471" s="94" t="s">
        <v>554</v>
      </c>
      <c r="E471" s="94" t="s">
        <v>555</v>
      </c>
      <c r="F471" s="94" t="s">
        <v>6</v>
      </c>
      <c r="G471" s="94">
        <v>2023</v>
      </c>
      <c r="H471" s="94">
        <v>1</v>
      </c>
      <c r="I471" s="95">
        <v>45170</v>
      </c>
      <c r="J471" s="142">
        <v>52279</v>
      </c>
      <c r="K471" s="94">
        <v>1</v>
      </c>
      <c r="L471" s="95">
        <v>45194</v>
      </c>
      <c r="M471" s="94">
        <v>1</v>
      </c>
      <c r="N471" s="97">
        <v>11756</v>
      </c>
      <c r="O471" s="126">
        <v>10</v>
      </c>
      <c r="P471" s="127">
        <v>45203</v>
      </c>
      <c r="Q471" s="94">
        <v>1</v>
      </c>
      <c r="R471" s="97">
        <v>11644</v>
      </c>
      <c r="S471" s="94">
        <v>1</v>
      </c>
      <c r="T471" s="138">
        <v>45267</v>
      </c>
      <c r="U471" s="97">
        <v>11644</v>
      </c>
    </row>
    <row r="472" spans="1:22" ht="12" hidden="1" x14ac:dyDescent="0.25">
      <c r="A472" s="94">
        <v>470</v>
      </c>
      <c r="B472" s="94" t="s">
        <v>553</v>
      </c>
      <c r="C472" s="94" t="s">
        <v>554</v>
      </c>
      <c r="D472" s="94" t="s">
        <v>554</v>
      </c>
      <c r="E472" s="94" t="s">
        <v>555</v>
      </c>
      <c r="F472" s="94" t="s">
        <v>6</v>
      </c>
      <c r="G472" s="94">
        <v>2023</v>
      </c>
      <c r="H472" s="94">
        <v>1</v>
      </c>
      <c r="I472" s="95">
        <v>45200</v>
      </c>
      <c r="J472" s="96">
        <v>106671</v>
      </c>
      <c r="K472" s="94">
        <v>1</v>
      </c>
      <c r="L472" s="95">
        <v>45222</v>
      </c>
      <c r="M472" s="94">
        <v>2</v>
      </c>
      <c r="N472" s="97">
        <v>16248.228013587199</v>
      </c>
      <c r="O472" s="126">
        <v>15</v>
      </c>
      <c r="P472" s="127">
        <v>45254</v>
      </c>
      <c r="Q472" s="94">
        <v>1</v>
      </c>
      <c r="R472" s="97">
        <v>15096.472620999999</v>
      </c>
      <c r="S472" s="94">
        <v>1</v>
      </c>
      <c r="T472" s="128">
        <v>45329</v>
      </c>
      <c r="U472" s="97">
        <v>15405</v>
      </c>
    </row>
    <row r="473" spans="1:22" ht="12" hidden="1" x14ac:dyDescent="0.25">
      <c r="A473" s="94">
        <v>471</v>
      </c>
      <c r="B473" s="94" t="s">
        <v>553</v>
      </c>
      <c r="C473" s="94" t="s">
        <v>554</v>
      </c>
      <c r="D473" s="94" t="s">
        <v>554</v>
      </c>
      <c r="E473" s="94" t="s">
        <v>555</v>
      </c>
      <c r="F473" s="94" t="s">
        <v>6</v>
      </c>
      <c r="G473" s="94">
        <v>2023</v>
      </c>
      <c r="H473" s="94">
        <v>1</v>
      </c>
      <c r="I473" s="95">
        <v>45231</v>
      </c>
      <c r="J473" s="96">
        <v>71041.960000000006</v>
      </c>
      <c r="K473" s="94">
        <v>1</v>
      </c>
      <c r="L473" s="95">
        <v>45250</v>
      </c>
      <c r="M473" s="94">
        <v>3</v>
      </c>
      <c r="N473" s="97">
        <v>29518.362250826849</v>
      </c>
      <c r="O473" s="126">
        <v>18</v>
      </c>
      <c r="P473" s="127">
        <v>45261</v>
      </c>
      <c r="Q473" s="94">
        <v>1</v>
      </c>
      <c r="R473" s="97">
        <v>27425.952553000003</v>
      </c>
      <c r="S473" s="94">
        <v>1</v>
      </c>
      <c r="T473" s="128">
        <v>45329</v>
      </c>
      <c r="U473" s="97">
        <v>27986</v>
      </c>
    </row>
    <row r="474" spans="1:22" ht="12" hidden="1" x14ac:dyDescent="0.25">
      <c r="A474" s="94">
        <v>472</v>
      </c>
      <c r="B474" s="94" t="s">
        <v>553</v>
      </c>
      <c r="C474" s="94" t="s">
        <v>554</v>
      </c>
      <c r="D474" s="94" t="s">
        <v>554</v>
      </c>
      <c r="E474" s="94" t="s">
        <v>555</v>
      </c>
      <c r="F474" s="94" t="s">
        <v>6</v>
      </c>
      <c r="G474" s="94">
        <v>2023</v>
      </c>
      <c r="H474" s="94">
        <v>1</v>
      </c>
      <c r="I474" s="95">
        <v>45261</v>
      </c>
      <c r="J474" s="96">
        <v>112739</v>
      </c>
      <c r="K474" s="94">
        <v>1</v>
      </c>
      <c r="L474" s="95">
        <v>45281</v>
      </c>
      <c r="M474" s="94">
        <v>4</v>
      </c>
      <c r="N474" s="97">
        <v>71027</v>
      </c>
      <c r="O474" s="126">
        <v>22</v>
      </c>
      <c r="P474" s="127">
        <v>45293</v>
      </c>
      <c r="Q474" s="94">
        <v>1</v>
      </c>
      <c r="R474" s="97">
        <v>67339</v>
      </c>
      <c r="S474" s="94">
        <v>1</v>
      </c>
      <c r="T474" s="128">
        <v>45353</v>
      </c>
      <c r="U474" s="97">
        <v>67339</v>
      </c>
    </row>
    <row r="475" spans="1:22" ht="12" hidden="1" x14ac:dyDescent="0.25">
      <c r="A475" s="94">
        <v>473</v>
      </c>
      <c r="B475" s="94" t="s">
        <v>553</v>
      </c>
      <c r="C475" s="94" t="s">
        <v>554</v>
      </c>
      <c r="D475" s="94" t="s">
        <v>554</v>
      </c>
      <c r="E475" s="94" t="s">
        <v>555</v>
      </c>
      <c r="F475" s="94" t="s">
        <v>6</v>
      </c>
      <c r="G475" s="94">
        <v>2024</v>
      </c>
      <c r="H475" s="94">
        <v>1</v>
      </c>
      <c r="I475" s="95">
        <v>45292</v>
      </c>
      <c r="J475" s="96">
        <v>71918</v>
      </c>
      <c r="K475" s="94">
        <v>1</v>
      </c>
      <c r="L475" s="95">
        <v>45311</v>
      </c>
      <c r="M475" s="94">
        <v>5</v>
      </c>
      <c r="N475" s="97">
        <v>31925</v>
      </c>
      <c r="O475" s="126">
        <v>26</v>
      </c>
      <c r="P475" s="127">
        <v>45330</v>
      </c>
      <c r="Q475" s="94">
        <v>1</v>
      </c>
      <c r="R475" s="97">
        <v>24421</v>
      </c>
      <c r="S475" s="94">
        <v>1</v>
      </c>
      <c r="T475" s="128">
        <v>45404</v>
      </c>
      <c r="U475" s="97">
        <v>24421</v>
      </c>
    </row>
    <row r="476" spans="1:22" ht="12" hidden="1" x14ac:dyDescent="0.25">
      <c r="A476" s="94">
        <v>474</v>
      </c>
      <c r="B476" s="94" t="s">
        <v>553</v>
      </c>
      <c r="C476" s="94" t="s">
        <v>554</v>
      </c>
      <c r="D476" s="94" t="s">
        <v>554</v>
      </c>
      <c r="E476" s="94" t="s">
        <v>555</v>
      </c>
      <c r="F476" s="94" t="s">
        <v>6</v>
      </c>
      <c r="G476" s="94">
        <v>2024</v>
      </c>
      <c r="H476" s="94">
        <v>1</v>
      </c>
      <c r="I476" s="95">
        <v>45413</v>
      </c>
      <c r="J476" s="96">
        <v>47364.081632653055</v>
      </c>
      <c r="K476" s="94">
        <v>1</v>
      </c>
      <c r="L476" s="95">
        <v>45498</v>
      </c>
      <c r="M476" s="94">
        <v>6</v>
      </c>
      <c r="N476" s="97">
        <v>43869</v>
      </c>
      <c r="O476" s="126">
        <v>42</v>
      </c>
      <c r="P476" s="127">
        <v>45498</v>
      </c>
      <c r="Q476" s="94">
        <v>1</v>
      </c>
      <c r="R476" s="97">
        <v>41088</v>
      </c>
      <c r="S476" s="94">
        <v>1</v>
      </c>
      <c r="T476" s="128">
        <v>45572</v>
      </c>
      <c r="U476" s="97">
        <v>38146</v>
      </c>
    </row>
    <row r="477" spans="1:22" ht="12" hidden="1" x14ac:dyDescent="0.25">
      <c r="A477" s="94">
        <v>475</v>
      </c>
      <c r="B477" s="94" t="s">
        <v>556</v>
      </c>
      <c r="C477" s="94" t="s">
        <v>739</v>
      </c>
      <c r="D477" s="94" t="s">
        <v>557</v>
      </c>
      <c r="E477" s="94" t="s">
        <v>558</v>
      </c>
      <c r="F477" s="94" t="s">
        <v>94</v>
      </c>
      <c r="G477" s="94">
        <v>2023</v>
      </c>
      <c r="H477" s="94">
        <v>-1</v>
      </c>
      <c r="I477" s="95"/>
      <c r="J477" s="96"/>
      <c r="K477" s="94">
        <v>1</v>
      </c>
      <c r="L477" s="95">
        <v>45098</v>
      </c>
      <c r="M477" s="94">
        <v>1</v>
      </c>
      <c r="N477" s="97">
        <v>43371</v>
      </c>
      <c r="O477" s="126" t="s">
        <v>255</v>
      </c>
      <c r="P477" s="127">
        <v>45098</v>
      </c>
      <c r="Q477" s="94">
        <v>1</v>
      </c>
      <c r="R477" s="97">
        <v>43371</v>
      </c>
      <c r="S477" s="94">
        <v>1</v>
      </c>
      <c r="T477" s="128">
        <v>45223</v>
      </c>
      <c r="U477" s="97">
        <v>43371</v>
      </c>
      <c r="V477" s="94" t="s">
        <v>559</v>
      </c>
    </row>
    <row r="478" spans="1:22" ht="12" hidden="1" x14ac:dyDescent="0.25">
      <c r="A478" s="94">
        <v>476</v>
      </c>
      <c r="B478" s="94" t="s">
        <v>560</v>
      </c>
      <c r="C478" s="94" t="s">
        <v>715</v>
      </c>
      <c r="D478" s="94" t="s">
        <v>561</v>
      </c>
      <c r="E478" s="94" t="s">
        <v>558</v>
      </c>
      <c r="F478" s="94" t="s">
        <v>94</v>
      </c>
      <c r="G478" s="94">
        <v>2023</v>
      </c>
      <c r="H478" s="94">
        <v>-1</v>
      </c>
      <c r="I478" s="95"/>
      <c r="J478" s="96"/>
      <c r="K478" s="94">
        <v>1</v>
      </c>
      <c r="L478" s="117">
        <v>45009</v>
      </c>
      <c r="M478" s="94">
        <v>2</v>
      </c>
      <c r="N478" s="97">
        <v>46805</v>
      </c>
      <c r="O478" s="126" t="s">
        <v>255</v>
      </c>
      <c r="P478" s="127">
        <v>45092</v>
      </c>
      <c r="Q478" s="94">
        <v>1</v>
      </c>
      <c r="R478" s="97">
        <v>46805</v>
      </c>
      <c r="S478" s="94">
        <v>1</v>
      </c>
      <c r="T478" s="128">
        <v>45092</v>
      </c>
      <c r="U478" s="97">
        <v>46805</v>
      </c>
      <c r="V478" s="94" t="s">
        <v>562</v>
      </c>
    </row>
    <row r="479" spans="1:22" ht="12" hidden="1" x14ac:dyDescent="0.25">
      <c r="A479" s="94">
        <v>477</v>
      </c>
      <c r="B479" s="94" t="s">
        <v>560</v>
      </c>
      <c r="C479" s="94" t="s">
        <v>715</v>
      </c>
      <c r="D479" s="94" t="s">
        <v>561</v>
      </c>
      <c r="E479" s="94" t="s">
        <v>558</v>
      </c>
      <c r="F479" s="94" t="s">
        <v>94</v>
      </c>
      <c r="G479" s="94">
        <v>2023</v>
      </c>
      <c r="H479" s="94">
        <v>-1</v>
      </c>
      <c r="I479" s="95"/>
      <c r="J479" s="96"/>
      <c r="K479" s="94">
        <v>1</v>
      </c>
      <c r="L479" s="117">
        <v>45009</v>
      </c>
      <c r="M479" s="94">
        <v>3</v>
      </c>
      <c r="N479" s="97">
        <v>46805</v>
      </c>
      <c r="O479" s="126" t="s">
        <v>255</v>
      </c>
      <c r="P479" s="127">
        <v>45187</v>
      </c>
      <c r="Q479" s="94">
        <v>1</v>
      </c>
      <c r="R479" s="97">
        <v>46805</v>
      </c>
      <c r="S479" s="94">
        <v>1</v>
      </c>
      <c r="T479" s="128">
        <v>45187</v>
      </c>
      <c r="U479" s="97">
        <v>46805</v>
      </c>
    </row>
    <row r="480" spans="1:22" ht="12" hidden="1" x14ac:dyDescent="0.25">
      <c r="A480" s="94">
        <v>478</v>
      </c>
      <c r="B480" s="94" t="s">
        <v>560</v>
      </c>
      <c r="C480" s="94" t="s">
        <v>715</v>
      </c>
      <c r="D480" s="94" t="s">
        <v>561</v>
      </c>
      <c r="E480" s="94" t="s">
        <v>558</v>
      </c>
      <c r="F480" s="94" t="s">
        <v>94</v>
      </c>
      <c r="G480" s="94">
        <v>2023</v>
      </c>
      <c r="H480" s="94">
        <v>-1</v>
      </c>
      <c r="I480" s="95"/>
      <c r="J480" s="96"/>
      <c r="K480" s="94">
        <v>1</v>
      </c>
      <c r="L480" s="117">
        <v>45128</v>
      </c>
      <c r="M480" s="94">
        <v>4</v>
      </c>
      <c r="N480" s="97">
        <v>29854</v>
      </c>
      <c r="O480" s="140" t="s">
        <v>255</v>
      </c>
      <c r="P480" s="127">
        <v>45128</v>
      </c>
      <c r="Q480" s="94">
        <v>1</v>
      </c>
      <c r="R480" s="97">
        <v>29854</v>
      </c>
      <c r="S480" s="94">
        <v>1</v>
      </c>
      <c r="T480" s="128">
        <v>45169</v>
      </c>
      <c r="U480" s="97">
        <v>29854</v>
      </c>
      <c r="V480" s="94" t="s">
        <v>563</v>
      </c>
    </row>
    <row r="481" spans="1:22" ht="12" hidden="1" x14ac:dyDescent="0.25">
      <c r="A481" s="94">
        <v>479</v>
      </c>
      <c r="B481" s="94" t="s">
        <v>560</v>
      </c>
      <c r="C481" s="94" t="s">
        <v>715</v>
      </c>
      <c r="D481" s="94" t="s">
        <v>561</v>
      </c>
      <c r="E481" s="94" t="s">
        <v>558</v>
      </c>
      <c r="F481" s="94" t="s">
        <v>94</v>
      </c>
      <c r="G481" s="94">
        <v>2023</v>
      </c>
      <c r="H481" s="94">
        <v>-1</v>
      </c>
      <c r="I481" s="95"/>
      <c r="J481" s="96"/>
      <c r="K481" s="94">
        <v>1</v>
      </c>
      <c r="L481" s="117">
        <v>45159</v>
      </c>
      <c r="M481" s="94">
        <v>5</v>
      </c>
      <c r="N481" s="97">
        <v>29854</v>
      </c>
      <c r="O481" s="140" t="s">
        <v>255</v>
      </c>
      <c r="P481" s="127">
        <v>45289</v>
      </c>
      <c r="Q481" s="94">
        <v>1</v>
      </c>
      <c r="R481" s="137">
        <v>29854</v>
      </c>
      <c r="S481" s="94">
        <v>1</v>
      </c>
      <c r="T481" s="128">
        <v>45289</v>
      </c>
      <c r="U481" s="142">
        <v>29854</v>
      </c>
      <c r="V481" s="94" t="s">
        <v>564</v>
      </c>
    </row>
    <row r="482" spans="1:22" ht="12" hidden="1" x14ac:dyDescent="0.25">
      <c r="A482" s="94">
        <v>480</v>
      </c>
      <c r="B482" s="94" t="s">
        <v>85</v>
      </c>
      <c r="C482" s="94" t="s">
        <v>86</v>
      </c>
      <c r="D482" s="94" t="s">
        <v>86</v>
      </c>
      <c r="E482" s="94" t="s">
        <v>565</v>
      </c>
      <c r="F482" s="94" t="s">
        <v>70</v>
      </c>
      <c r="G482" s="94">
        <v>2025</v>
      </c>
      <c r="H482" s="94">
        <v>-1</v>
      </c>
      <c r="I482" s="95"/>
      <c r="J482" s="96"/>
      <c r="K482" s="94">
        <v>1</v>
      </c>
      <c r="L482" s="117">
        <v>45747</v>
      </c>
      <c r="M482" s="94">
        <v>1</v>
      </c>
      <c r="N482" s="97">
        <v>59500</v>
      </c>
      <c r="O482" s="140" t="s">
        <v>566</v>
      </c>
      <c r="P482" s="127">
        <v>45751</v>
      </c>
      <c r="Q482" s="94">
        <v>1</v>
      </c>
      <c r="R482" s="137">
        <v>110077</v>
      </c>
      <c r="S482" s="94">
        <v>1</v>
      </c>
      <c r="T482" s="128">
        <v>45755</v>
      </c>
      <c r="U482" s="96">
        <v>110077</v>
      </c>
    </row>
    <row r="483" spans="1:22" ht="12" hidden="1" x14ac:dyDescent="0.25">
      <c r="A483" s="94">
        <v>481</v>
      </c>
      <c r="B483" s="94" t="s">
        <v>85</v>
      </c>
      <c r="C483" s="94" t="s">
        <v>86</v>
      </c>
      <c r="D483" s="94" t="s">
        <v>86</v>
      </c>
      <c r="E483" s="94" t="s">
        <v>565</v>
      </c>
      <c r="F483" s="94" t="s">
        <v>70</v>
      </c>
      <c r="G483" s="94">
        <v>2025</v>
      </c>
      <c r="H483" s="94">
        <v>-1</v>
      </c>
      <c r="I483" s="95"/>
      <c r="J483" s="96"/>
      <c r="K483" s="94">
        <v>1</v>
      </c>
      <c r="L483" s="95">
        <v>45776</v>
      </c>
      <c r="M483" s="94">
        <v>2</v>
      </c>
      <c r="N483" s="97">
        <v>60000</v>
      </c>
      <c r="O483" s="126" t="s">
        <v>567</v>
      </c>
      <c r="P483" s="127">
        <v>45791</v>
      </c>
      <c r="Q483" s="94">
        <v>1</v>
      </c>
      <c r="R483" s="97">
        <v>110077</v>
      </c>
      <c r="S483" s="94">
        <v>1</v>
      </c>
      <c r="T483" s="128">
        <v>45826</v>
      </c>
      <c r="U483" s="97">
        <v>110077</v>
      </c>
    </row>
    <row r="484" spans="1:22" ht="12" hidden="1" x14ac:dyDescent="0.25">
      <c r="A484" s="94">
        <v>482</v>
      </c>
      <c r="B484" s="94" t="s">
        <v>85</v>
      </c>
      <c r="C484" s="94" t="s">
        <v>86</v>
      </c>
      <c r="D484" s="94" t="s">
        <v>86</v>
      </c>
      <c r="E484" s="94" t="s">
        <v>565</v>
      </c>
      <c r="F484" s="94" t="s">
        <v>70</v>
      </c>
      <c r="G484" s="94">
        <v>2025</v>
      </c>
      <c r="H484" s="94">
        <v>-1</v>
      </c>
      <c r="I484" s="95"/>
      <c r="J484" s="96"/>
      <c r="K484" s="94">
        <v>-1</v>
      </c>
      <c r="L484" s="95"/>
      <c r="M484" s="94"/>
      <c r="O484" s="126" t="s">
        <v>568</v>
      </c>
      <c r="P484" s="127">
        <v>45838</v>
      </c>
      <c r="Q484" s="94">
        <v>1</v>
      </c>
      <c r="R484" s="97">
        <v>52800</v>
      </c>
      <c r="S484" s="94">
        <v>1</v>
      </c>
      <c r="T484" s="127">
        <v>45840</v>
      </c>
      <c r="U484" s="97">
        <v>52800</v>
      </c>
    </row>
    <row r="485" spans="1:22" ht="12" hidden="1" x14ac:dyDescent="0.25">
      <c r="A485" s="94">
        <v>483</v>
      </c>
      <c r="B485" s="94" t="s">
        <v>85</v>
      </c>
      <c r="C485" s="94" t="s">
        <v>86</v>
      </c>
      <c r="D485" s="94" t="s">
        <v>86</v>
      </c>
      <c r="E485" s="94" t="s">
        <v>565</v>
      </c>
      <c r="F485" s="94" t="s">
        <v>70</v>
      </c>
      <c r="G485" s="94">
        <v>2025</v>
      </c>
      <c r="H485" s="94">
        <v>-1</v>
      </c>
      <c r="I485" s="95"/>
      <c r="J485" s="96"/>
      <c r="K485" s="94">
        <v>-1</v>
      </c>
      <c r="L485" s="95"/>
      <c r="M485" s="94"/>
      <c r="O485" s="126" t="s">
        <v>569</v>
      </c>
      <c r="P485" s="127">
        <v>45838</v>
      </c>
      <c r="Q485" s="94">
        <v>1</v>
      </c>
      <c r="R485" s="97">
        <v>26382</v>
      </c>
      <c r="S485" s="94">
        <v>1</v>
      </c>
      <c r="T485" s="128">
        <v>45876</v>
      </c>
      <c r="U485" s="97">
        <v>26382</v>
      </c>
    </row>
    <row r="486" spans="1:22" ht="12" hidden="1" x14ac:dyDescent="0.25">
      <c r="A486" s="94">
        <v>484</v>
      </c>
      <c r="B486" s="94" t="s">
        <v>85</v>
      </c>
      <c r="C486" s="94" t="s">
        <v>86</v>
      </c>
      <c r="D486" s="94" t="s">
        <v>86</v>
      </c>
      <c r="E486" s="94" t="s">
        <v>565</v>
      </c>
      <c r="F486" s="94" t="s">
        <v>70</v>
      </c>
      <c r="G486" s="94">
        <v>2025</v>
      </c>
      <c r="H486" s="94">
        <v>-1</v>
      </c>
      <c r="I486" s="95"/>
      <c r="J486" s="96"/>
      <c r="K486" s="94">
        <v>-1</v>
      </c>
      <c r="L486" s="95"/>
      <c r="M486" s="94"/>
      <c r="O486" s="126" t="s">
        <v>570</v>
      </c>
      <c r="P486" s="127">
        <v>45876</v>
      </c>
      <c r="Q486" s="94">
        <v>1</v>
      </c>
      <c r="R486" s="97">
        <v>41183</v>
      </c>
      <c r="S486" s="94">
        <v>1</v>
      </c>
      <c r="T486" s="128">
        <v>45887</v>
      </c>
      <c r="U486" s="97">
        <v>41183</v>
      </c>
    </row>
    <row r="487" spans="1:22" ht="12" hidden="1" x14ac:dyDescent="0.25">
      <c r="A487" s="94">
        <v>485</v>
      </c>
      <c r="B487" s="94" t="s">
        <v>571</v>
      </c>
      <c r="C487" s="94" t="s">
        <v>740</v>
      </c>
      <c r="D487" s="94" t="s">
        <v>572</v>
      </c>
      <c r="E487" s="94" t="s">
        <v>558</v>
      </c>
      <c r="F487" s="94" t="s">
        <v>94</v>
      </c>
      <c r="G487" s="94">
        <v>2023</v>
      </c>
      <c r="H487" s="94">
        <v>-1</v>
      </c>
      <c r="I487" s="95"/>
      <c r="J487" s="96"/>
      <c r="K487" s="94">
        <v>1</v>
      </c>
      <c r="L487" s="95">
        <v>45009</v>
      </c>
      <c r="M487" s="94">
        <v>1</v>
      </c>
      <c r="N487" s="97">
        <v>42832</v>
      </c>
      <c r="O487" s="126" t="s">
        <v>255</v>
      </c>
      <c r="P487" s="127">
        <v>45009</v>
      </c>
      <c r="Q487" s="94">
        <v>1</v>
      </c>
      <c r="R487" s="97">
        <v>42832</v>
      </c>
      <c r="S487" s="94">
        <v>1</v>
      </c>
      <c r="T487" s="128">
        <v>45134</v>
      </c>
      <c r="U487" s="97">
        <v>42832</v>
      </c>
      <c r="V487" s="94" t="s">
        <v>559</v>
      </c>
    </row>
    <row r="488" spans="1:22" ht="12" hidden="1" x14ac:dyDescent="0.25">
      <c r="A488" s="94">
        <v>486</v>
      </c>
      <c r="B488" s="94" t="s">
        <v>571</v>
      </c>
      <c r="C488" s="94" t="s">
        <v>740</v>
      </c>
      <c r="D488" s="94" t="s">
        <v>572</v>
      </c>
      <c r="E488" s="94" t="s">
        <v>558</v>
      </c>
      <c r="F488" s="94" t="s">
        <v>94</v>
      </c>
      <c r="G488" s="94">
        <v>2023</v>
      </c>
      <c r="H488" s="94">
        <v>-1</v>
      </c>
      <c r="I488" s="95"/>
      <c r="J488" s="96"/>
      <c r="K488" s="94">
        <v>1</v>
      </c>
      <c r="L488" s="95">
        <v>45067</v>
      </c>
      <c r="M488" s="94">
        <v>2</v>
      </c>
      <c r="N488" s="97">
        <v>24055</v>
      </c>
      <c r="O488" s="126" t="s">
        <v>255</v>
      </c>
      <c r="P488" s="127">
        <v>45067</v>
      </c>
      <c r="Q488" s="94">
        <v>1</v>
      </c>
      <c r="R488" s="97">
        <v>24055</v>
      </c>
      <c r="S488" s="94">
        <v>1</v>
      </c>
      <c r="T488" s="128">
        <v>45134</v>
      </c>
      <c r="U488" s="97">
        <v>24055</v>
      </c>
      <c r="V488" s="94" t="s">
        <v>559</v>
      </c>
    </row>
    <row r="489" spans="1:22" ht="12" hidden="1" x14ac:dyDescent="0.25">
      <c r="A489" s="94">
        <v>487</v>
      </c>
      <c r="B489" s="94" t="s">
        <v>571</v>
      </c>
      <c r="C489" s="94" t="s">
        <v>740</v>
      </c>
      <c r="D489" s="94" t="s">
        <v>572</v>
      </c>
      <c r="E489" s="94" t="s">
        <v>558</v>
      </c>
      <c r="F489" s="94" t="s">
        <v>94</v>
      </c>
      <c r="G489" s="94">
        <v>2023</v>
      </c>
      <c r="H489" s="94">
        <v>-1</v>
      </c>
      <c r="I489" s="95"/>
      <c r="J489" s="96"/>
      <c r="K489" s="94">
        <v>1</v>
      </c>
      <c r="L489" s="95">
        <v>45098</v>
      </c>
      <c r="M489" s="94">
        <v>3</v>
      </c>
      <c r="N489" s="97">
        <v>57086</v>
      </c>
      <c r="O489" s="126" t="s">
        <v>255</v>
      </c>
      <c r="P489" s="127">
        <v>45098</v>
      </c>
      <c r="Q489" s="94">
        <v>1</v>
      </c>
      <c r="R489" s="97">
        <v>57086</v>
      </c>
      <c r="S489" s="94">
        <v>1</v>
      </c>
      <c r="T489" s="128">
        <v>45168</v>
      </c>
      <c r="U489" s="97">
        <v>57086</v>
      </c>
      <c r="V489" s="94" t="s">
        <v>559</v>
      </c>
    </row>
    <row r="490" spans="1:22" ht="12" hidden="1" x14ac:dyDescent="0.25">
      <c r="A490" s="94">
        <v>488</v>
      </c>
      <c r="B490" s="94" t="s">
        <v>573</v>
      </c>
      <c r="C490" s="94" t="s">
        <v>741</v>
      </c>
      <c r="D490" s="94" t="s">
        <v>574</v>
      </c>
      <c r="E490" s="94" t="s">
        <v>281</v>
      </c>
      <c r="F490" s="94" t="s">
        <v>18</v>
      </c>
      <c r="G490" s="94">
        <v>2023</v>
      </c>
      <c r="H490" s="94">
        <v>-1</v>
      </c>
      <c r="I490" s="95"/>
      <c r="J490" s="96"/>
      <c r="K490" s="94">
        <v>1</v>
      </c>
      <c r="L490" s="95">
        <v>44916</v>
      </c>
      <c r="M490" s="94">
        <v>2</v>
      </c>
      <c r="N490" s="97">
        <v>101539.27374999999</v>
      </c>
      <c r="O490" s="126">
        <v>43</v>
      </c>
      <c r="P490" s="127">
        <v>44944</v>
      </c>
      <c r="Q490" s="94">
        <v>1</v>
      </c>
      <c r="R490" s="97">
        <v>101539.27374999999</v>
      </c>
      <c r="S490" s="94">
        <v>1</v>
      </c>
      <c r="T490" s="127">
        <v>44953</v>
      </c>
      <c r="U490" s="97">
        <v>101539.27</v>
      </c>
    </row>
    <row r="491" spans="1:22" ht="12" hidden="1" x14ac:dyDescent="0.25">
      <c r="A491" s="94">
        <v>489</v>
      </c>
      <c r="B491" s="94" t="s">
        <v>573</v>
      </c>
      <c r="C491" s="94" t="s">
        <v>741</v>
      </c>
      <c r="D491" s="94" t="s">
        <v>574</v>
      </c>
      <c r="E491" s="94" t="s">
        <v>281</v>
      </c>
      <c r="F491" s="94" t="s">
        <v>18</v>
      </c>
      <c r="G491" s="94">
        <v>2023</v>
      </c>
      <c r="H491" s="94">
        <v>-1</v>
      </c>
      <c r="I491" s="95"/>
      <c r="J491" s="96"/>
      <c r="K491" s="94">
        <v>1</v>
      </c>
      <c r="L491" s="95">
        <v>44978</v>
      </c>
      <c r="M491" s="94">
        <v>3</v>
      </c>
      <c r="N491" s="97">
        <v>44245.945</v>
      </c>
      <c r="O491" s="126">
        <v>53</v>
      </c>
      <c r="P491" s="127">
        <v>44991</v>
      </c>
      <c r="Q491" s="94">
        <v>1</v>
      </c>
      <c r="R491" s="97">
        <v>44245.945</v>
      </c>
      <c r="S491" s="94">
        <v>1</v>
      </c>
      <c r="T491" s="128">
        <v>44995</v>
      </c>
      <c r="U491" s="97">
        <v>44245.945</v>
      </c>
    </row>
    <row r="492" spans="1:22" ht="12" hidden="1" x14ac:dyDescent="0.25">
      <c r="A492" s="94">
        <v>490</v>
      </c>
      <c r="B492" s="94" t="s">
        <v>573</v>
      </c>
      <c r="C492" s="94" t="s">
        <v>741</v>
      </c>
      <c r="D492" s="94" t="s">
        <v>574</v>
      </c>
      <c r="E492" s="94" t="s">
        <v>281</v>
      </c>
      <c r="F492" s="94" t="s">
        <v>18</v>
      </c>
      <c r="G492" s="94">
        <v>2023</v>
      </c>
      <c r="H492" s="94">
        <v>-1</v>
      </c>
      <c r="I492" s="95"/>
      <c r="J492" s="96"/>
      <c r="K492" s="94">
        <v>1</v>
      </c>
      <c r="L492" s="95">
        <v>44978</v>
      </c>
      <c r="M492" s="94">
        <v>4</v>
      </c>
      <c r="N492" s="97">
        <v>51627.707499999997</v>
      </c>
      <c r="O492" s="126">
        <v>58</v>
      </c>
      <c r="P492" s="127">
        <v>45013</v>
      </c>
      <c r="Q492" s="94">
        <v>1</v>
      </c>
      <c r="R492" s="97">
        <v>51627.707499999997</v>
      </c>
      <c r="S492" s="94">
        <v>1</v>
      </c>
      <c r="T492" s="128">
        <v>45022</v>
      </c>
      <c r="U492" s="97">
        <v>51627.707499999997</v>
      </c>
    </row>
    <row r="493" spans="1:22" ht="12" hidden="1" x14ac:dyDescent="0.25">
      <c r="A493" s="94">
        <v>491</v>
      </c>
      <c r="B493" s="94" t="s">
        <v>573</v>
      </c>
      <c r="C493" s="94" t="s">
        <v>741</v>
      </c>
      <c r="D493" s="94" t="s">
        <v>574</v>
      </c>
      <c r="E493" s="94" t="s">
        <v>281</v>
      </c>
      <c r="F493" s="94" t="s">
        <v>18</v>
      </c>
      <c r="G493" s="94">
        <v>2023</v>
      </c>
      <c r="H493" s="94">
        <v>-1</v>
      </c>
      <c r="I493" s="95"/>
      <c r="J493" s="96"/>
      <c r="K493" s="94">
        <v>1</v>
      </c>
      <c r="L493" s="95">
        <v>45006</v>
      </c>
      <c r="M493" s="94">
        <v>5</v>
      </c>
      <c r="N493" s="97">
        <v>30102.715</v>
      </c>
      <c r="O493" s="126">
        <v>64</v>
      </c>
      <c r="P493" s="127">
        <v>45030</v>
      </c>
      <c r="Q493" s="94">
        <v>1</v>
      </c>
      <c r="R493" s="97">
        <v>30102.715</v>
      </c>
      <c r="S493" s="94">
        <v>1</v>
      </c>
      <c r="T493" s="128">
        <v>45037</v>
      </c>
      <c r="U493" s="97">
        <v>30102.715</v>
      </c>
    </row>
    <row r="494" spans="1:22" ht="12" hidden="1" x14ac:dyDescent="0.25">
      <c r="A494" s="94">
        <v>492</v>
      </c>
      <c r="B494" s="94" t="s">
        <v>573</v>
      </c>
      <c r="C494" s="94" t="s">
        <v>741</v>
      </c>
      <c r="D494" s="94" t="s">
        <v>574</v>
      </c>
      <c r="E494" s="94" t="s">
        <v>281</v>
      </c>
      <c r="F494" s="94" t="s">
        <v>18</v>
      </c>
      <c r="G494" s="94">
        <v>2023</v>
      </c>
      <c r="H494" s="94">
        <v>-1</v>
      </c>
      <c r="I494" s="95"/>
      <c r="J494" s="96"/>
      <c r="K494" s="94">
        <v>1</v>
      </c>
      <c r="L494" s="95">
        <v>45037</v>
      </c>
      <c r="M494" s="94">
        <v>6</v>
      </c>
      <c r="N494" s="96">
        <v>47249</v>
      </c>
      <c r="O494" s="160">
        <v>82</v>
      </c>
      <c r="P494" s="127">
        <v>45090</v>
      </c>
      <c r="Q494" s="94">
        <v>1</v>
      </c>
      <c r="R494" s="97">
        <v>47227</v>
      </c>
      <c r="S494" s="94">
        <v>1</v>
      </c>
      <c r="T494" s="128">
        <v>45093</v>
      </c>
      <c r="U494" s="97">
        <v>46950.23</v>
      </c>
      <c r="V494" s="114"/>
    </row>
    <row r="495" spans="1:22" ht="12" hidden="1" x14ac:dyDescent="0.25">
      <c r="A495" s="94">
        <v>493</v>
      </c>
      <c r="B495" s="94" t="s">
        <v>573</v>
      </c>
      <c r="C495" s="94" t="s">
        <v>741</v>
      </c>
      <c r="D495" s="94" t="s">
        <v>574</v>
      </c>
      <c r="E495" s="94" t="s">
        <v>281</v>
      </c>
      <c r="F495" s="94" t="s">
        <v>18</v>
      </c>
      <c r="G495" s="94">
        <v>2023</v>
      </c>
      <c r="H495" s="94">
        <v>-1</v>
      </c>
      <c r="I495" s="95"/>
      <c r="J495" s="96"/>
      <c r="K495" s="94">
        <v>1</v>
      </c>
      <c r="L495" s="95">
        <v>45098</v>
      </c>
      <c r="M495" s="112">
        <v>7</v>
      </c>
      <c r="N495" s="96">
        <v>8632.2900000000009</v>
      </c>
      <c r="O495" s="161">
        <v>83</v>
      </c>
      <c r="P495" s="127">
        <v>45096</v>
      </c>
      <c r="Q495" s="94">
        <v>1</v>
      </c>
      <c r="R495" s="97">
        <v>8548.0499999999993</v>
      </c>
      <c r="S495" s="94">
        <v>1</v>
      </c>
      <c r="T495" s="128">
        <v>45100</v>
      </c>
      <c r="U495" s="97">
        <v>8548.0499999999993</v>
      </c>
      <c r="V495" s="114"/>
    </row>
    <row r="496" spans="1:22" ht="12" hidden="1" x14ac:dyDescent="0.25">
      <c r="A496" s="94">
        <v>494</v>
      </c>
      <c r="B496" s="94" t="s">
        <v>573</v>
      </c>
      <c r="C496" s="94" t="s">
        <v>741</v>
      </c>
      <c r="D496" s="94" t="s">
        <v>574</v>
      </c>
      <c r="E496" s="94" t="s">
        <v>281</v>
      </c>
      <c r="F496" s="94" t="s">
        <v>18</v>
      </c>
      <c r="G496" s="94">
        <v>2023</v>
      </c>
      <c r="H496" s="94">
        <v>-1</v>
      </c>
      <c r="I496" s="95"/>
      <c r="J496" s="96"/>
      <c r="K496" s="94">
        <v>1</v>
      </c>
      <c r="L496" s="95">
        <v>45098</v>
      </c>
      <c r="M496" s="94">
        <v>8</v>
      </c>
      <c r="N496" s="97">
        <v>44744.56</v>
      </c>
      <c r="O496" s="160">
        <v>90</v>
      </c>
      <c r="P496" s="127">
        <v>45117</v>
      </c>
      <c r="Q496" s="94">
        <v>1</v>
      </c>
      <c r="R496" s="97">
        <v>44745</v>
      </c>
      <c r="S496" s="94">
        <v>1</v>
      </c>
      <c r="T496" s="128">
        <v>45121</v>
      </c>
      <c r="U496" s="97">
        <v>44745</v>
      </c>
      <c r="V496" s="114"/>
    </row>
    <row r="497" spans="1:22" ht="12" hidden="1" x14ac:dyDescent="0.25">
      <c r="A497" s="94">
        <v>495</v>
      </c>
      <c r="B497" s="94" t="s">
        <v>573</v>
      </c>
      <c r="C497" s="94" t="s">
        <v>741</v>
      </c>
      <c r="D497" s="94" t="s">
        <v>574</v>
      </c>
      <c r="E497" s="94" t="s">
        <v>281</v>
      </c>
      <c r="F497" s="94" t="s">
        <v>18</v>
      </c>
      <c r="G497" s="94">
        <v>2023</v>
      </c>
      <c r="H497" s="94">
        <v>-1</v>
      </c>
      <c r="I497" s="95"/>
      <c r="J497" s="142"/>
      <c r="K497" s="94">
        <v>1</v>
      </c>
      <c r="L497" s="95">
        <v>45128</v>
      </c>
      <c r="M497" s="94">
        <v>9</v>
      </c>
      <c r="N497" s="97">
        <v>10549.27</v>
      </c>
      <c r="O497" s="126">
        <v>97</v>
      </c>
      <c r="P497" s="127">
        <v>45141</v>
      </c>
      <c r="Q497" s="94">
        <v>1</v>
      </c>
      <c r="R497" s="97">
        <v>10549</v>
      </c>
      <c r="S497" s="94">
        <v>1</v>
      </c>
      <c r="T497" s="127">
        <v>45149</v>
      </c>
      <c r="U497" s="150">
        <v>10549</v>
      </c>
      <c r="V497" s="148"/>
    </row>
    <row r="498" spans="1:22" ht="12" hidden="1" x14ac:dyDescent="0.25">
      <c r="A498" s="94">
        <v>496</v>
      </c>
      <c r="B498" s="94" t="s">
        <v>87</v>
      </c>
      <c r="C498" s="94" t="s">
        <v>88</v>
      </c>
      <c r="D498" s="94" t="s">
        <v>88</v>
      </c>
      <c r="E498" s="94" t="s">
        <v>742</v>
      </c>
      <c r="F498" s="94" t="s">
        <v>70</v>
      </c>
      <c r="G498" s="94">
        <v>2023</v>
      </c>
      <c r="H498" s="94">
        <v>1</v>
      </c>
      <c r="I498" s="95">
        <v>45200</v>
      </c>
      <c r="J498" s="142">
        <v>91270</v>
      </c>
      <c r="K498" s="94">
        <v>1</v>
      </c>
      <c r="L498" s="95">
        <v>45253</v>
      </c>
      <c r="M498" s="94">
        <v>1</v>
      </c>
      <c r="N498" s="97">
        <v>91731.278397791742</v>
      </c>
      <c r="O498" s="126" t="s">
        <v>575</v>
      </c>
      <c r="P498" s="127">
        <v>45259</v>
      </c>
      <c r="Q498" s="94">
        <v>1</v>
      </c>
      <c r="R498" s="97">
        <v>91731.278397791742</v>
      </c>
      <c r="S498" s="94">
        <v>1</v>
      </c>
      <c r="T498" s="138">
        <v>45289</v>
      </c>
      <c r="U498" s="97">
        <v>91731.278397791742</v>
      </c>
      <c r="V498" s="114" t="s">
        <v>576</v>
      </c>
    </row>
    <row r="499" spans="1:22" ht="12" hidden="1" x14ac:dyDescent="0.25">
      <c r="A499" s="94">
        <v>497</v>
      </c>
      <c r="B499" s="94" t="s">
        <v>87</v>
      </c>
      <c r="C499" s="94" t="s">
        <v>88</v>
      </c>
      <c r="D499" s="118" t="s">
        <v>88</v>
      </c>
      <c r="E499" s="94" t="s">
        <v>742</v>
      </c>
      <c r="F499" s="94" t="s">
        <v>70</v>
      </c>
      <c r="G499" s="94">
        <v>2023</v>
      </c>
      <c r="H499" s="94">
        <v>1</v>
      </c>
      <c r="I499" s="95">
        <v>45231</v>
      </c>
      <c r="J499" s="96">
        <v>82558.17</v>
      </c>
      <c r="K499" s="94">
        <v>1</v>
      </c>
      <c r="L499" s="95">
        <v>45257</v>
      </c>
      <c r="M499" s="94">
        <v>2</v>
      </c>
      <c r="N499" s="97">
        <v>100441</v>
      </c>
      <c r="O499" s="126" t="s">
        <v>577</v>
      </c>
      <c r="P499" s="127">
        <v>45282</v>
      </c>
      <c r="Q499" s="94">
        <v>1</v>
      </c>
      <c r="R499" s="97">
        <v>100441</v>
      </c>
      <c r="S499" s="94">
        <v>1</v>
      </c>
      <c r="T499" s="128">
        <v>45296</v>
      </c>
      <c r="U499" s="136">
        <v>100441</v>
      </c>
      <c r="V499" s="114"/>
    </row>
    <row r="500" spans="1:22" ht="12" hidden="1" x14ac:dyDescent="0.25">
      <c r="A500" s="94">
        <v>498</v>
      </c>
      <c r="B500" s="94" t="s">
        <v>87</v>
      </c>
      <c r="C500" s="94" t="s">
        <v>88</v>
      </c>
      <c r="D500" s="94" t="s">
        <v>88</v>
      </c>
      <c r="E500" s="94" t="s">
        <v>742</v>
      </c>
      <c r="F500" s="94" t="s">
        <v>70</v>
      </c>
      <c r="G500" s="94">
        <v>2023</v>
      </c>
      <c r="H500" s="94">
        <v>1</v>
      </c>
      <c r="I500" s="95">
        <v>45261</v>
      </c>
      <c r="J500" s="142">
        <v>137777</v>
      </c>
      <c r="K500" s="94">
        <v>1</v>
      </c>
      <c r="L500" s="95">
        <v>45289</v>
      </c>
      <c r="M500" s="94">
        <v>3</v>
      </c>
      <c r="N500" s="97">
        <v>29776</v>
      </c>
      <c r="O500" s="126" t="s">
        <v>578</v>
      </c>
      <c r="P500" s="127">
        <v>45301</v>
      </c>
      <c r="Q500" s="94">
        <v>1</v>
      </c>
      <c r="R500" s="97">
        <v>29776</v>
      </c>
      <c r="S500" s="94">
        <v>1</v>
      </c>
      <c r="T500" s="128">
        <v>45350</v>
      </c>
      <c r="U500" s="97">
        <v>29776</v>
      </c>
      <c r="V500" s="114"/>
    </row>
    <row r="501" spans="1:22" ht="12" hidden="1" x14ac:dyDescent="0.25">
      <c r="A501" s="94">
        <v>499</v>
      </c>
      <c r="B501" s="94" t="s">
        <v>87</v>
      </c>
      <c r="C501" s="94" t="s">
        <v>88</v>
      </c>
      <c r="D501" s="94" t="s">
        <v>88</v>
      </c>
      <c r="E501" s="94" t="s">
        <v>742</v>
      </c>
      <c r="F501" s="94" t="s">
        <v>70</v>
      </c>
      <c r="G501" s="94">
        <v>2024</v>
      </c>
      <c r="H501" s="94">
        <v>1</v>
      </c>
      <c r="I501" s="95">
        <v>45292</v>
      </c>
      <c r="J501" s="96">
        <v>60000</v>
      </c>
      <c r="K501" s="94">
        <v>1</v>
      </c>
      <c r="L501" s="95">
        <v>45316</v>
      </c>
      <c r="M501" s="94">
        <v>4</v>
      </c>
      <c r="N501" s="96">
        <v>70005</v>
      </c>
      <c r="O501" s="126" t="s">
        <v>579</v>
      </c>
      <c r="P501" s="127">
        <v>45334</v>
      </c>
      <c r="Q501" s="94">
        <v>1</v>
      </c>
      <c r="R501" s="97">
        <v>70005</v>
      </c>
      <c r="S501" s="94">
        <v>1</v>
      </c>
      <c r="T501" s="128">
        <v>45372</v>
      </c>
      <c r="U501" s="97">
        <v>70005</v>
      </c>
      <c r="V501" s="114" t="s">
        <v>278</v>
      </c>
    </row>
    <row r="502" spans="1:22" ht="12" hidden="1" x14ac:dyDescent="0.25">
      <c r="A502" s="94">
        <v>500</v>
      </c>
      <c r="B502" s="94" t="s">
        <v>87</v>
      </c>
      <c r="C502" s="94" t="s">
        <v>88</v>
      </c>
      <c r="D502" s="94" t="s">
        <v>88</v>
      </c>
      <c r="E502" s="94" t="s">
        <v>742</v>
      </c>
      <c r="F502" s="94" t="s">
        <v>70</v>
      </c>
      <c r="G502" s="94">
        <v>2024</v>
      </c>
      <c r="H502" s="94">
        <v>1</v>
      </c>
      <c r="I502" s="95">
        <v>45323</v>
      </c>
      <c r="J502" s="96">
        <v>58000</v>
      </c>
      <c r="K502" s="94">
        <v>1</v>
      </c>
      <c r="L502" s="95">
        <v>45347</v>
      </c>
      <c r="M502" s="120">
        <v>5</v>
      </c>
      <c r="N502" s="96">
        <v>29387</v>
      </c>
      <c r="O502" s="126" t="s">
        <v>580</v>
      </c>
      <c r="P502" s="127">
        <v>45376</v>
      </c>
      <c r="Q502" s="94">
        <v>1</v>
      </c>
      <c r="R502" s="97">
        <v>29387</v>
      </c>
      <c r="S502" s="94">
        <v>1</v>
      </c>
      <c r="T502" s="128">
        <v>45407</v>
      </c>
      <c r="U502" s="97">
        <v>29387</v>
      </c>
      <c r="V502" s="114"/>
    </row>
    <row r="503" spans="1:22" ht="12" hidden="1" x14ac:dyDescent="0.25">
      <c r="A503" s="94">
        <v>501</v>
      </c>
      <c r="B503" s="94" t="s">
        <v>87</v>
      </c>
      <c r="C503" s="94" t="s">
        <v>88</v>
      </c>
      <c r="D503" s="121" t="s">
        <v>88</v>
      </c>
      <c r="E503" s="94" t="s">
        <v>742</v>
      </c>
      <c r="F503" s="94" t="s">
        <v>70</v>
      </c>
      <c r="G503" s="94">
        <v>2024</v>
      </c>
      <c r="H503" s="94">
        <v>1</v>
      </c>
      <c r="I503" s="95">
        <v>45383</v>
      </c>
      <c r="J503" s="96">
        <v>125015</v>
      </c>
      <c r="K503" s="94">
        <v>1</v>
      </c>
      <c r="L503" s="95">
        <v>45405</v>
      </c>
      <c r="M503" s="94">
        <v>6</v>
      </c>
      <c r="N503" s="158">
        <v>50531</v>
      </c>
      <c r="O503" s="126" t="s">
        <v>581</v>
      </c>
      <c r="P503" s="127">
        <v>45414</v>
      </c>
      <c r="Q503" s="94">
        <v>1</v>
      </c>
      <c r="R503" s="97">
        <v>50531</v>
      </c>
      <c r="S503" s="94">
        <v>1</v>
      </c>
      <c r="T503" s="128">
        <v>45434</v>
      </c>
      <c r="U503" s="97">
        <v>50531</v>
      </c>
      <c r="V503" s="114"/>
    </row>
    <row r="504" spans="1:22" ht="12" hidden="1" x14ac:dyDescent="0.25">
      <c r="A504" s="94">
        <v>502</v>
      </c>
      <c r="B504" s="94" t="s">
        <v>87</v>
      </c>
      <c r="C504" s="94" t="s">
        <v>88</v>
      </c>
      <c r="D504" s="94" t="s">
        <v>88</v>
      </c>
      <c r="E504" s="94" t="s">
        <v>742</v>
      </c>
      <c r="F504" s="94" t="s">
        <v>70</v>
      </c>
      <c r="G504" s="94">
        <v>2024</v>
      </c>
      <c r="H504" s="94">
        <v>1</v>
      </c>
      <c r="I504" s="95">
        <v>45413</v>
      </c>
      <c r="J504" s="96">
        <v>61467</v>
      </c>
      <c r="K504" s="94">
        <v>1</v>
      </c>
      <c r="L504" s="95">
        <v>45440</v>
      </c>
      <c r="M504" s="94">
        <v>7</v>
      </c>
      <c r="N504" s="136">
        <v>177527</v>
      </c>
      <c r="O504" s="126" t="s">
        <v>582</v>
      </c>
      <c r="P504" s="127">
        <v>45460</v>
      </c>
      <c r="Q504" s="94">
        <v>1</v>
      </c>
      <c r="R504" s="97">
        <v>177527</v>
      </c>
      <c r="S504" s="94">
        <v>1</v>
      </c>
      <c r="T504" s="128">
        <v>45468</v>
      </c>
      <c r="U504" s="97">
        <v>172201.19</v>
      </c>
      <c r="V504" s="114"/>
    </row>
    <row r="505" spans="1:22" ht="12" hidden="1" x14ac:dyDescent="0.25">
      <c r="A505" s="94">
        <v>503</v>
      </c>
      <c r="B505" s="94" t="s">
        <v>87</v>
      </c>
      <c r="C505" s="94" t="s">
        <v>88</v>
      </c>
      <c r="D505" s="94" t="s">
        <v>88</v>
      </c>
      <c r="E505" s="94" t="s">
        <v>742</v>
      </c>
      <c r="F505" s="94" t="s">
        <v>70</v>
      </c>
      <c r="G505" s="94">
        <v>2024</v>
      </c>
      <c r="H505" s="94">
        <v>1</v>
      </c>
      <c r="I505" s="95">
        <v>45413</v>
      </c>
      <c r="J505" s="96">
        <v>114880.69999999995</v>
      </c>
      <c r="K505" s="94">
        <v>1</v>
      </c>
      <c r="L505" s="95">
        <v>45470</v>
      </c>
      <c r="M505" s="94">
        <v>8</v>
      </c>
      <c r="N505" s="136">
        <v>110053</v>
      </c>
      <c r="O505" s="126" t="s">
        <v>583</v>
      </c>
      <c r="P505" s="127">
        <v>45495</v>
      </c>
      <c r="Q505" s="94">
        <v>1</v>
      </c>
      <c r="R505" s="97">
        <v>110053</v>
      </c>
      <c r="S505" s="94">
        <v>1</v>
      </c>
      <c r="T505" s="128">
        <v>45498</v>
      </c>
      <c r="U505" s="97">
        <v>106751.41</v>
      </c>
      <c r="V505" s="114"/>
    </row>
    <row r="506" spans="1:22" ht="12" hidden="1" x14ac:dyDescent="0.25">
      <c r="A506" s="94">
        <v>504</v>
      </c>
      <c r="B506" s="94" t="s">
        <v>87</v>
      </c>
      <c r="C506" s="94" t="s">
        <v>88</v>
      </c>
      <c r="D506" s="94" t="s">
        <v>88</v>
      </c>
      <c r="E506" s="94" t="s">
        <v>742</v>
      </c>
      <c r="F506" s="94" t="s">
        <v>70</v>
      </c>
      <c r="G506" s="94">
        <v>2024</v>
      </c>
      <c r="H506" s="94">
        <v>-1</v>
      </c>
      <c r="I506" s="95"/>
      <c r="J506" s="96"/>
      <c r="K506" s="94">
        <v>1</v>
      </c>
      <c r="L506" s="95">
        <v>45498</v>
      </c>
      <c r="M506" s="94">
        <v>9</v>
      </c>
      <c r="N506" s="97">
        <v>85235</v>
      </c>
      <c r="O506" s="126" t="s">
        <v>584</v>
      </c>
      <c r="P506" s="127">
        <v>45517</v>
      </c>
      <c r="Q506" s="94">
        <v>1</v>
      </c>
      <c r="R506" s="97">
        <v>85235</v>
      </c>
      <c r="S506" s="94">
        <v>1</v>
      </c>
      <c r="T506" s="128">
        <v>45530</v>
      </c>
      <c r="U506" s="97">
        <v>82677.95</v>
      </c>
      <c r="V506" s="114"/>
    </row>
    <row r="507" spans="1:22" ht="12" hidden="1" x14ac:dyDescent="0.25">
      <c r="A507" s="94">
        <v>505</v>
      </c>
      <c r="B507" s="94" t="s">
        <v>87</v>
      </c>
      <c r="C507" s="94" t="s">
        <v>88</v>
      </c>
      <c r="D507" s="94" t="s">
        <v>88</v>
      </c>
      <c r="E507" s="94" t="s">
        <v>742</v>
      </c>
      <c r="F507" s="94" t="s">
        <v>70</v>
      </c>
      <c r="G507" s="94">
        <v>2024</v>
      </c>
      <c r="H507" s="94">
        <v>-1</v>
      </c>
      <c r="I507" s="95"/>
      <c r="J507" s="96"/>
      <c r="K507" s="94">
        <v>1</v>
      </c>
      <c r="L507" s="117">
        <v>45534</v>
      </c>
      <c r="M507" s="94">
        <v>10</v>
      </c>
      <c r="N507" s="97">
        <v>112468</v>
      </c>
      <c r="O507" s="126" t="s">
        <v>585</v>
      </c>
      <c r="P507" s="127">
        <v>45559</v>
      </c>
      <c r="Q507" s="94">
        <v>1</v>
      </c>
      <c r="R507" s="97">
        <v>112468</v>
      </c>
      <c r="S507" s="94">
        <v>1</v>
      </c>
      <c r="T507" s="128">
        <v>45562</v>
      </c>
      <c r="U507" s="97">
        <v>109093.95999999999</v>
      </c>
    </row>
    <row r="508" spans="1:22" ht="12" hidden="1" x14ac:dyDescent="0.25">
      <c r="A508" s="94">
        <v>506</v>
      </c>
      <c r="B508" s="94" t="s">
        <v>87</v>
      </c>
      <c r="C508" s="94" t="s">
        <v>88</v>
      </c>
      <c r="D508" s="94" t="s">
        <v>88</v>
      </c>
      <c r="E508" s="94" t="s">
        <v>742</v>
      </c>
      <c r="F508" s="94" t="s">
        <v>70</v>
      </c>
      <c r="G508" s="94">
        <v>2024</v>
      </c>
      <c r="H508" s="94">
        <v>-1</v>
      </c>
      <c r="I508" s="95"/>
      <c r="J508" s="96"/>
      <c r="K508" s="94">
        <v>1</v>
      </c>
      <c r="L508" s="117">
        <v>45565</v>
      </c>
      <c r="M508" s="94">
        <v>11</v>
      </c>
      <c r="N508" s="97">
        <v>93254</v>
      </c>
      <c r="O508" s="126" t="s">
        <v>586</v>
      </c>
      <c r="P508" s="127">
        <v>45595</v>
      </c>
      <c r="Q508" s="94">
        <v>1</v>
      </c>
      <c r="R508" s="97">
        <v>92288</v>
      </c>
      <c r="S508" s="94">
        <v>1</v>
      </c>
      <c r="T508" s="128">
        <v>45595</v>
      </c>
      <c r="U508" s="97">
        <v>86948</v>
      </c>
    </row>
    <row r="509" spans="1:22" ht="12" hidden="1" x14ac:dyDescent="0.25">
      <c r="A509" s="94">
        <v>507</v>
      </c>
      <c r="B509" s="94" t="s">
        <v>87</v>
      </c>
      <c r="C509" s="94" t="s">
        <v>88</v>
      </c>
      <c r="D509" s="94" t="s">
        <v>88</v>
      </c>
      <c r="E509" s="94" t="s">
        <v>742</v>
      </c>
      <c r="F509" s="94" t="s">
        <v>70</v>
      </c>
      <c r="G509" s="94">
        <v>2024</v>
      </c>
      <c r="H509" s="94">
        <v>-1</v>
      </c>
      <c r="I509" s="95"/>
      <c r="J509" s="96"/>
      <c r="K509" s="94">
        <v>1</v>
      </c>
      <c r="L509" s="117">
        <v>45596</v>
      </c>
      <c r="M509" s="94">
        <v>12</v>
      </c>
      <c r="N509" s="97">
        <v>67403</v>
      </c>
      <c r="O509" s="126" t="s">
        <v>587</v>
      </c>
      <c r="P509" s="127">
        <v>45615</v>
      </c>
      <c r="Q509" s="94">
        <v>1</v>
      </c>
      <c r="R509" s="97">
        <v>63453</v>
      </c>
      <c r="S509" s="94">
        <v>1</v>
      </c>
      <c r="T509" s="128">
        <v>45645</v>
      </c>
      <c r="U509" s="97">
        <v>62160</v>
      </c>
    </row>
    <row r="510" spans="1:22" ht="12" hidden="1" x14ac:dyDescent="0.25">
      <c r="A510" s="94">
        <v>508</v>
      </c>
      <c r="B510" s="94" t="s">
        <v>87</v>
      </c>
      <c r="C510" s="94" t="s">
        <v>88</v>
      </c>
      <c r="D510" s="94" t="s">
        <v>88</v>
      </c>
      <c r="E510" s="94" t="s">
        <v>742</v>
      </c>
      <c r="F510" s="94" t="s">
        <v>70</v>
      </c>
      <c r="G510" s="94">
        <v>2024</v>
      </c>
      <c r="H510" s="94">
        <v>-1</v>
      </c>
      <c r="I510" s="95"/>
      <c r="J510" s="96"/>
      <c r="K510" s="94">
        <v>1</v>
      </c>
      <c r="L510" s="117">
        <v>45625</v>
      </c>
      <c r="M510" s="94">
        <v>13</v>
      </c>
      <c r="N510" s="97">
        <v>17153</v>
      </c>
      <c r="O510" s="126" t="s">
        <v>588</v>
      </c>
      <c r="P510" s="128">
        <v>45646</v>
      </c>
      <c r="Q510" s="94">
        <v>1</v>
      </c>
      <c r="R510" s="97">
        <v>17153</v>
      </c>
      <c r="S510" s="94">
        <v>1</v>
      </c>
      <c r="T510" s="128">
        <v>45678</v>
      </c>
      <c r="U510" s="97">
        <v>17812</v>
      </c>
    </row>
    <row r="511" spans="1:22" ht="12" hidden="1" x14ac:dyDescent="0.25">
      <c r="A511" s="94">
        <v>509</v>
      </c>
      <c r="B511" s="94" t="s">
        <v>87</v>
      </c>
      <c r="C511" s="94" t="s">
        <v>88</v>
      </c>
      <c r="D511" s="94" t="s">
        <v>88</v>
      </c>
      <c r="E511" s="94" t="s">
        <v>742</v>
      </c>
      <c r="F511" s="94" t="s">
        <v>70</v>
      </c>
      <c r="G511" s="94">
        <v>2024</v>
      </c>
      <c r="H511" s="94">
        <v>-1</v>
      </c>
      <c r="I511" s="95"/>
      <c r="J511" s="96"/>
      <c r="K511" s="94">
        <v>1</v>
      </c>
      <c r="L511" s="117">
        <v>45652</v>
      </c>
      <c r="M511" s="94">
        <v>14</v>
      </c>
      <c r="N511" s="97">
        <v>4697</v>
      </c>
      <c r="O511" s="126" t="s">
        <v>589</v>
      </c>
      <c r="P511" s="128">
        <v>45659</v>
      </c>
      <c r="Q511" s="94">
        <v>1</v>
      </c>
      <c r="R511" s="97">
        <v>4697</v>
      </c>
      <c r="S511" s="94">
        <v>1</v>
      </c>
      <c r="T511" s="128">
        <v>45698</v>
      </c>
      <c r="U511" s="97">
        <v>6266</v>
      </c>
    </row>
    <row r="512" spans="1:22" ht="12" hidden="1" x14ac:dyDescent="0.25">
      <c r="A512" s="94">
        <v>510</v>
      </c>
      <c r="B512" s="94" t="s">
        <v>89</v>
      </c>
      <c r="C512" s="94" t="s">
        <v>90</v>
      </c>
      <c r="D512" s="94" t="s">
        <v>90</v>
      </c>
      <c r="E512" s="94" t="s">
        <v>742</v>
      </c>
      <c r="F512" s="94" t="s">
        <v>70</v>
      </c>
      <c r="G512" s="94">
        <v>2025</v>
      </c>
      <c r="H512" s="94">
        <v>-1</v>
      </c>
      <c r="I512" s="95"/>
      <c r="J512" s="96"/>
      <c r="K512" s="94">
        <v>1</v>
      </c>
      <c r="L512" s="117">
        <v>45681</v>
      </c>
      <c r="M512" s="94">
        <v>1</v>
      </c>
      <c r="N512" s="97">
        <v>36175</v>
      </c>
      <c r="O512" s="126" t="s">
        <v>590</v>
      </c>
      <c r="P512" s="128">
        <v>45687</v>
      </c>
      <c r="Q512" s="94">
        <v>1</v>
      </c>
      <c r="R512" s="97">
        <v>36175</v>
      </c>
      <c r="S512" s="94">
        <v>1</v>
      </c>
      <c r="T512" s="128">
        <v>45716</v>
      </c>
      <c r="U512" s="97">
        <v>36175</v>
      </c>
    </row>
    <row r="513" spans="1:22" ht="12" hidden="1" x14ac:dyDescent="0.25">
      <c r="A513" s="94">
        <v>511</v>
      </c>
      <c r="B513" s="94" t="s">
        <v>89</v>
      </c>
      <c r="C513" s="94" t="s">
        <v>90</v>
      </c>
      <c r="D513" s="94" t="s">
        <v>90</v>
      </c>
      <c r="E513" s="94" t="s">
        <v>742</v>
      </c>
      <c r="F513" s="94" t="s">
        <v>70</v>
      </c>
      <c r="G513" s="94">
        <v>2025</v>
      </c>
      <c r="H513" s="94">
        <v>-1</v>
      </c>
      <c r="I513" s="95"/>
      <c r="J513" s="96"/>
      <c r="K513" s="94">
        <v>1</v>
      </c>
      <c r="L513" s="117">
        <v>45712</v>
      </c>
      <c r="M513" s="94">
        <v>2</v>
      </c>
      <c r="N513" s="97">
        <v>47631</v>
      </c>
      <c r="O513" s="140" t="s">
        <v>591</v>
      </c>
      <c r="P513" s="128">
        <v>45714</v>
      </c>
      <c r="Q513" s="94">
        <v>1</v>
      </c>
      <c r="R513" s="97">
        <v>47631</v>
      </c>
      <c r="S513" s="94">
        <v>1</v>
      </c>
      <c r="T513" s="128">
        <v>45742</v>
      </c>
      <c r="U513" s="97">
        <v>49640</v>
      </c>
    </row>
    <row r="514" spans="1:22" ht="12" hidden="1" x14ac:dyDescent="0.25">
      <c r="A514" s="94">
        <v>512</v>
      </c>
      <c r="B514" s="94" t="s">
        <v>89</v>
      </c>
      <c r="C514" s="94" t="s">
        <v>90</v>
      </c>
      <c r="D514" s="94" t="s">
        <v>90</v>
      </c>
      <c r="E514" s="94" t="s">
        <v>742</v>
      </c>
      <c r="F514" s="94" t="s">
        <v>70</v>
      </c>
      <c r="G514" s="94">
        <v>2025</v>
      </c>
      <c r="H514" s="94">
        <v>-1</v>
      </c>
      <c r="I514" s="95"/>
      <c r="J514" s="96"/>
      <c r="K514" s="94">
        <v>1</v>
      </c>
      <c r="L514" s="117">
        <v>45742</v>
      </c>
      <c r="M514" s="94">
        <v>3</v>
      </c>
      <c r="N514" s="97">
        <v>34217</v>
      </c>
      <c r="O514" s="140" t="s">
        <v>592</v>
      </c>
      <c r="P514" s="128">
        <v>45757</v>
      </c>
      <c r="Q514" s="94">
        <v>1</v>
      </c>
      <c r="R514" s="97">
        <v>34217</v>
      </c>
      <c r="S514" s="94">
        <v>1</v>
      </c>
      <c r="T514" s="128">
        <v>45797</v>
      </c>
      <c r="U514" s="96">
        <v>34217</v>
      </c>
    </row>
    <row r="515" spans="1:22" ht="12" hidden="1" x14ac:dyDescent="0.25">
      <c r="A515" s="94">
        <v>513</v>
      </c>
      <c r="B515" s="94" t="s">
        <v>89</v>
      </c>
      <c r="C515" s="94" t="s">
        <v>90</v>
      </c>
      <c r="D515" s="94" t="s">
        <v>90</v>
      </c>
      <c r="E515" s="94" t="s">
        <v>742</v>
      </c>
      <c r="F515" s="94" t="s">
        <v>70</v>
      </c>
      <c r="G515" s="94">
        <v>2025</v>
      </c>
      <c r="H515" s="94">
        <v>-1</v>
      </c>
      <c r="I515" s="95"/>
      <c r="J515" s="96"/>
      <c r="K515" s="94">
        <v>1</v>
      </c>
      <c r="L515" s="117">
        <v>45773</v>
      </c>
      <c r="M515" s="94">
        <v>4</v>
      </c>
      <c r="N515" s="97">
        <v>25392</v>
      </c>
      <c r="O515" s="140" t="s">
        <v>593</v>
      </c>
      <c r="P515" s="128">
        <v>45796</v>
      </c>
      <c r="Q515" s="94">
        <v>1</v>
      </c>
      <c r="R515" s="97">
        <v>25392</v>
      </c>
      <c r="S515" s="94">
        <v>1</v>
      </c>
      <c r="T515" s="128">
        <v>45798</v>
      </c>
      <c r="U515" s="96">
        <v>23832</v>
      </c>
      <c r="V515" s="94" t="s">
        <v>524</v>
      </c>
    </row>
    <row r="516" spans="1:22" ht="12" hidden="1" x14ac:dyDescent="0.25">
      <c r="A516" s="94">
        <v>514</v>
      </c>
      <c r="B516" s="94" t="s">
        <v>89</v>
      </c>
      <c r="C516" s="94" t="s">
        <v>90</v>
      </c>
      <c r="D516" s="94" t="s">
        <v>90</v>
      </c>
      <c r="E516" s="94" t="s">
        <v>742</v>
      </c>
      <c r="F516" s="94" t="s">
        <v>70</v>
      </c>
      <c r="G516" s="94">
        <v>2025</v>
      </c>
      <c r="H516" s="94">
        <v>-1</v>
      </c>
      <c r="I516" s="95"/>
      <c r="J516" s="96"/>
      <c r="K516" s="94">
        <v>1</v>
      </c>
      <c r="L516" s="117">
        <v>45803</v>
      </c>
      <c r="M516" s="94">
        <v>5</v>
      </c>
      <c r="N516" s="97">
        <v>57648</v>
      </c>
      <c r="O516" s="140" t="s">
        <v>594</v>
      </c>
      <c r="P516" s="128">
        <v>45811</v>
      </c>
      <c r="Q516" s="94">
        <v>1</v>
      </c>
      <c r="R516" s="97">
        <v>57648</v>
      </c>
      <c r="S516" s="94">
        <v>1</v>
      </c>
      <c r="T516" s="128">
        <v>45814</v>
      </c>
      <c r="U516" s="97">
        <v>57648</v>
      </c>
    </row>
    <row r="517" spans="1:22" ht="12" hidden="1" x14ac:dyDescent="0.25">
      <c r="A517" s="94">
        <v>515</v>
      </c>
      <c r="B517" s="94" t="s">
        <v>89</v>
      </c>
      <c r="C517" s="94" t="s">
        <v>90</v>
      </c>
      <c r="D517" s="94" t="s">
        <v>90</v>
      </c>
      <c r="E517" s="94" t="s">
        <v>742</v>
      </c>
      <c r="F517" s="94" t="s">
        <v>70</v>
      </c>
      <c r="G517" s="94">
        <v>2025</v>
      </c>
      <c r="H517" s="94">
        <v>-1</v>
      </c>
      <c r="I517" s="95"/>
      <c r="J517" s="96"/>
      <c r="K517" s="94">
        <v>1</v>
      </c>
      <c r="L517" s="95">
        <v>45834</v>
      </c>
      <c r="M517" s="94">
        <v>6</v>
      </c>
      <c r="N517" s="97">
        <v>59126</v>
      </c>
      <c r="O517" s="126" t="s">
        <v>595</v>
      </c>
      <c r="P517" s="127">
        <v>45840</v>
      </c>
      <c r="Q517" s="94">
        <v>1</v>
      </c>
      <c r="R517" s="97">
        <v>59126</v>
      </c>
      <c r="S517" s="94">
        <v>1</v>
      </c>
      <c r="T517" s="127">
        <v>45848</v>
      </c>
      <c r="U517" s="97">
        <v>57921.168301886784</v>
      </c>
      <c r="V517" s="94" t="s">
        <v>524</v>
      </c>
    </row>
    <row r="518" spans="1:22" ht="12" hidden="1" x14ac:dyDescent="0.25">
      <c r="A518" s="94">
        <v>516</v>
      </c>
      <c r="B518" s="94" t="s">
        <v>89</v>
      </c>
      <c r="C518" s="94" t="s">
        <v>90</v>
      </c>
      <c r="D518" s="94" t="s">
        <v>90</v>
      </c>
      <c r="E518" s="94" t="s">
        <v>742</v>
      </c>
      <c r="F518" s="94" t="s">
        <v>70</v>
      </c>
      <c r="G518" s="94">
        <v>2025</v>
      </c>
      <c r="H518" s="94">
        <v>-1</v>
      </c>
      <c r="I518" s="95"/>
      <c r="J518" s="96"/>
      <c r="K518" s="94">
        <v>1</v>
      </c>
      <c r="L518" s="95">
        <v>45864</v>
      </c>
      <c r="M518" s="94">
        <v>7</v>
      </c>
      <c r="N518" s="97">
        <v>30280</v>
      </c>
      <c r="O518" s="126" t="s">
        <v>596</v>
      </c>
      <c r="P518" s="127">
        <v>45881</v>
      </c>
      <c r="Q518" s="94">
        <v>1</v>
      </c>
      <c r="R518" s="97">
        <v>30280</v>
      </c>
      <c r="S518" s="94">
        <v>1</v>
      </c>
      <c r="T518" s="127">
        <v>45882</v>
      </c>
      <c r="U518" s="97">
        <v>28722.396226415094</v>
      </c>
    </row>
    <row r="519" spans="1:22" ht="12" hidden="1" x14ac:dyDescent="0.25">
      <c r="A519" s="94">
        <v>517</v>
      </c>
      <c r="B519" s="94" t="s">
        <v>89</v>
      </c>
      <c r="C519" s="94" t="s">
        <v>90</v>
      </c>
      <c r="D519" s="94" t="s">
        <v>90</v>
      </c>
      <c r="E519" s="94" t="s">
        <v>742</v>
      </c>
      <c r="F519" s="94" t="s">
        <v>70</v>
      </c>
      <c r="G519" s="94">
        <v>2025</v>
      </c>
      <c r="H519" s="94">
        <v>-1</v>
      </c>
      <c r="I519" s="95"/>
      <c r="J519" s="96"/>
      <c r="K519" s="94">
        <v>1</v>
      </c>
      <c r="L519" s="95">
        <v>45898</v>
      </c>
      <c r="M519" s="94">
        <v>8</v>
      </c>
      <c r="N519" s="97">
        <v>5300</v>
      </c>
      <c r="O519" s="126" t="s">
        <v>597</v>
      </c>
      <c r="P519" s="127">
        <v>45923</v>
      </c>
      <c r="Q519" s="94">
        <v>1</v>
      </c>
      <c r="R519" s="97">
        <v>5300</v>
      </c>
      <c r="S519" s="94">
        <v>1</v>
      </c>
      <c r="T519" s="128">
        <v>45958</v>
      </c>
      <c r="U519" s="97">
        <v>5300</v>
      </c>
    </row>
    <row r="520" spans="1:22" ht="12" hidden="1" x14ac:dyDescent="0.25">
      <c r="A520" s="94">
        <v>518</v>
      </c>
      <c r="B520" s="94" t="s">
        <v>89</v>
      </c>
      <c r="C520" s="94" t="s">
        <v>90</v>
      </c>
      <c r="D520" s="94" t="s">
        <v>90</v>
      </c>
      <c r="E520" s="94" t="s">
        <v>742</v>
      </c>
      <c r="F520" s="94" t="s">
        <v>70</v>
      </c>
      <c r="G520" s="94">
        <v>2025</v>
      </c>
      <c r="H520" s="94">
        <v>-1</v>
      </c>
      <c r="I520" s="95"/>
      <c r="J520" s="96"/>
      <c r="K520" s="94">
        <v>1</v>
      </c>
      <c r="L520" s="95">
        <v>45961</v>
      </c>
      <c r="M520" s="94">
        <v>9</v>
      </c>
      <c r="N520" s="97">
        <v>40785</v>
      </c>
      <c r="O520" s="126" t="s">
        <v>598</v>
      </c>
      <c r="P520" s="127">
        <v>45964</v>
      </c>
      <c r="Q520" s="94">
        <v>1</v>
      </c>
      <c r="R520" s="97">
        <v>40785</v>
      </c>
      <c r="S520" s="94">
        <v>1</v>
      </c>
      <c r="T520" s="128">
        <v>45975</v>
      </c>
      <c r="U520" s="97">
        <v>40785</v>
      </c>
    </row>
    <row r="521" spans="1:22" ht="12" hidden="1" x14ac:dyDescent="0.25">
      <c r="A521" s="94">
        <v>519</v>
      </c>
      <c r="B521" s="94" t="s">
        <v>599</v>
      </c>
      <c r="C521" s="94" t="s">
        <v>743</v>
      </c>
      <c r="D521" s="94" t="s">
        <v>600</v>
      </c>
      <c r="E521" s="94" t="s">
        <v>304</v>
      </c>
      <c r="F521" s="94" t="s">
        <v>18</v>
      </c>
      <c r="G521" s="94">
        <v>2023</v>
      </c>
      <c r="H521" s="94">
        <v>-1</v>
      </c>
      <c r="I521" s="95"/>
      <c r="J521" s="96"/>
      <c r="K521" s="94">
        <v>1</v>
      </c>
      <c r="L521" s="95">
        <v>45037</v>
      </c>
      <c r="M521" s="94">
        <v>1</v>
      </c>
      <c r="N521" s="97">
        <v>27669.200000000001</v>
      </c>
      <c r="O521" s="126">
        <v>103</v>
      </c>
      <c r="P521" s="127">
        <v>45176</v>
      </c>
      <c r="Q521" s="94">
        <v>1</v>
      </c>
      <c r="R521" s="97">
        <v>27669</v>
      </c>
      <c r="S521" s="94">
        <v>1</v>
      </c>
      <c r="T521" s="128">
        <v>45198</v>
      </c>
      <c r="U521" s="97">
        <v>27669</v>
      </c>
    </row>
    <row r="522" spans="1:22" ht="12" hidden="1" x14ac:dyDescent="0.25">
      <c r="A522" s="94">
        <v>520</v>
      </c>
      <c r="B522" s="94" t="s">
        <v>599</v>
      </c>
      <c r="C522" s="94" t="s">
        <v>743</v>
      </c>
      <c r="D522" s="94" t="s">
        <v>600</v>
      </c>
      <c r="E522" s="94" t="s">
        <v>304</v>
      </c>
      <c r="F522" s="94" t="s">
        <v>18</v>
      </c>
      <c r="G522" s="94">
        <v>2023</v>
      </c>
      <c r="H522" s="94">
        <v>-1</v>
      </c>
      <c r="I522" s="95"/>
      <c r="J522" s="96"/>
      <c r="K522" s="94">
        <v>1</v>
      </c>
      <c r="L522" s="95">
        <v>45067</v>
      </c>
      <c r="M522" s="94">
        <v>2</v>
      </c>
      <c r="N522" s="97">
        <v>29365</v>
      </c>
      <c r="O522" s="126">
        <v>104</v>
      </c>
      <c r="P522" s="127">
        <v>45176</v>
      </c>
      <c r="Q522" s="94">
        <v>1</v>
      </c>
      <c r="R522" s="97">
        <v>29365</v>
      </c>
      <c r="S522" s="94">
        <v>1</v>
      </c>
      <c r="T522" s="128">
        <v>45198</v>
      </c>
      <c r="U522" s="97">
        <v>29365</v>
      </c>
    </row>
    <row r="523" spans="1:22" ht="12" hidden="1" x14ac:dyDescent="0.25">
      <c r="A523" s="94">
        <v>521</v>
      </c>
      <c r="B523" s="94" t="s">
        <v>599</v>
      </c>
      <c r="C523" s="94" t="s">
        <v>743</v>
      </c>
      <c r="D523" s="94" t="s">
        <v>600</v>
      </c>
      <c r="E523" s="94" t="s">
        <v>304</v>
      </c>
      <c r="F523" s="94" t="s">
        <v>18</v>
      </c>
      <c r="G523" s="94">
        <v>2023</v>
      </c>
      <c r="H523" s="94">
        <v>-1</v>
      </c>
      <c r="I523" s="95"/>
      <c r="J523" s="96"/>
      <c r="K523" s="94">
        <v>1</v>
      </c>
      <c r="L523" s="95">
        <v>45098</v>
      </c>
      <c r="M523" s="94">
        <v>3</v>
      </c>
      <c r="N523" s="156">
        <v>8901</v>
      </c>
      <c r="O523" s="126">
        <v>105</v>
      </c>
      <c r="P523" s="127">
        <v>45176</v>
      </c>
      <c r="Q523" s="94">
        <v>1</v>
      </c>
      <c r="R523" s="97">
        <v>8901</v>
      </c>
      <c r="S523" s="94">
        <v>1</v>
      </c>
      <c r="T523" s="128">
        <v>45198</v>
      </c>
      <c r="U523" s="97">
        <v>8901</v>
      </c>
    </row>
    <row r="524" spans="1:22" ht="12" hidden="1" x14ac:dyDescent="0.25">
      <c r="A524" s="94">
        <v>522</v>
      </c>
      <c r="B524" s="94" t="s">
        <v>599</v>
      </c>
      <c r="C524" s="94" t="s">
        <v>743</v>
      </c>
      <c r="D524" s="98" t="s">
        <v>600</v>
      </c>
      <c r="E524" s="98" t="s">
        <v>304</v>
      </c>
      <c r="F524" s="98" t="s">
        <v>18</v>
      </c>
      <c r="G524" s="98">
        <v>2023</v>
      </c>
      <c r="H524" s="98">
        <v>-1</v>
      </c>
      <c r="I524" s="98"/>
      <c r="J524" s="146"/>
      <c r="K524" s="98">
        <v>1</v>
      </c>
      <c r="L524" s="111">
        <v>45132</v>
      </c>
      <c r="M524" s="98">
        <v>4</v>
      </c>
      <c r="N524" s="129">
        <v>5427</v>
      </c>
      <c r="O524" s="147">
        <v>106</v>
      </c>
      <c r="P524" s="111">
        <v>45176</v>
      </c>
      <c r="Q524" s="98">
        <v>1</v>
      </c>
      <c r="R524" s="129">
        <v>5427</v>
      </c>
      <c r="S524" s="94">
        <v>1</v>
      </c>
      <c r="T524" s="111">
        <v>45198</v>
      </c>
      <c r="U524" s="129">
        <v>5427</v>
      </c>
      <c r="V524" s="98"/>
    </row>
    <row r="525" spans="1:22" ht="12" hidden="1" x14ac:dyDescent="0.25">
      <c r="A525" s="94">
        <v>523</v>
      </c>
      <c r="B525" s="94" t="s">
        <v>599</v>
      </c>
      <c r="C525" s="94" t="s">
        <v>743</v>
      </c>
      <c r="D525" s="98" t="s">
        <v>600</v>
      </c>
      <c r="E525" s="98" t="s">
        <v>304</v>
      </c>
      <c r="F525" s="98" t="s">
        <v>18</v>
      </c>
      <c r="G525" s="98">
        <v>2023</v>
      </c>
      <c r="H525" s="98">
        <v>-1</v>
      </c>
      <c r="I525" s="98"/>
      <c r="J525" s="146"/>
      <c r="K525" s="98">
        <v>1</v>
      </c>
      <c r="L525" s="111">
        <v>45163</v>
      </c>
      <c r="M525" s="98">
        <v>5</v>
      </c>
      <c r="N525" s="129">
        <v>1745</v>
      </c>
      <c r="O525" s="147">
        <v>109</v>
      </c>
      <c r="P525" s="111">
        <v>45197</v>
      </c>
      <c r="Q525" s="98">
        <v>1</v>
      </c>
      <c r="R525" s="129">
        <v>1745</v>
      </c>
      <c r="S525" s="94">
        <v>1</v>
      </c>
      <c r="T525" s="111">
        <v>45219</v>
      </c>
      <c r="U525" s="129">
        <v>1745</v>
      </c>
      <c r="V525" s="98"/>
    </row>
    <row r="526" spans="1:22" ht="12" hidden="1" x14ac:dyDescent="0.25">
      <c r="A526" s="94">
        <v>524</v>
      </c>
      <c r="B526" s="94" t="s">
        <v>601</v>
      </c>
      <c r="C526" s="94" t="s">
        <v>744</v>
      </c>
      <c r="D526" s="98" t="s">
        <v>602</v>
      </c>
      <c r="E526" s="98" t="s">
        <v>331</v>
      </c>
      <c r="F526" s="98" t="s">
        <v>18</v>
      </c>
      <c r="G526" s="98">
        <v>2023</v>
      </c>
      <c r="H526" s="98">
        <v>-1</v>
      </c>
      <c r="I526" s="98"/>
      <c r="J526" s="146"/>
      <c r="K526" s="98">
        <v>1</v>
      </c>
      <c r="L526" s="111">
        <v>44916</v>
      </c>
      <c r="M526" s="98">
        <v>1</v>
      </c>
      <c r="N526" s="129">
        <v>43637</v>
      </c>
      <c r="O526" s="147">
        <v>508</v>
      </c>
      <c r="P526" s="111">
        <v>44935</v>
      </c>
      <c r="Q526" s="98">
        <v>1</v>
      </c>
      <c r="R526" s="129">
        <v>43637</v>
      </c>
      <c r="S526" s="94">
        <v>1</v>
      </c>
      <c r="T526" s="111">
        <v>44964</v>
      </c>
      <c r="U526" s="129">
        <v>43637</v>
      </c>
      <c r="V526" s="98"/>
    </row>
    <row r="527" spans="1:22" ht="12" hidden="1" x14ac:dyDescent="0.25">
      <c r="A527" s="94">
        <v>525</v>
      </c>
      <c r="B527" s="94" t="s">
        <v>601</v>
      </c>
      <c r="C527" s="94" t="s">
        <v>744</v>
      </c>
      <c r="D527" s="98" t="s">
        <v>602</v>
      </c>
      <c r="E527" s="98" t="s">
        <v>331</v>
      </c>
      <c r="F527" s="98" t="s">
        <v>18</v>
      </c>
      <c r="G527" s="98">
        <v>2022</v>
      </c>
      <c r="H527" s="98">
        <v>-1</v>
      </c>
      <c r="I527" s="98"/>
      <c r="J527" s="146"/>
      <c r="K527" s="98">
        <v>1</v>
      </c>
      <c r="L527" s="111">
        <v>44886</v>
      </c>
      <c r="M527" s="98">
        <v>1</v>
      </c>
      <c r="N527" s="129">
        <v>48365.26</v>
      </c>
      <c r="O527" s="147">
        <v>504</v>
      </c>
      <c r="P527" s="111">
        <v>44923</v>
      </c>
      <c r="Q527" s="98">
        <v>1</v>
      </c>
      <c r="R527" s="129">
        <v>48365.26</v>
      </c>
      <c r="S527" s="94">
        <v>1</v>
      </c>
      <c r="T527" s="111">
        <v>44953</v>
      </c>
      <c r="U527" s="129">
        <v>48365.26</v>
      </c>
      <c r="V527" s="98"/>
    </row>
    <row r="528" spans="1:22" ht="12" hidden="1" x14ac:dyDescent="0.25">
      <c r="A528" s="94">
        <v>526</v>
      </c>
      <c r="B528" s="94" t="s">
        <v>603</v>
      </c>
      <c r="C528" s="94" t="s">
        <v>717</v>
      </c>
      <c r="D528" s="98" t="s">
        <v>604</v>
      </c>
      <c r="E528" s="98" t="s">
        <v>365</v>
      </c>
      <c r="F528" s="98" t="s">
        <v>70</v>
      </c>
      <c r="G528" s="98">
        <v>2022</v>
      </c>
      <c r="H528" s="98">
        <v>-1</v>
      </c>
      <c r="I528" s="98"/>
      <c r="J528" s="146"/>
      <c r="K528" s="98">
        <v>1</v>
      </c>
      <c r="L528" s="111">
        <v>44886</v>
      </c>
      <c r="M528" s="98">
        <v>1</v>
      </c>
      <c r="N528" s="129">
        <v>76480</v>
      </c>
      <c r="O528" s="147" t="s">
        <v>605</v>
      </c>
      <c r="P528" s="111">
        <v>44915</v>
      </c>
      <c r="Q528" s="98">
        <v>1</v>
      </c>
      <c r="R528" s="129">
        <v>76385.09</v>
      </c>
      <c r="S528" s="94">
        <v>1</v>
      </c>
      <c r="T528" s="111">
        <v>44925</v>
      </c>
      <c r="U528" s="129">
        <v>76385.09</v>
      </c>
      <c r="V528" s="98"/>
    </row>
    <row r="529" spans="1:22" ht="12" hidden="1" x14ac:dyDescent="0.25">
      <c r="A529" s="94">
        <v>527</v>
      </c>
      <c r="B529" s="94" t="s">
        <v>603</v>
      </c>
      <c r="C529" s="94" t="s">
        <v>717</v>
      </c>
      <c r="D529" s="98" t="s">
        <v>604</v>
      </c>
      <c r="E529" s="98" t="s">
        <v>365</v>
      </c>
      <c r="F529" s="98" t="s">
        <v>70</v>
      </c>
      <c r="G529" s="98">
        <v>2023</v>
      </c>
      <c r="H529" s="98">
        <v>-1</v>
      </c>
      <c r="I529" s="98"/>
      <c r="J529" s="146"/>
      <c r="K529" s="98">
        <v>1</v>
      </c>
      <c r="L529" s="111">
        <v>44916</v>
      </c>
      <c r="M529" s="98">
        <v>2</v>
      </c>
      <c r="N529" s="129">
        <v>50046.400000000001</v>
      </c>
      <c r="O529" s="147" t="s">
        <v>606</v>
      </c>
      <c r="P529" s="111">
        <v>44928</v>
      </c>
      <c r="Q529" s="98">
        <v>1</v>
      </c>
      <c r="R529" s="129">
        <v>49915.51</v>
      </c>
      <c r="S529" s="94">
        <v>1</v>
      </c>
      <c r="T529" s="111">
        <v>44951</v>
      </c>
      <c r="U529" s="129">
        <v>49915.51</v>
      </c>
      <c r="V529" s="98"/>
    </row>
    <row r="530" spans="1:22" ht="12" hidden="1" x14ac:dyDescent="0.25">
      <c r="A530" s="94">
        <v>528</v>
      </c>
      <c r="B530" s="94" t="s">
        <v>603</v>
      </c>
      <c r="C530" s="94" t="s">
        <v>717</v>
      </c>
      <c r="D530" s="94" t="s">
        <v>604</v>
      </c>
      <c r="E530" s="94" t="s">
        <v>262</v>
      </c>
      <c r="F530" s="94" t="s">
        <v>70</v>
      </c>
      <c r="G530" s="94">
        <v>2023</v>
      </c>
      <c r="H530" s="94">
        <v>-1</v>
      </c>
      <c r="I530" s="95"/>
      <c r="J530" s="96"/>
      <c r="K530" s="94">
        <v>1</v>
      </c>
      <c r="L530" s="95">
        <v>44947</v>
      </c>
      <c r="M530" s="94">
        <v>3</v>
      </c>
      <c r="N530" s="134">
        <v>56368</v>
      </c>
      <c r="O530" s="126" t="s">
        <v>607</v>
      </c>
      <c r="P530" s="127">
        <v>44928</v>
      </c>
      <c r="Q530" s="94">
        <v>1</v>
      </c>
      <c r="R530" s="97">
        <v>56217.41</v>
      </c>
      <c r="S530" s="94">
        <v>1</v>
      </c>
      <c r="T530" s="128">
        <v>44985</v>
      </c>
      <c r="U530" s="97">
        <v>56217.41</v>
      </c>
    </row>
    <row r="531" spans="1:22" ht="12" hidden="1" x14ac:dyDescent="0.25">
      <c r="A531" s="94">
        <v>529</v>
      </c>
      <c r="B531" s="94" t="s">
        <v>603</v>
      </c>
      <c r="C531" s="94" t="s">
        <v>717</v>
      </c>
      <c r="D531" s="94" t="s">
        <v>604</v>
      </c>
      <c r="E531" s="94" t="s">
        <v>262</v>
      </c>
      <c r="F531" s="94" t="s">
        <v>70</v>
      </c>
      <c r="G531" s="94">
        <v>2023</v>
      </c>
      <c r="H531" s="94">
        <v>-1</v>
      </c>
      <c r="I531" s="95"/>
      <c r="J531" s="96"/>
      <c r="K531" s="94">
        <v>1</v>
      </c>
      <c r="L531" s="117">
        <v>44978</v>
      </c>
      <c r="M531" s="94">
        <v>4</v>
      </c>
      <c r="N531" s="97">
        <v>40732.800000000003</v>
      </c>
      <c r="O531" s="126" t="s">
        <v>608</v>
      </c>
      <c r="P531" s="127">
        <v>45020</v>
      </c>
      <c r="Q531" s="94">
        <v>1</v>
      </c>
      <c r="R531" s="97">
        <v>40587.46</v>
      </c>
      <c r="S531" s="94">
        <v>1</v>
      </c>
      <c r="T531" s="128">
        <v>45029</v>
      </c>
      <c r="U531" s="97">
        <v>40587.46</v>
      </c>
    </row>
    <row r="532" spans="1:22" ht="12" hidden="1" x14ac:dyDescent="0.25">
      <c r="A532" s="94">
        <v>530</v>
      </c>
      <c r="B532" s="94" t="s">
        <v>603</v>
      </c>
      <c r="C532" s="94" t="s">
        <v>717</v>
      </c>
      <c r="D532" s="94" t="s">
        <v>604</v>
      </c>
      <c r="E532" s="94" t="s">
        <v>262</v>
      </c>
      <c r="F532" s="94" t="s">
        <v>70</v>
      </c>
      <c r="G532" s="94">
        <v>2023</v>
      </c>
      <c r="H532" s="94">
        <v>-1</v>
      </c>
      <c r="I532" s="95"/>
      <c r="J532" s="96"/>
      <c r="K532" s="94">
        <v>1</v>
      </c>
      <c r="L532" s="117">
        <v>45006</v>
      </c>
      <c r="M532" s="94">
        <v>5</v>
      </c>
      <c r="N532" s="97">
        <v>23129.600000000002</v>
      </c>
      <c r="O532" s="126" t="s">
        <v>609</v>
      </c>
      <c r="P532" s="127">
        <v>45110</v>
      </c>
      <c r="Q532" s="94">
        <v>1</v>
      </c>
      <c r="R532" s="97">
        <v>23129.599999999999</v>
      </c>
      <c r="S532" s="94">
        <v>1</v>
      </c>
      <c r="T532" s="128">
        <v>45118</v>
      </c>
      <c r="U532" s="97">
        <v>23129.599999999999</v>
      </c>
      <c r="V532" s="94" t="s">
        <v>349</v>
      </c>
    </row>
    <row r="533" spans="1:22" ht="12" hidden="1" x14ac:dyDescent="0.25">
      <c r="A533" s="94">
        <v>531</v>
      </c>
      <c r="B533" s="94" t="s">
        <v>603</v>
      </c>
      <c r="C533" s="94" t="s">
        <v>717</v>
      </c>
      <c r="D533" s="94" t="s">
        <v>604</v>
      </c>
      <c r="E533" s="94" t="s">
        <v>262</v>
      </c>
      <c r="F533" s="94" t="s">
        <v>70</v>
      </c>
      <c r="G533" s="94">
        <v>2023</v>
      </c>
      <c r="H533" s="94">
        <v>-1</v>
      </c>
      <c r="I533" s="95"/>
      <c r="J533" s="96"/>
      <c r="K533" s="94">
        <v>1</v>
      </c>
      <c r="L533" s="117">
        <v>45037</v>
      </c>
      <c r="M533" s="94">
        <v>6</v>
      </c>
      <c r="N533" s="97">
        <v>5339.1999999999825</v>
      </c>
      <c r="O533" s="126" t="s">
        <v>609</v>
      </c>
      <c r="P533" s="127">
        <v>45110</v>
      </c>
      <c r="Q533" s="94">
        <v>1</v>
      </c>
      <c r="R533" s="97">
        <v>5339.1999999999825</v>
      </c>
      <c r="S533" s="94">
        <v>1</v>
      </c>
      <c r="T533" s="128">
        <v>45118</v>
      </c>
      <c r="U533" s="97">
        <v>5339.1999999999825</v>
      </c>
      <c r="V533" s="94" t="s">
        <v>349</v>
      </c>
    </row>
    <row r="534" spans="1:22" ht="12" hidden="1" x14ac:dyDescent="0.25">
      <c r="A534" s="94">
        <v>532</v>
      </c>
      <c r="B534" s="94" t="s">
        <v>610</v>
      </c>
      <c r="C534" s="94" t="s">
        <v>611</v>
      </c>
      <c r="D534" s="94" t="s">
        <v>611</v>
      </c>
      <c r="E534" s="94" t="s">
        <v>254</v>
      </c>
      <c r="F534" s="94" t="s">
        <v>18</v>
      </c>
      <c r="G534" s="94">
        <v>2023</v>
      </c>
      <c r="H534" s="94">
        <v>1</v>
      </c>
      <c r="I534" s="95">
        <v>45200</v>
      </c>
      <c r="J534" s="96">
        <v>34790</v>
      </c>
      <c r="K534" s="94">
        <v>1</v>
      </c>
      <c r="L534" s="117">
        <v>45222</v>
      </c>
      <c r="M534" s="94">
        <v>1</v>
      </c>
      <c r="N534" s="97">
        <v>44990</v>
      </c>
      <c r="O534" s="126">
        <v>121</v>
      </c>
      <c r="P534" s="127">
        <v>45223</v>
      </c>
      <c r="Q534" s="94">
        <v>1</v>
      </c>
      <c r="R534" s="97">
        <v>44990</v>
      </c>
      <c r="S534" s="94">
        <v>1</v>
      </c>
      <c r="T534" s="128">
        <v>45232</v>
      </c>
      <c r="U534" s="97">
        <v>42740.5</v>
      </c>
    </row>
    <row r="535" spans="1:22" ht="12" hidden="1" x14ac:dyDescent="0.25">
      <c r="A535" s="94">
        <v>533</v>
      </c>
      <c r="B535" s="94" t="s">
        <v>99</v>
      </c>
      <c r="C535" s="94" t="s">
        <v>100</v>
      </c>
      <c r="D535" s="94" t="s">
        <v>100</v>
      </c>
      <c r="E535" s="94" t="s">
        <v>612</v>
      </c>
      <c r="F535" s="94" t="s">
        <v>96</v>
      </c>
      <c r="G535" s="94">
        <v>2025</v>
      </c>
      <c r="H535" s="94">
        <v>-1</v>
      </c>
      <c r="I535" s="95"/>
      <c r="J535" s="96"/>
      <c r="K535" s="94">
        <v>1</v>
      </c>
      <c r="L535" s="117">
        <v>45660</v>
      </c>
      <c r="M535" s="94">
        <v>1</v>
      </c>
      <c r="N535" s="97">
        <v>37712</v>
      </c>
      <c r="O535" s="126" t="s">
        <v>255</v>
      </c>
      <c r="P535" s="127">
        <v>45672</v>
      </c>
      <c r="Q535" s="94">
        <v>1</v>
      </c>
      <c r="R535" s="97">
        <v>37712</v>
      </c>
      <c r="S535" s="94">
        <v>1</v>
      </c>
      <c r="T535" s="128">
        <v>45678</v>
      </c>
      <c r="U535" s="97">
        <v>37712</v>
      </c>
    </row>
    <row r="536" spans="1:22" ht="12" hidden="1" x14ac:dyDescent="0.25">
      <c r="A536" s="94">
        <v>534</v>
      </c>
      <c r="B536" s="94" t="s">
        <v>99</v>
      </c>
      <c r="C536" s="94" t="s">
        <v>100</v>
      </c>
      <c r="D536" s="94" t="s">
        <v>100</v>
      </c>
      <c r="E536" s="94" t="s">
        <v>612</v>
      </c>
      <c r="F536" s="94" t="s">
        <v>96</v>
      </c>
      <c r="G536" s="94">
        <v>2025</v>
      </c>
      <c r="H536" s="94">
        <v>-1</v>
      </c>
      <c r="I536" s="95"/>
      <c r="J536" s="96"/>
      <c r="K536" s="94">
        <v>1</v>
      </c>
      <c r="L536" s="95">
        <v>45684</v>
      </c>
      <c r="M536" s="94">
        <v>2</v>
      </c>
      <c r="N536" s="97">
        <v>92700</v>
      </c>
      <c r="O536" s="126" t="s">
        <v>255</v>
      </c>
      <c r="P536" s="127">
        <v>45707</v>
      </c>
      <c r="Q536" s="94">
        <v>1</v>
      </c>
      <c r="R536" s="97">
        <v>92700</v>
      </c>
      <c r="S536" s="94">
        <v>1</v>
      </c>
      <c r="T536" s="128">
        <v>45707</v>
      </c>
      <c r="U536" s="97">
        <v>96628</v>
      </c>
    </row>
    <row r="537" spans="1:22" ht="12" hidden="1" x14ac:dyDescent="0.25">
      <c r="A537" s="94">
        <v>535</v>
      </c>
      <c r="B537" s="94" t="s">
        <v>99</v>
      </c>
      <c r="C537" s="94" t="s">
        <v>100</v>
      </c>
      <c r="D537" s="94" t="s">
        <v>100</v>
      </c>
      <c r="E537" s="94" t="s">
        <v>612</v>
      </c>
      <c r="F537" s="94" t="s">
        <v>96</v>
      </c>
      <c r="G537" s="94">
        <v>2025</v>
      </c>
      <c r="H537" s="94">
        <v>-1</v>
      </c>
      <c r="I537" s="95"/>
      <c r="J537" s="96"/>
      <c r="K537" s="94">
        <v>1</v>
      </c>
      <c r="L537" s="95">
        <v>45713</v>
      </c>
      <c r="M537" s="94">
        <v>3</v>
      </c>
      <c r="N537" s="97">
        <v>84975</v>
      </c>
      <c r="O537" s="126" t="s">
        <v>255</v>
      </c>
      <c r="P537" s="127">
        <v>45727</v>
      </c>
      <c r="Q537" s="94">
        <v>1</v>
      </c>
      <c r="R537" s="97">
        <v>84975</v>
      </c>
      <c r="S537" s="94">
        <v>1</v>
      </c>
      <c r="T537" s="127">
        <v>45755</v>
      </c>
      <c r="U537" s="97">
        <v>84975</v>
      </c>
    </row>
    <row r="538" spans="1:22" ht="12" hidden="1" x14ac:dyDescent="0.25">
      <c r="A538" s="94">
        <v>536</v>
      </c>
      <c r="B538" s="94" t="s">
        <v>99</v>
      </c>
      <c r="C538" s="94" t="s">
        <v>100</v>
      </c>
      <c r="D538" s="94" t="s">
        <v>100</v>
      </c>
      <c r="E538" s="94" t="s">
        <v>612</v>
      </c>
      <c r="F538" s="94" t="s">
        <v>96</v>
      </c>
      <c r="G538" s="94">
        <v>2025</v>
      </c>
      <c r="H538" s="94">
        <v>-1</v>
      </c>
      <c r="I538" s="95"/>
      <c r="J538" s="96"/>
      <c r="K538" s="94">
        <v>1</v>
      </c>
      <c r="L538" s="95">
        <v>45741</v>
      </c>
      <c r="M538" s="94">
        <v>4</v>
      </c>
      <c r="N538" s="97">
        <v>38625</v>
      </c>
      <c r="O538" s="126" t="s">
        <v>255</v>
      </c>
      <c r="P538" s="127">
        <v>45732</v>
      </c>
      <c r="Q538" s="94">
        <v>1</v>
      </c>
      <c r="R538" s="97">
        <v>33475</v>
      </c>
      <c r="S538" s="94">
        <v>1</v>
      </c>
      <c r="T538" s="127">
        <v>45793</v>
      </c>
      <c r="U538" s="97">
        <v>33475</v>
      </c>
    </row>
    <row r="539" spans="1:22" ht="12" hidden="1" x14ac:dyDescent="0.25">
      <c r="A539" s="94">
        <v>537</v>
      </c>
      <c r="B539" s="94" t="s">
        <v>101</v>
      </c>
      <c r="C539" s="94" t="s">
        <v>102</v>
      </c>
      <c r="D539" s="94" t="s">
        <v>102</v>
      </c>
      <c r="E539" s="94" t="s">
        <v>612</v>
      </c>
      <c r="F539" s="94" t="s">
        <v>96</v>
      </c>
      <c r="G539" s="94">
        <v>2025</v>
      </c>
      <c r="H539" s="94">
        <v>-1</v>
      </c>
      <c r="I539" s="95"/>
      <c r="J539" s="96"/>
      <c r="K539" s="94">
        <v>1</v>
      </c>
      <c r="L539" s="95">
        <v>45800</v>
      </c>
      <c r="M539" s="94">
        <v>1</v>
      </c>
      <c r="N539" s="97">
        <v>47808</v>
      </c>
      <c r="O539" s="126" t="s">
        <v>255</v>
      </c>
      <c r="P539" s="127">
        <v>45800</v>
      </c>
      <c r="Q539" s="94">
        <v>1</v>
      </c>
      <c r="R539" s="97">
        <v>47800</v>
      </c>
      <c r="S539" s="94">
        <v>1</v>
      </c>
      <c r="T539" s="128">
        <v>45810</v>
      </c>
      <c r="U539" s="97">
        <v>47800</v>
      </c>
    </row>
    <row r="540" spans="1:22" ht="12" hidden="1" x14ac:dyDescent="0.25">
      <c r="A540" s="94">
        <v>538</v>
      </c>
      <c r="B540" s="94" t="s">
        <v>613</v>
      </c>
      <c r="C540" s="94" t="s">
        <v>614</v>
      </c>
      <c r="D540" s="94" t="s">
        <v>614</v>
      </c>
      <c r="E540" s="94" t="s">
        <v>254</v>
      </c>
      <c r="F540" s="94" t="s">
        <v>18</v>
      </c>
      <c r="G540" s="94">
        <v>2023</v>
      </c>
      <c r="H540" s="94">
        <v>-1</v>
      </c>
      <c r="I540" s="95"/>
      <c r="J540" s="96"/>
      <c r="K540" s="94">
        <v>1</v>
      </c>
      <c r="L540" s="95">
        <v>45006</v>
      </c>
      <c r="M540" s="94">
        <v>1</v>
      </c>
      <c r="N540" s="97">
        <v>197594.35250000001</v>
      </c>
      <c r="O540" s="126">
        <v>60</v>
      </c>
      <c r="P540" s="127">
        <v>45021</v>
      </c>
      <c r="Q540" s="94">
        <v>1</v>
      </c>
      <c r="R540" s="97">
        <v>197594.35250000001</v>
      </c>
      <c r="S540" s="94">
        <v>1</v>
      </c>
      <c r="T540" s="128">
        <v>45037</v>
      </c>
      <c r="U540" s="97">
        <v>187714.63487499999</v>
      </c>
    </row>
    <row r="541" spans="1:22" ht="12" hidden="1" x14ac:dyDescent="0.25">
      <c r="A541" s="94">
        <v>539</v>
      </c>
      <c r="B541" s="94" t="s">
        <v>613</v>
      </c>
      <c r="C541" s="94" t="s">
        <v>614</v>
      </c>
      <c r="D541" s="94" t="s">
        <v>614</v>
      </c>
      <c r="E541" s="94" t="s">
        <v>254</v>
      </c>
      <c r="F541" s="94" t="s">
        <v>18</v>
      </c>
      <c r="G541" s="94">
        <v>2023</v>
      </c>
      <c r="H541" s="94">
        <v>-1</v>
      </c>
      <c r="I541" s="95"/>
      <c r="J541" s="96"/>
      <c r="K541" s="94">
        <v>1</v>
      </c>
      <c r="L541" s="95">
        <v>45037</v>
      </c>
      <c r="M541" s="94">
        <v>2</v>
      </c>
      <c r="N541" s="97">
        <v>84238</v>
      </c>
      <c r="O541" s="126">
        <v>68</v>
      </c>
      <c r="P541" s="127">
        <v>45057</v>
      </c>
      <c r="Q541" s="94">
        <v>1</v>
      </c>
      <c r="R541" s="97">
        <v>85435.37</v>
      </c>
      <c r="S541" s="94">
        <v>1</v>
      </c>
      <c r="T541" s="128">
        <v>45072</v>
      </c>
      <c r="U541" s="97">
        <v>81163.60149999999</v>
      </c>
    </row>
    <row r="542" spans="1:22" ht="12" hidden="1" x14ac:dyDescent="0.25">
      <c r="A542" s="94">
        <v>540</v>
      </c>
      <c r="B542" s="94" t="s">
        <v>613</v>
      </c>
      <c r="C542" s="94" t="s">
        <v>614</v>
      </c>
      <c r="D542" s="94" t="s">
        <v>614</v>
      </c>
      <c r="E542" s="94" t="s">
        <v>254</v>
      </c>
      <c r="F542" s="94" t="s">
        <v>18</v>
      </c>
      <c r="G542" s="94">
        <v>2023</v>
      </c>
      <c r="H542" s="94">
        <v>-1</v>
      </c>
      <c r="I542" s="95"/>
      <c r="J542" s="96"/>
      <c r="K542" s="94">
        <v>1</v>
      </c>
      <c r="L542" s="95">
        <v>45067</v>
      </c>
      <c r="M542" s="94">
        <v>3</v>
      </c>
      <c r="N542" s="156">
        <v>55572</v>
      </c>
      <c r="O542" s="126">
        <v>75</v>
      </c>
      <c r="P542" s="127">
        <v>45077</v>
      </c>
      <c r="Q542" s="94">
        <v>1</v>
      </c>
      <c r="R542" s="97">
        <v>55572.160000000003</v>
      </c>
      <c r="S542" s="94">
        <v>1</v>
      </c>
      <c r="T542" s="128">
        <v>45091</v>
      </c>
      <c r="U542" s="97">
        <v>52793.552000000003</v>
      </c>
      <c r="V542" s="94" t="s">
        <v>19</v>
      </c>
    </row>
    <row r="543" spans="1:22" ht="12" hidden="1" x14ac:dyDescent="0.25">
      <c r="A543" s="94">
        <v>541</v>
      </c>
      <c r="B543" s="94" t="s">
        <v>613</v>
      </c>
      <c r="C543" s="94" t="s">
        <v>614</v>
      </c>
      <c r="D543" s="94" t="s">
        <v>614</v>
      </c>
      <c r="E543" s="94" t="s">
        <v>254</v>
      </c>
      <c r="F543" s="94" t="s">
        <v>18</v>
      </c>
      <c r="G543" s="94">
        <v>2023</v>
      </c>
      <c r="H543" s="94">
        <v>-1</v>
      </c>
      <c r="I543" s="95"/>
      <c r="J543" s="96"/>
      <c r="K543" s="94">
        <v>1</v>
      </c>
      <c r="L543" s="95">
        <v>45098</v>
      </c>
      <c r="M543" s="94">
        <v>4</v>
      </c>
      <c r="N543" s="134">
        <v>74696</v>
      </c>
      <c r="O543" s="126">
        <v>87</v>
      </c>
      <c r="P543" s="127">
        <v>45112</v>
      </c>
      <c r="Q543" s="94">
        <v>1</v>
      </c>
      <c r="R543" s="97">
        <v>74696</v>
      </c>
      <c r="S543" s="94">
        <v>1</v>
      </c>
      <c r="T543" s="128">
        <v>45128</v>
      </c>
      <c r="U543" s="97">
        <v>70961.2</v>
      </c>
    </row>
    <row r="544" spans="1:22" ht="12" hidden="1" x14ac:dyDescent="0.25">
      <c r="A544" s="94">
        <v>542</v>
      </c>
      <c r="B544" s="94" t="s">
        <v>613</v>
      </c>
      <c r="C544" s="94" t="s">
        <v>614</v>
      </c>
      <c r="D544" s="94" t="s">
        <v>614</v>
      </c>
      <c r="E544" s="94" t="s">
        <v>254</v>
      </c>
      <c r="F544" s="94" t="s">
        <v>18</v>
      </c>
      <c r="G544" s="94">
        <v>2023</v>
      </c>
      <c r="H544" s="94">
        <v>-1</v>
      </c>
      <c r="I544" s="95"/>
      <c r="J544" s="96"/>
      <c r="K544" s="94">
        <v>1</v>
      </c>
      <c r="L544" s="95">
        <v>45134</v>
      </c>
      <c r="M544" s="112">
        <v>5</v>
      </c>
      <c r="N544" s="97">
        <v>45701.05</v>
      </c>
      <c r="O544" s="126">
        <v>99</v>
      </c>
      <c r="P544" s="127">
        <v>45142</v>
      </c>
      <c r="Q544" s="94">
        <v>1</v>
      </c>
      <c r="R544" s="97">
        <v>45701</v>
      </c>
      <c r="S544" s="94">
        <v>1</v>
      </c>
      <c r="T544" s="128">
        <v>45170</v>
      </c>
      <c r="U544" s="97">
        <v>43415.95</v>
      </c>
    </row>
    <row r="545" spans="1:22" ht="12" hidden="1" x14ac:dyDescent="0.25">
      <c r="A545" s="94">
        <v>543</v>
      </c>
      <c r="B545" s="94" t="s">
        <v>613</v>
      </c>
      <c r="C545" s="94" t="s">
        <v>614</v>
      </c>
      <c r="D545" s="94" t="s">
        <v>614</v>
      </c>
      <c r="E545" s="94" t="s">
        <v>254</v>
      </c>
      <c r="F545" s="94" t="s">
        <v>18</v>
      </c>
      <c r="G545" s="94">
        <v>2023</v>
      </c>
      <c r="H545" s="94">
        <v>-1</v>
      </c>
      <c r="I545" s="95"/>
      <c r="J545" s="96"/>
      <c r="K545" s="94">
        <v>1</v>
      </c>
      <c r="L545" s="95">
        <v>45163</v>
      </c>
      <c r="M545" s="94">
        <v>6</v>
      </c>
      <c r="N545" s="97">
        <v>27702</v>
      </c>
      <c r="O545" s="126">
        <v>116</v>
      </c>
      <c r="P545" s="127">
        <v>45209</v>
      </c>
      <c r="Q545" s="94">
        <v>1</v>
      </c>
      <c r="R545" s="97">
        <v>27702</v>
      </c>
      <c r="S545" s="94">
        <v>1</v>
      </c>
      <c r="T545" s="128">
        <v>45219</v>
      </c>
      <c r="U545" s="97">
        <v>26316.899999999998</v>
      </c>
    </row>
    <row r="546" spans="1:22" ht="12" hidden="1" x14ac:dyDescent="0.25">
      <c r="A546" s="94">
        <v>544</v>
      </c>
      <c r="B546" s="94" t="s">
        <v>613</v>
      </c>
      <c r="C546" s="94" t="s">
        <v>614</v>
      </c>
      <c r="D546" s="98" t="s">
        <v>614</v>
      </c>
      <c r="E546" s="98" t="s">
        <v>254</v>
      </c>
      <c r="F546" s="98" t="s">
        <v>18</v>
      </c>
      <c r="G546" s="98">
        <v>2023</v>
      </c>
      <c r="H546" s="98">
        <v>1</v>
      </c>
      <c r="I546" s="98">
        <v>45170</v>
      </c>
      <c r="J546" s="146">
        <v>61272</v>
      </c>
      <c r="K546" s="98">
        <v>1</v>
      </c>
      <c r="L546" s="111">
        <v>45194</v>
      </c>
      <c r="M546" s="98">
        <v>7</v>
      </c>
      <c r="N546" s="129">
        <v>38387</v>
      </c>
      <c r="O546" s="147">
        <v>117</v>
      </c>
      <c r="P546" s="111">
        <v>45209</v>
      </c>
      <c r="Q546" s="98">
        <v>1</v>
      </c>
      <c r="R546" s="129">
        <v>38387</v>
      </c>
      <c r="S546" s="94">
        <v>1</v>
      </c>
      <c r="T546" s="111">
        <v>45219</v>
      </c>
      <c r="U546" s="129">
        <v>36467.65</v>
      </c>
      <c r="V546" s="98"/>
    </row>
    <row r="547" spans="1:22" ht="12" hidden="1" x14ac:dyDescent="0.25">
      <c r="A547" s="94">
        <v>545</v>
      </c>
      <c r="B547" s="94" t="s">
        <v>613</v>
      </c>
      <c r="C547" s="94" t="s">
        <v>614</v>
      </c>
      <c r="D547" s="98" t="s">
        <v>614</v>
      </c>
      <c r="E547" s="98" t="s">
        <v>254</v>
      </c>
      <c r="F547" s="98" t="s">
        <v>18</v>
      </c>
      <c r="G547" s="98">
        <v>2023</v>
      </c>
      <c r="H547" s="98">
        <v>1</v>
      </c>
      <c r="I547" s="98">
        <v>45200</v>
      </c>
      <c r="J547" s="146">
        <v>22885</v>
      </c>
      <c r="K547" s="98">
        <v>1</v>
      </c>
      <c r="L547" s="111">
        <v>45222</v>
      </c>
      <c r="M547" s="98">
        <v>8</v>
      </c>
      <c r="N547" s="129">
        <v>21231</v>
      </c>
      <c r="O547" s="147">
        <v>124</v>
      </c>
      <c r="P547" s="111">
        <v>45237</v>
      </c>
      <c r="Q547" s="98">
        <v>1</v>
      </c>
      <c r="R547" s="129">
        <v>21231</v>
      </c>
      <c r="S547" s="94">
        <v>1</v>
      </c>
      <c r="T547" s="111">
        <v>45247</v>
      </c>
      <c r="U547" s="129">
        <v>20169.45</v>
      </c>
      <c r="V547" s="98"/>
    </row>
    <row r="548" spans="1:22" ht="12" hidden="1" x14ac:dyDescent="0.25">
      <c r="A548" s="94">
        <v>546</v>
      </c>
      <c r="B548" s="94" t="s">
        <v>613</v>
      </c>
      <c r="C548" s="94" t="s">
        <v>614</v>
      </c>
      <c r="D548" s="98" t="s">
        <v>614</v>
      </c>
      <c r="E548" s="98" t="s">
        <v>254</v>
      </c>
      <c r="F548" s="98" t="s">
        <v>18</v>
      </c>
      <c r="G548" s="98">
        <v>2023</v>
      </c>
      <c r="H548" s="98">
        <v>1</v>
      </c>
      <c r="I548" s="98">
        <v>45231</v>
      </c>
      <c r="J548" s="146">
        <v>1654</v>
      </c>
      <c r="K548" s="98">
        <v>1</v>
      </c>
      <c r="L548" s="111">
        <v>45250</v>
      </c>
      <c r="M548" s="98">
        <v>9</v>
      </c>
      <c r="N548" s="129">
        <v>90409</v>
      </c>
      <c r="O548" s="147">
        <v>155</v>
      </c>
      <c r="P548" s="111">
        <v>45301</v>
      </c>
      <c r="Q548" s="98">
        <v>1</v>
      </c>
      <c r="R548" s="129">
        <v>90409</v>
      </c>
      <c r="S548" s="94">
        <v>1</v>
      </c>
      <c r="T548" s="111">
        <v>45310</v>
      </c>
      <c r="U548" s="129">
        <v>85888.55</v>
      </c>
      <c r="V548" s="98"/>
    </row>
    <row r="549" spans="1:22" ht="12" hidden="1" x14ac:dyDescent="0.25">
      <c r="A549" s="94">
        <v>547</v>
      </c>
      <c r="B549" s="94" t="s">
        <v>613</v>
      </c>
      <c r="C549" s="94" t="s">
        <v>614</v>
      </c>
      <c r="D549" s="98" t="s">
        <v>614</v>
      </c>
      <c r="E549" s="98" t="s">
        <v>254</v>
      </c>
      <c r="F549" s="98" t="s">
        <v>18</v>
      </c>
      <c r="G549" s="98">
        <v>2024</v>
      </c>
      <c r="H549" s="98">
        <v>-1</v>
      </c>
      <c r="I549" s="98">
        <v>45292</v>
      </c>
      <c r="J549" s="146">
        <v>0</v>
      </c>
      <c r="K549" s="98">
        <v>1</v>
      </c>
      <c r="L549" s="111">
        <v>45316</v>
      </c>
      <c r="M549" s="98">
        <v>10</v>
      </c>
      <c r="N549" s="129">
        <v>9515</v>
      </c>
      <c r="O549" s="147">
        <v>161</v>
      </c>
      <c r="P549" s="111">
        <v>44966</v>
      </c>
      <c r="Q549" s="98">
        <v>1</v>
      </c>
      <c r="R549" s="129">
        <v>9515</v>
      </c>
      <c r="S549" s="94">
        <v>1</v>
      </c>
      <c r="T549" s="111">
        <v>45352</v>
      </c>
      <c r="U549" s="129">
        <v>9039</v>
      </c>
      <c r="V549" s="98"/>
    </row>
    <row r="550" spans="1:22" ht="12" hidden="1" x14ac:dyDescent="0.25">
      <c r="A550" s="94">
        <v>548</v>
      </c>
      <c r="B550" s="94" t="s">
        <v>615</v>
      </c>
      <c r="C550" s="94" t="s">
        <v>616</v>
      </c>
      <c r="D550" s="98" t="s">
        <v>616</v>
      </c>
      <c r="E550" s="98" t="s">
        <v>262</v>
      </c>
      <c r="F550" s="98" t="s">
        <v>70</v>
      </c>
      <c r="G550" s="98">
        <v>2023</v>
      </c>
      <c r="H550" s="98">
        <v>-1</v>
      </c>
      <c r="I550" s="98"/>
      <c r="J550" s="146"/>
      <c r="K550" s="98">
        <v>1</v>
      </c>
      <c r="L550" s="111">
        <v>45037</v>
      </c>
      <c r="M550" s="98">
        <v>1</v>
      </c>
      <c r="N550" s="129">
        <v>49792</v>
      </c>
      <c r="O550" s="147" t="s">
        <v>617</v>
      </c>
      <c r="P550" s="111">
        <v>45048</v>
      </c>
      <c r="Q550" s="98">
        <v>1</v>
      </c>
      <c r="R550" s="129">
        <v>49792</v>
      </c>
      <c r="S550" s="94">
        <v>1</v>
      </c>
      <c r="T550" s="111">
        <v>45055</v>
      </c>
      <c r="U550" s="129">
        <v>49792</v>
      </c>
      <c r="V550" s="98"/>
    </row>
    <row r="551" spans="1:22" ht="12" hidden="1" x14ac:dyDescent="0.25">
      <c r="A551" s="94">
        <v>549</v>
      </c>
      <c r="B551" s="98" t="s">
        <v>618</v>
      </c>
      <c r="C551" s="98" t="s">
        <v>745</v>
      </c>
      <c r="D551" s="98" t="s">
        <v>619</v>
      </c>
      <c r="E551" s="98" t="s">
        <v>262</v>
      </c>
      <c r="F551" s="98" t="s">
        <v>70</v>
      </c>
      <c r="G551" s="98">
        <v>2023</v>
      </c>
      <c r="H551" s="98">
        <v>-1</v>
      </c>
      <c r="I551" s="111"/>
      <c r="J551" s="135"/>
      <c r="K551" s="98">
        <v>1</v>
      </c>
      <c r="L551" s="111">
        <v>45037</v>
      </c>
      <c r="M551" s="98">
        <v>1</v>
      </c>
      <c r="N551" s="129">
        <v>170704</v>
      </c>
      <c r="O551" s="130" t="s">
        <v>620</v>
      </c>
      <c r="P551" s="131">
        <v>45048</v>
      </c>
      <c r="Q551" s="98">
        <v>1</v>
      </c>
      <c r="R551" s="129">
        <v>170704</v>
      </c>
      <c r="S551" s="94">
        <v>1</v>
      </c>
      <c r="T551" s="132">
        <v>45055</v>
      </c>
      <c r="U551" s="129">
        <v>170704</v>
      </c>
      <c r="V551" s="98"/>
    </row>
    <row r="552" spans="1:22" ht="12" hidden="1" x14ac:dyDescent="0.25">
      <c r="A552" s="94">
        <v>550</v>
      </c>
      <c r="B552" s="98" t="s">
        <v>618</v>
      </c>
      <c r="C552" s="98" t="s">
        <v>745</v>
      </c>
      <c r="D552" s="98" t="s">
        <v>619</v>
      </c>
      <c r="E552" s="98" t="s">
        <v>262</v>
      </c>
      <c r="F552" s="98" t="s">
        <v>70</v>
      </c>
      <c r="G552" s="98">
        <v>2023</v>
      </c>
      <c r="H552" s="98">
        <v>-1</v>
      </c>
      <c r="I552" s="111"/>
      <c r="J552" s="135"/>
      <c r="K552" s="98">
        <v>1</v>
      </c>
      <c r="L552" s="111">
        <v>45067</v>
      </c>
      <c r="M552" s="98">
        <v>2</v>
      </c>
      <c r="N552" s="135">
        <v>32056</v>
      </c>
      <c r="O552" s="131" t="s">
        <v>621</v>
      </c>
      <c r="P552" s="131">
        <v>45097</v>
      </c>
      <c r="Q552" s="98">
        <v>1</v>
      </c>
      <c r="R552" s="129">
        <v>32056</v>
      </c>
      <c r="S552" s="94">
        <v>1</v>
      </c>
      <c r="T552" s="132">
        <v>45112</v>
      </c>
      <c r="U552" s="129">
        <v>32056</v>
      </c>
      <c r="V552" s="98"/>
    </row>
    <row r="553" spans="1:22" ht="12" hidden="1" x14ac:dyDescent="0.25">
      <c r="A553" s="94">
        <v>551</v>
      </c>
      <c r="B553" s="98" t="s">
        <v>618</v>
      </c>
      <c r="C553" s="98" t="s">
        <v>745</v>
      </c>
      <c r="D553" s="98" t="s">
        <v>619</v>
      </c>
      <c r="E553" s="98" t="s">
        <v>262</v>
      </c>
      <c r="F553" s="98" t="s">
        <v>70</v>
      </c>
      <c r="G553" s="98">
        <v>2023</v>
      </c>
      <c r="H553" s="98">
        <v>-1</v>
      </c>
      <c r="I553" s="111"/>
      <c r="J553" s="135"/>
      <c r="K553" s="98">
        <v>1</v>
      </c>
      <c r="L553" s="111">
        <v>45169</v>
      </c>
      <c r="M553" s="98">
        <v>3</v>
      </c>
      <c r="N553" s="129">
        <v>30392</v>
      </c>
      <c r="O553" s="131" t="s">
        <v>622</v>
      </c>
      <c r="P553" s="131">
        <v>45192</v>
      </c>
      <c r="Q553" s="98">
        <v>1</v>
      </c>
      <c r="R553" s="129">
        <v>30392</v>
      </c>
      <c r="S553" s="94">
        <v>1</v>
      </c>
      <c r="T553" s="132">
        <v>45201</v>
      </c>
      <c r="U553" s="129">
        <v>30392</v>
      </c>
      <c r="V553" s="98" t="s">
        <v>623</v>
      </c>
    </row>
    <row r="554" spans="1:22" ht="12" hidden="1" x14ac:dyDescent="0.25">
      <c r="A554" s="94">
        <v>552</v>
      </c>
      <c r="B554" s="94" t="s">
        <v>618</v>
      </c>
      <c r="C554" s="94" t="s">
        <v>745</v>
      </c>
      <c r="D554" s="94" t="s">
        <v>619</v>
      </c>
      <c r="E554" s="94" t="s">
        <v>262</v>
      </c>
      <c r="F554" s="94" t="s">
        <v>70</v>
      </c>
      <c r="G554" s="94">
        <v>2023</v>
      </c>
      <c r="H554" s="94">
        <v>-1</v>
      </c>
      <c r="I554" s="95"/>
      <c r="J554" s="96"/>
      <c r="K554" s="94">
        <v>1</v>
      </c>
      <c r="L554" s="95">
        <v>45169</v>
      </c>
      <c r="M554" s="94">
        <v>4</v>
      </c>
      <c r="N554" s="96">
        <v>30392</v>
      </c>
      <c r="O554" s="128" t="s">
        <v>624</v>
      </c>
      <c r="P554" s="127">
        <v>45202</v>
      </c>
      <c r="Q554" s="94">
        <v>1</v>
      </c>
      <c r="R554" s="97">
        <v>30392</v>
      </c>
      <c r="S554" s="94">
        <v>1</v>
      </c>
      <c r="T554" s="128">
        <v>45209</v>
      </c>
      <c r="U554" s="97">
        <v>30392</v>
      </c>
      <c r="V554" s="114" t="s">
        <v>623</v>
      </c>
    </row>
    <row r="555" spans="1:22" ht="12" hidden="1" x14ac:dyDescent="0.25">
      <c r="A555" s="94">
        <v>553</v>
      </c>
      <c r="B555" s="94" t="s">
        <v>625</v>
      </c>
      <c r="C555" s="94" t="s">
        <v>746</v>
      </c>
      <c r="D555" s="94" t="s">
        <v>626</v>
      </c>
      <c r="E555" s="94" t="s">
        <v>262</v>
      </c>
      <c r="F555" s="94" t="s">
        <v>70</v>
      </c>
      <c r="G555" s="94">
        <v>2023</v>
      </c>
      <c r="H555" s="94">
        <v>1</v>
      </c>
      <c r="I555" s="95">
        <v>45170</v>
      </c>
      <c r="J555" s="142">
        <v>19715</v>
      </c>
      <c r="K555" s="94">
        <v>1</v>
      </c>
      <c r="L555" s="95">
        <v>45194</v>
      </c>
      <c r="M555" s="94">
        <v>1</v>
      </c>
      <c r="N555" s="96">
        <v>30014.519999999997</v>
      </c>
      <c r="O555" s="126" t="s">
        <v>627</v>
      </c>
      <c r="P555" s="127">
        <v>45215</v>
      </c>
      <c r="Q555" s="94">
        <v>1</v>
      </c>
      <c r="R555" s="97">
        <v>30000</v>
      </c>
      <c r="S555" s="94">
        <v>1</v>
      </c>
      <c r="T555" s="128">
        <v>45222</v>
      </c>
      <c r="U555" s="97">
        <v>30000</v>
      </c>
      <c r="V555" s="148"/>
    </row>
    <row r="556" spans="1:22" ht="12" hidden="1" x14ac:dyDescent="0.25">
      <c r="A556" s="94">
        <v>554</v>
      </c>
      <c r="B556" s="94" t="s">
        <v>625</v>
      </c>
      <c r="C556" s="94" t="s">
        <v>746</v>
      </c>
      <c r="D556" s="94" t="s">
        <v>626</v>
      </c>
      <c r="E556" s="94" t="s">
        <v>262</v>
      </c>
      <c r="F556" s="94" t="s">
        <v>70</v>
      </c>
      <c r="G556" s="94">
        <v>2023</v>
      </c>
      <c r="H556" s="94">
        <v>1</v>
      </c>
      <c r="I556" s="95">
        <v>45200</v>
      </c>
      <c r="J556" s="142">
        <v>50809</v>
      </c>
      <c r="K556" s="94">
        <v>1</v>
      </c>
      <c r="L556" s="95">
        <v>45222</v>
      </c>
      <c r="M556" s="94">
        <v>2</v>
      </c>
      <c r="N556" s="96">
        <v>32480.2</v>
      </c>
      <c r="O556" s="126" t="s">
        <v>628</v>
      </c>
      <c r="P556" s="128">
        <v>45266</v>
      </c>
      <c r="Q556" s="94">
        <v>1</v>
      </c>
      <c r="R556" s="97">
        <v>32480.2</v>
      </c>
      <c r="S556" s="94">
        <v>1</v>
      </c>
      <c r="T556" s="128">
        <v>45289</v>
      </c>
      <c r="U556" s="96">
        <v>32480.2</v>
      </c>
      <c r="V556" s="148"/>
    </row>
    <row r="557" spans="1:22" ht="12" hidden="1" x14ac:dyDescent="0.25">
      <c r="A557" s="94">
        <v>555</v>
      </c>
      <c r="B557" s="94" t="s">
        <v>625</v>
      </c>
      <c r="C557" s="94" t="s">
        <v>746</v>
      </c>
      <c r="D557" s="94" t="s">
        <v>626</v>
      </c>
      <c r="E557" s="94" t="s">
        <v>262</v>
      </c>
      <c r="F557" s="94" t="s">
        <v>70</v>
      </c>
      <c r="G557" s="94">
        <v>2023</v>
      </c>
      <c r="H557" s="94">
        <v>1</v>
      </c>
      <c r="I557" s="95">
        <v>45261</v>
      </c>
      <c r="J557" s="96">
        <v>19354</v>
      </c>
      <c r="K557" s="94">
        <v>1</v>
      </c>
      <c r="L557" s="117">
        <v>45282</v>
      </c>
      <c r="M557" s="94">
        <v>3</v>
      </c>
      <c r="N557" s="96">
        <v>19649.28</v>
      </c>
      <c r="O557" s="126" t="s">
        <v>629</v>
      </c>
      <c r="P557" s="127">
        <v>45281</v>
      </c>
      <c r="Q557" s="94">
        <v>1</v>
      </c>
      <c r="R557" s="97">
        <v>19649.28</v>
      </c>
      <c r="S557" s="94">
        <v>1</v>
      </c>
      <c r="T557" s="128">
        <v>45289</v>
      </c>
      <c r="U557" s="97">
        <v>19649</v>
      </c>
    </row>
    <row r="558" spans="1:22" ht="12" hidden="1" x14ac:dyDescent="0.25">
      <c r="A558" s="94">
        <v>556</v>
      </c>
      <c r="B558" s="94" t="s">
        <v>91</v>
      </c>
      <c r="C558" s="94" t="s">
        <v>113</v>
      </c>
      <c r="D558" s="94" t="s">
        <v>630</v>
      </c>
      <c r="E558" s="94" t="s">
        <v>631</v>
      </c>
      <c r="F558" s="94" t="s">
        <v>70</v>
      </c>
      <c r="G558" s="94">
        <v>2023</v>
      </c>
      <c r="H558" s="94">
        <v>1</v>
      </c>
      <c r="I558" s="95">
        <v>45231</v>
      </c>
      <c r="J558" s="96">
        <v>18705</v>
      </c>
      <c r="K558" s="94">
        <v>1</v>
      </c>
      <c r="L558" s="117">
        <v>45288</v>
      </c>
      <c r="M558" s="94">
        <v>1</v>
      </c>
      <c r="N558" s="97">
        <v>36681.875</v>
      </c>
      <c r="O558" s="126" t="s">
        <v>632</v>
      </c>
      <c r="P558" s="143">
        <v>45267</v>
      </c>
      <c r="Q558" s="94">
        <v>1</v>
      </c>
      <c r="R558" s="97">
        <v>36682</v>
      </c>
      <c r="S558" s="94">
        <v>1</v>
      </c>
      <c r="T558" s="128">
        <v>45289</v>
      </c>
      <c r="U558" s="133">
        <v>36682</v>
      </c>
      <c r="V558" s="94" t="s">
        <v>633</v>
      </c>
    </row>
    <row r="559" spans="1:22" ht="12" hidden="1" x14ac:dyDescent="0.25">
      <c r="A559" s="94">
        <v>557</v>
      </c>
      <c r="B559" s="94" t="s">
        <v>91</v>
      </c>
      <c r="C559" s="94" t="s">
        <v>113</v>
      </c>
      <c r="D559" s="94" t="s">
        <v>630</v>
      </c>
      <c r="E559" s="94" t="s">
        <v>293</v>
      </c>
      <c r="F559" s="94" t="s">
        <v>70</v>
      </c>
      <c r="G559" s="94">
        <v>2024</v>
      </c>
      <c r="H559" s="94">
        <v>1</v>
      </c>
      <c r="I559" s="95">
        <v>45323</v>
      </c>
      <c r="J559" s="96">
        <v>19948</v>
      </c>
      <c r="K559" s="94">
        <v>1</v>
      </c>
      <c r="L559" s="117">
        <v>45327</v>
      </c>
      <c r="M559" s="94">
        <v>2</v>
      </c>
      <c r="N559" s="97">
        <v>14729</v>
      </c>
      <c r="O559" s="126" t="s">
        <v>634</v>
      </c>
      <c r="P559" s="127">
        <v>45425</v>
      </c>
      <c r="Q559" s="94">
        <v>1</v>
      </c>
      <c r="R559" s="97">
        <v>14729</v>
      </c>
      <c r="S559" s="94">
        <v>1</v>
      </c>
      <c r="T559" s="159">
        <v>45523</v>
      </c>
      <c r="U559" s="97">
        <v>14729</v>
      </c>
      <c r="V559" s="94" t="s">
        <v>635</v>
      </c>
    </row>
    <row r="560" spans="1:22" ht="12" hidden="1" x14ac:dyDescent="0.25">
      <c r="A560" s="94">
        <v>558</v>
      </c>
      <c r="B560" s="94" t="s">
        <v>91</v>
      </c>
      <c r="C560" s="94" t="s">
        <v>113</v>
      </c>
      <c r="D560" s="94" t="s">
        <v>630</v>
      </c>
      <c r="E560" s="94" t="s">
        <v>293</v>
      </c>
      <c r="F560" s="94" t="s">
        <v>70</v>
      </c>
      <c r="G560" s="94">
        <v>2024</v>
      </c>
      <c r="H560" s="94">
        <v>-1</v>
      </c>
      <c r="I560" s="95"/>
      <c r="J560" s="96"/>
      <c r="K560" s="94">
        <v>1</v>
      </c>
      <c r="L560" s="95">
        <v>45533</v>
      </c>
      <c r="M560" s="94">
        <v>3</v>
      </c>
      <c r="N560" s="97">
        <v>5218</v>
      </c>
      <c r="O560" s="126" t="s">
        <v>705</v>
      </c>
      <c r="P560" s="127"/>
      <c r="Q560" s="94">
        <v>1</v>
      </c>
      <c r="S560" s="94">
        <v>-1</v>
      </c>
      <c r="T560" s="128"/>
      <c r="V560" s="126" t="s">
        <v>747</v>
      </c>
    </row>
    <row r="561" spans="1:22" ht="12" hidden="1" x14ac:dyDescent="0.25">
      <c r="A561" s="94">
        <v>559</v>
      </c>
      <c r="B561" s="94" t="s">
        <v>92</v>
      </c>
      <c r="C561" s="94" t="s">
        <v>93</v>
      </c>
      <c r="D561" s="94" t="s">
        <v>93</v>
      </c>
      <c r="E561" s="94" t="s">
        <v>293</v>
      </c>
      <c r="F561" s="94" t="s">
        <v>70</v>
      </c>
      <c r="G561" s="94">
        <v>2024</v>
      </c>
      <c r="H561" s="94">
        <v>-1</v>
      </c>
      <c r="I561" s="95"/>
      <c r="J561" s="96"/>
      <c r="K561" s="94">
        <v>1</v>
      </c>
      <c r="L561" s="117">
        <v>45498</v>
      </c>
      <c r="M561" s="94">
        <v>1</v>
      </c>
      <c r="N561" s="97">
        <v>20941</v>
      </c>
      <c r="O561" s="126" t="s">
        <v>636</v>
      </c>
      <c r="P561" s="127">
        <v>45538</v>
      </c>
      <c r="Q561" s="94">
        <v>1</v>
      </c>
      <c r="R561" s="97">
        <v>20503</v>
      </c>
      <c r="S561" s="94">
        <v>1</v>
      </c>
      <c r="T561" s="128">
        <v>45607</v>
      </c>
      <c r="U561" s="97">
        <v>20085</v>
      </c>
    </row>
    <row r="562" spans="1:22" ht="12" hidden="1" x14ac:dyDescent="0.25">
      <c r="A562" s="94">
        <v>560</v>
      </c>
      <c r="B562" s="94" t="s">
        <v>92</v>
      </c>
      <c r="C562" s="94" t="s">
        <v>93</v>
      </c>
      <c r="D562" s="94" t="s">
        <v>93</v>
      </c>
      <c r="E562" s="94" t="s">
        <v>293</v>
      </c>
      <c r="F562" s="94" t="s">
        <v>70</v>
      </c>
      <c r="G562" s="94">
        <v>2024</v>
      </c>
      <c r="H562" s="94">
        <v>-1</v>
      </c>
      <c r="I562" s="95"/>
      <c r="J562" s="96"/>
      <c r="K562" s="94">
        <v>1</v>
      </c>
      <c r="L562" s="117">
        <v>45534</v>
      </c>
      <c r="M562" s="94">
        <v>2</v>
      </c>
      <c r="N562" s="97">
        <v>32848</v>
      </c>
      <c r="O562" s="126" t="s">
        <v>637</v>
      </c>
      <c r="P562" s="127">
        <v>45569</v>
      </c>
      <c r="Q562" s="94">
        <v>1</v>
      </c>
      <c r="R562" s="97">
        <v>32848</v>
      </c>
      <c r="S562" s="94">
        <v>1</v>
      </c>
      <c r="T562" s="128">
        <v>45677</v>
      </c>
      <c r="U562" s="145">
        <v>34109</v>
      </c>
    </row>
    <row r="563" spans="1:22" ht="12" hidden="1" x14ac:dyDescent="0.25">
      <c r="A563" s="94">
        <v>561</v>
      </c>
      <c r="B563" s="94" t="s">
        <v>92</v>
      </c>
      <c r="C563" s="94" t="s">
        <v>93</v>
      </c>
      <c r="D563" s="94" t="s">
        <v>93</v>
      </c>
      <c r="E563" s="94" t="s">
        <v>293</v>
      </c>
      <c r="F563" s="94" t="s">
        <v>70</v>
      </c>
      <c r="G563" s="94">
        <v>2024</v>
      </c>
      <c r="H563" s="94">
        <v>-1</v>
      </c>
      <c r="I563" s="95"/>
      <c r="J563" s="96"/>
      <c r="K563" s="94">
        <v>1</v>
      </c>
      <c r="L563" s="117">
        <v>45565</v>
      </c>
      <c r="M563" s="94">
        <v>3</v>
      </c>
      <c r="N563" s="97">
        <v>24147</v>
      </c>
      <c r="O563" s="126" t="s">
        <v>638</v>
      </c>
      <c r="P563" s="127">
        <v>45645</v>
      </c>
      <c r="Q563" s="94">
        <v>1</v>
      </c>
      <c r="R563" s="97">
        <v>24147</v>
      </c>
      <c r="S563" s="94">
        <v>1</v>
      </c>
      <c r="T563" s="128">
        <v>45817</v>
      </c>
      <c r="U563" s="97">
        <v>24174</v>
      </c>
    </row>
    <row r="564" spans="1:22" ht="12" hidden="1" x14ac:dyDescent="0.25">
      <c r="A564" s="94">
        <v>562</v>
      </c>
      <c r="B564" s="94" t="s">
        <v>639</v>
      </c>
      <c r="C564" s="94" t="s">
        <v>640</v>
      </c>
      <c r="D564" s="94" t="s">
        <v>640</v>
      </c>
      <c r="E564" s="94" t="s">
        <v>294</v>
      </c>
      <c r="F564" s="94" t="s">
        <v>18</v>
      </c>
      <c r="G564" s="94">
        <v>2024</v>
      </c>
      <c r="H564" s="94">
        <v>-1</v>
      </c>
      <c r="I564" s="95"/>
      <c r="J564" s="96"/>
      <c r="K564" s="94">
        <v>1</v>
      </c>
      <c r="L564" s="117">
        <v>45440</v>
      </c>
      <c r="M564" s="94">
        <v>1</v>
      </c>
      <c r="N564" s="97">
        <v>35073</v>
      </c>
      <c r="O564" s="126">
        <v>188</v>
      </c>
      <c r="P564" s="127">
        <v>45440</v>
      </c>
      <c r="Q564" s="94">
        <v>1</v>
      </c>
      <c r="R564" s="97">
        <v>35073</v>
      </c>
      <c r="S564" s="94">
        <v>1</v>
      </c>
      <c r="T564" s="128">
        <v>45450</v>
      </c>
      <c r="U564" s="97">
        <v>35073</v>
      </c>
    </row>
    <row r="565" spans="1:22" ht="12" hidden="1" x14ac:dyDescent="0.25">
      <c r="A565" s="94">
        <v>563</v>
      </c>
      <c r="B565" s="94" t="s">
        <v>641</v>
      </c>
      <c r="C565" s="94" t="s">
        <v>202</v>
      </c>
      <c r="D565" s="94" t="s">
        <v>202</v>
      </c>
      <c r="E565" s="94" t="s">
        <v>642</v>
      </c>
      <c r="F565" s="94" t="s">
        <v>6</v>
      </c>
      <c r="G565" s="94">
        <v>2025</v>
      </c>
      <c r="H565" s="94">
        <v>-1</v>
      </c>
      <c r="I565" s="95"/>
      <c r="J565" s="96"/>
      <c r="K565" s="94">
        <v>1</v>
      </c>
      <c r="L565" s="117">
        <v>45855</v>
      </c>
      <c r="M565" s="94">
        <v>1</v>
      </c>
      <c r="N565" s="97">
        <v>40750</v>
      </c>
      <c r="O565" s="126">
        <v>82</v>
      </c>
      <c r="P565" s="128">
        <v>45863</v>
      </c>
      <c r="Q565" s="94">
        <v>1</v>
      </c>
      <c r="R565" s="96">
        <v>40750</v>
      </c>
      <c r="S565" s="94">
        <v>1</v>
      </c>
      <c r="T565" s="128">
        <v>45897</v>
      </c>
      <c r="U565" s="96">
        <v>39998</v>
      </c>
    </row>
    <row r="566" spans="1:22" ht="12" hidden="1" x14ac:dyDescent="0.25">
      <c r="A566" s="94">
        <v>564</v>
      </c>
      <c r="B566" s="94" t="s">
        <v>641</v>
      </c>
      <c r="C566" s="94" t="s">
        <v>202</v>
      </c>
      <c r="D566" s="94" t="s">
        <v>202</v>
      </c>
      <c r="E566" s="94" t="s">
        <v>642</v>
      </c>
      <c r="F566" s="94" t="s">
        <v>6</v>
      </c>
      <c r="G566" s="94">
        <v>2025</v>
      </c>
      <c r="H566" s="94">
        <v>-1</v>
      </c>
      <c r="I566" s="95"/>
      <c r="J566" s="96"/>
      <c r="K566" s="94">
        <v>1</v>
      </c>
      <c r="L566" s="117">
        <v>45889</v>
      </c>
      <c r="M566" s="94">
        <v>2</v>
      </c>
      <c r="N566" s="97">
        <v>107370</v>
      </c>
      <c r="O566" s="126">
        <v>90</v>
      </c>
      <c r="P566" s="128">
        <v>45895</v>
      </c>
      <c r="Q566" s="94">
        <v>1</v>
      </c>
      <c r="R566" s="96">
        <v>107128</v>
      </c>
      <c r="S566" s="94">
        <v>1</v>
      </c>
      <c r="T566" s="128">
        <v>45932</v>
      </c>
      <c r="U566" s="96">
        <v>102865</v>
      </c>
    </row>
    <row r="567" spans="1:22" ht="12" hidden="1" x14ac:dyDescent="0.25">
      <c r="A567" s="94">
        <v>565</v>
      </c>
      <c r="B567" s="94" t="s">
        <v>641</v>
      </c>
      <c r="C567" s="94" t="s">
        <v>202</v>
      </c>
      <c r="D567" s="94" t="s">
        <v>202</v>
      </c>
      <c r="E567" s="94" t="s">
        <v>642</v>
      </c>
      <c r="F567" s="94" t="s">
        <v>6</v>
      </c>
      <c r="G567" s="94">
        <v>2025</v>
      </c>
      <c r="H567" s="94">
        <v>-1</v>
      </c>
      <c r="I567" s="95"/>
      <c r="J567" s="96"/>
      <c r="K567" s="94">
        <v>1</v>
      </c>
      <c r="L567" s="117">
        <v>45915</v>
      </c>
      <c r="M567" s="94">
        <v>3</v>
      </c>
      <c r="N567" s="97">
        <v>31880</v>
      </c>
      <c r="O567" s="126">
        <v>99</v>
      </c>
      <c r="P567" s="128">
        <v>45923</v>
      </c>
      <c r="Q567" s="94">
        <v>1</v>
      </c>
      <c r="R567" s="96">
        <v>29004.770642201835</v>
      </c>
      <c r="S567" s="94">
        <v>1</v>
      </c>
      <c r="T567" s="128">
        <v>45980</v>
      </c>
      <c r="U567" s="96">
        <v>27834</v>
      </c>
    </row>
    <row r="568" spans="1:22" ht="12" hidden="1" x14ac:dyDescent="0.25">
      <c r="A568" s="94">
        <v>566</v>
      </c>
      <c r="B568" s="94" t="s">
        <v>103</v>
      </c>
      <c r="C568" s="94" t="s">
        <v>104</v>
      </c>
      <c r="D568" s="94" t="s">
        <v>104</v>
      </c>
      <c r="E568" s="94" t="s">
        <v>643</v>
      </c>
      <c r="F568" s="94" t="s">
        <v>96</v>
      </c>
      <c r="G568" s="94">
        <v>2024</v>
      </c>
      <c r="H568" s="94">
        <v>-1</v>
      </c>
      <c r="I568" s="95"/>
      <c r="J568" s="96"/>
      <c r="K568" s="94">
        <v>1</v>
      </c>
      <c r="L568" s="117">
        <v>45614</v>
      </c>
      <c r="M568" s="94">
        <v>1</v>
      </c>
      <c r="N568" s="97">
        <v>28545</v>
      </c>
      <c r="O568" s="126" t="s">
        <v>255</v>
      </c>
      <c r="P568" s="127">
        <v>45614</v>
      </c>
      <c r="Q568" s="94">
        <v>1</v>
      </c>
      <c r="R568" s="97">
        <v>28545</v>
      </c>
      <c r="S568" s="94">
        <v>1</v>
      </c>
      <c r="T568" s="128">
        <v>45730</v>
      </c>
      <c r="U568" s="97">
        <v>28545</v>
      </c>
    </row>
    <row r="569" spans="1:22" ht="12" hidden="1" x14ac:dyDescent="0.25">
      <c r="A569" s="94">
        <v>567</v>
      </c>
      <c r="B569" s="94" t="s">
        <v>103</v>
      </c>
      <c r="C569" s="94" t="s">
        <v>104</v>
      </c>
      <c r="D569" s="94" t="s">
        <v>104</v>
      </c>
      <c r="E569" s="94" t="s">
        <v>643</v>
      </c>
      <c r="F569" s="94" t="s">
        <v>96</v>
      </c>
      <c r="G569" s="94">
        <v>2025</v>
      </c>
      <c r="H569" s="94">
        <v>-1</v>
      </c>
      <c r="I569" s="95"/>
      <c r="J569" s="96"/>
      <c r="K569" s="94">
        <v>1</v>
      </c>
      <c r="L569" s="117">
        <v>45807</v>
      </c>
      <c r="M569" s="94">
        <v>2</v>
      </c>
      <c r="N569" s="97">
        <v>74100</v>
      </c>
      <c r="O569" s="126" t="s">
        <v>255</v>
      </c>
      <c r="P569" s="127">
        <v>45814</v>
      </c>
      <c r="Q569" s="94">
        <v>1</v>
      </c>
      <c r="R569" s="97">
        <v>74100</v>
      </c>
      <c r="S569" s="94">
        <v>-1</v>
      </c>
      <c r="T569" s="128">
        <v>46049</v>
      </c>
      <c r="U569" s="97">
        <v>74100</v>
      </c>
      <c r="V569" s="94" t="s">
        <v>644</v>
      </c>
    </row>
    <row r="570" spans="1:22" ht="12" hidden="1" x14ac:dyDescent="0.25">
      <c r="A570" s="94">
        <v>568</v>
      </c>
      <c r="B570" s="94" t="s">
        <v>103</v>
      </c>
      <c r="C570" s="94" t="s">
        <v>104</v>
      </c>
      <c r="D570" s="94" t="s">
        <v>104</v>
      </c>
      <c r="E570" s="94" t="s">
        <v>643</v>
      </c>
      <c r="F570" s="94" t="s">
        <v>96</v>
      </c>
      <c r="G570" s="94">
        <v>2025</v>
      </c>
      <c r="H570" s="94">
        <v>-1</v>
      </c>
      <c r="I570" s="95"/>
      <c r="J570" s="96"/>
      <c r="K570" s="94">
        <v>1</v>
      </c>
      <c r="L570" s="117">
        <v>45834</v>
      </c>
      <c r="M570" s="94">
        <v>3</v>
      </c>
      <c r="N570" s="97">
        <v>129000</v>
      </c>
      <c r="O570" s="126" t="s">
        <v>255</v>
      </c>
      <c r="P570" s="127">
        <v>45834</v>
      </c>
      <c r="Q570" s="94">
        <v>1</v>
      </c>
      <c r="R570" s="97">
        <v>129000</v>
      </c>
      <c r="S570" s="94">
        <v>-1</v>
      </c>
      <c r="T570" s="128">
        <v>46049</v>
      </c>
      <c r="U570" s="97">
        <v>129000</v>
      </c>
      <c r="V570" s="94" t="s">
        <v>644</v>
      </c>
    </row>
    <row r="571" spans="1:22" ht="12" hidden="1" x14ac:dyDescent="0.25">
      <c r="A571" s="94">
        <v>569</v>
      </c>
      <c r="B571" s="94" t="s">
        <v>103</v>
      </c>
      <c r="C571" s="94" t="s">
        <v>104</v>
      </c>
      <c r="D571" s="94" t="s">
        <v>104</v>
      </c>
      <c r="E571" s="94" t="s">
        <v>643</v>
      </c>
      <c r="F571" s="94" t="s">
        <v>96</v>
      </c>
      <c r="G571" s="94">
        <v>2025</v>
      </c>
      <c r="H571" s="94">
        <v>-1</v>
      </c>
      <c r="I571" s="95"/>
      <c r="J571" s="96"/>
      <c r="K571" s="94">
        <v>1</v>
      </c>
      <c r="L571" s="117">
        <v>45864</v>
      </c>
      <c r="M571" s="94">
        <v>4</v>
      </c>
      <c r="N571" s="97">
        <v>114100</v>
      </c>
      <c r="O571" s="126" t="s">
        <v>255</v>
      </c>
      <c r="P571" s="127">
        <v>45874</v>
      </c>
      <c r="Q571" s="94">
        <v>1</v>
      </c>
      <c r="R571" s="97">
        <v>114100</v>
      </c>
      <c r="S571" s="94">
        <v>-1</v>
      </c>
      <c r="T571" s="128">
        <v>46049</v>
      </c>
      <c r="U571" s="97">
        <v>114100</v>
      </c>
      <c r="V571" s="94" t="s">
        <v>645</v>
      </c>
    </row>
    <row r="572" spans="1:22" ht="12" hidden="1" x14ac:dyDescent="0.25">
      <c r="A572" s="94">
        <v>570</v>
      </c>
      <c r="B572" s="94" t="s">
        <v>103</v>
      </c>
      <c r="C572" s="94" t="s">
        <v>104</v>
      </c>
      <c r="D572" s="94" t="s">
        <v>104</v>
      </c>
      <c r="E572" s="94" t="s">
        <v>643</v>
      </c>
      <c r="F572" s="94" t="s">
        <v>96</v>
      </c>
      <c r="G572" s="94">
        <v>2025</v>
      </c>
      <c r="H572" s="94">
        <v>-1</v>
      </c>
      <c r="I572" s="95"/>
      <c r="J572" s="96"/>
      <c r="K572" s="94">
        <v>1</v>
      </c>
      <c r="L572" s="117">
        <v>45900</v>
      </c>
      <c r="M572" s="94">
        <v>5</v>
      </c>
      <c r="N572" s="97">
        <v>150000</v>
      </c>
      <c r="O572" s="126" t="s">
        <v>255</v>
      </c>
      <c r="P572" s="127">
        <v>45950</v>
      </c>
      <c r="Q572" s="94">
        <v>1</v>
      </c>
      <c r="R572" s="97">
        <v>150000</v>
      </c>
      <c r="S572" s="94">
        <v>-1</v>
      </c>
      <c r="T572" s="128">
        <v>46049</v>
      </c>
      <c r="U572" s="97">
        <v>150000</v>
      </c>
    </row>
    <row r="573" spans="1:22" ht="12" hidden="1" x14ac:dyDescent="0.25">
      <c r="A573" s="94">
        <v>571</v>
      </c>
      <c r="B573" s="94" t="s">
        <v>103</v>
      </c>
      <c r="C573" s="94" t="s">
        <v>104</v>
      </c>
      <c r="D573" s="94" t="s">
        <v>104</v>
      </c>
      <c r="E573" s="94" t="s">
        <v>643</v>
      </c>
      <c r="F573" s="94" t="s">
        <v>96</v>
      </c>
      <c r="G573" s="94">
        <v>2025</v>
      </c>
      <c r="H573" s="94">
        <v>-1</v>
      </c>
      <c r="I573" s="95"/>
      <c r="J573" s="96"/>
      <c r="K573" s="94">
        <v>1</v>
      </c>
      <c r="L573" s="117">
        <v>45930</v>
      </c>
      <c r="M573" s="94">
        <v>6</v>
      </c>
      <c r="N573" s="97">
        <v>178500</v>
      </c>
      <c r="O573" s="126" t="s">
        <v>255</v>
      </c>
      <c r="P573" s="127">
        <v>45950</v>
      </c>
      <c r="Q573" s="94">
        <v>1</v>
      </c>
      <c r="R573" s="97">
        <v>178500</v>
      </c>
      <c r="S573" s="94">
        <v>-1</v>
      </c>
      <c r="T573" s="128">
        <v>46049</v>
      </c>
      <c r="U573" s="97">
        <v>178500</v>
      </c>
    </row>
    <row r="574" spans="1:22" ht="12" hidden="1" x14ac:dyDescent="0.25">
      <c r="A574" s="94">
        <v>572</v>
      </c>
      <c r="B574" s="94" t="s">
        <v>105</v>
      </c>
      <c r="C574" s="94" t="s">
        <v>106</v>
      </c>
      <c r="D574" s="94" t="s">
        <v>106</v>
      </c>
      <c r="E574" s="94" t="s">
        <v>646</v>
      </c>
      <c r="F574" s="94" t="s">
        <v>96</v>
      </c>
      <c r="G574" s="94">
        <v>2024</v>
      </c>
      <c r="H574" s="94">
        <v>-1</v>
      </c>
      <c r="I574" s="95"/>
      <c r="J574" s="96"/>
      <c r="K574" s="94">
        <v>1</v>
      </c>
      <c r="L574" s="117">
        <v>45619</v>
      </c>
      <c r="M574" s="94">
        <v>1</v>
      </c>
      <c r="N574" s="97">
        <v>51319</v>
      </c>
      <c r="O574" s="126" t="s">
        <v>255</v>
      </c>
      <c r="P574" s="127">
        <v>45664</v>
      </c>
      <c r="Q574" s="94">
        <v>1</v>
      </c>
      <c r="R574" s="97">
        <v>51319</v>
      </c>
      <c r="S574" s="94">
        <v>1</v>
      </c>
      <c r="T574" s="128">
        <v>45686</v>
      </c>
      <c r="U574" s="97">
        <v>51319</v>
      </c>
    </row>
    <row r="575" spans="1:22" ht="12" hidden="1" x14ac:dyDescent="0.25">
      <c r="A575" s="94">
        <v>573</v>
      </c>
      <c r="B575" s="94" t="s">
        <v>105</v>
      </c>
      <c r="C575" s="94" t="s">
        <v>106</v>
      </c>
      <c r="D575" s="94" t="s">
        <v>106</v>
      </c>
      <c r="E575" s="94" t="s">
        <v>646</v>
      </c>
      <c r="F575" s="94" t="s">
        <v>96</v>
      </c>
      <c r="G575" s="94">
        <v>2024</v>
      </c>
      <c r="H575" s="94">
        <v>-1</v>
      </c>
      <c r="I575" s="95"/>
      <c r="J575" s="96"/>
      <c r="K575" s="94">
        <v>1</v>
      </c>
      <c r="L575" s="117">
        <v>45649</v>
      </c>
      <c r="M575" s="94">
        <v>2</v>
      </c>
      <c r="N575" s="97">
        <v>61422</v>
      </c>
      <c r="O575" s="126" t="s">
        <v>255</v>
      </c>
      <c r="P575" s="127">
        <v>45664</v>
      </c>
      <c r="Q575" s="94">
        <v>1</v>
      </c>
      <c r="R575" s="97">
        <v>61422</v>
      </c>
      <c r="S575" s="94">
        <v>1</v>
      </c>
      <c r="T575" s="128">
        <v>45686</v>
      </c>
      <c r="U575" s="97">
        <v>61422</v>
      </c>
      <c r="V575" s="110"/>
    </row>
    <row r="576" spans="1:22" ht="12" hidden="1" x14ac:dyDescent="0.25">
      <c r="A576" s="94">
        <v>574</v>
      </c>
      <c r="B576" s="94" t="s">
        <v>105</v>
      </c>
      <c r="C576" s="94" t="s">
        <v>106</v>
      </c>
      <c r="D576" s="94" t="s">
        <v>106</v>
      </c>
      <c r="E576" s="94" t="s">
        <v>646</v>
      </c>
      <c r="F576" s="94" t="s">
        <v>96</v>
      </c>
      <c r="G576" s="94">
        <v>2025</v>
      </c>
      <c r="H576" s="94">
        <v>-1</v>
      </c>
      <c r="I576" s="95"/>
      <c r="J576" s="96"/>
      <c r="K576" s="94">
        <v>1</v>
      </c>
      <c r="L576" s="117">
        <v>45685</v>
      </c>
      <c r="M576" s="94">
        <v>3</v>
      </c>
      <c r="N576" s="97">
        <v>80209</v>
      </c>
      <c r="O576" s="126" t="s">
        <v>255</v>
      </c>
      <c r="P576" s="127">
        <v>45687</v>
      </c>
      <c r="Q576" s="94">
        <v>1</v>
      </c>
      <c r="R576" s="97">
        <v>80209</v>
      </c>
      <c r="S576" s="94">
        <v>1</v>
      </c>
      <c r="T576" s="128">
        <v>45716</v>
      </c>
      <c r="U576" s="97">
        <v>80209</v>
      </c>
      <c r="V576" s="110"/>
    </row>
    <row r="577" spans="1:22" ht="12" hidden="1" x14ac:dyDescent="0.25">
      <c r="A577" s="94">
        <v>575</v>
      </c>
      <c r="B577" s="94" t="s">
        <v>105</v>
      </c>
      <c r="C577" s="94" t="s">
        <v>106</v>
      </c>
      <c r="D577" s="94" t="s">
        <v>106</v>
      </c>
      <c r="E577" s="94" t="s">
        <v>646</v>
      </c>
      <c r="F577" s="94" t="s">
        <v>96</v>
      </c>
      <c r="G577" s="94">
        <v>2025</v>
      </c>
      <c r="H577" s="94">
        <v>-1</v>
      </c>
      <c r="I577" s="95"/>
      <c r="J577" s="96"/>
      <c r="K577" s="94">
        <v>1</v>
      </c>
      <c r="L577" s="117">
        <v>45713</v>
      </c>
      <c r="M577" s="94">
        <v>4</v>
      </c>
      <c r="N577" s="97">
        <v>112980.7</v>
      </c>
      <c r="O577" s="126" t="s">
        <v>255</v>
      </c>
      <c r="P577" s="127">
        <v>45721</v>
      </c>
      <c r="Q577" s="94">
        <v>1</v>
      </c>
      <c r="R577" s="97">
        <v>112981</v>
      </c>
      <c r="S577" s="94">
        <v>1</v>
      </c>
      <c r="T577" s="128">
        <v>45742</v>
      </c>
      <c r="U577" s="97">
        <v>112980</v>
      </c>
    </row>
    <row r="578" spans="1:22" ht="12" hidden="1" x14ac:dyDescent="0.25">
      <c r="A578" s="94">
        <v>576</v>
      </c>
      <c r="B578" s="94" t="s">
        <v>105</v>
      </c>
      <c r="C578" s="94" t="s">
        <v>106</v>
      </c>
      <c r="D578" s="94" t="s">
        <v>106</v>
      </c>
      <c r="E578" s="94" t="s">
        <v>646</v>
      </c>
      <c r="F578" s="94" t="s">
        <v>96</v>
      </c>
      <c r="G578" s="94">
        <v>2025</v>
      </c>
      <c r="H578" s="94">
        <v>-1</v>
      </c>
      <c r="I578" s="95"/>
      <c r="J578" s="96"/>
      <c r="K578" s="94">
        <v>1</v>
      </c>
      <c r="L578" s="117">
        <v>45750</v>
      </c>
      <c r="M578" s="94">
        <v>5</v>
      </c>
      <c r="N578" s="97">
        <v>101319.4</v>
      </c>
      <c r="O578" s="126" t="s">
        <v>255</v>
      </c>
      <c r="P578" s="127">
        <v>45750</v>
      </c>
      <c r="Q578" s="94">
        <v>1</v>
      </c>
      <c r="R578" s="97">
        <v>101319.4</v>
      </c>
      <c r="S578" s="94">
        <v>1</v>
      </c>
      <c r="T578" s="128">
        <v>45806</v>
      </c>
      <c r="U578" s="96">
        <v>101319</v>
      </c>
    </row>
    <row r="579" spans="1:22" ht="12" hidden="1" x14ac:dyDescent="0.25">
      <c r="A579" s="94">
        <v>577</v>
      </c>
      <c r="B579" s="94" t="s">
        <v>105</v>
      </c>
      <c r="C579" s="94" t="s">
        <v>106</v>
      </c>
      <c r="D579" s="94" t="s">
        <v>106</v>
      </c>
      <c r="E579" s="94" t="s">
        <v>646</v>
      </c>
      <c r="F579" s="94" t="s">
        <v>96</v>
      </c>
      <c r="G579" s="94">
        <v>2025</v>
      </c>
      <c r="H579" s="94">
        <v>-1</v>
      </c>
      <c r="I579" s="95"/>
      <c r="J579" s="96"/>
      <c r="K579" s="94">
        <v>1</v>
      </c>
      <c r="L579" s="117">
        <v>45776</v>
      </c>
      <c r="M579" s="94">
        <v>6</v>
      </c>
      <c r="N579" s="97">
        <v>60296</v>
      </c>
      <c r="O579" s="126" t="s">
        <v>255</v>
      </c>
      <c r="P579" s="127">
        <v>45776</v>
      </c>
      <c r="Q579" s="94">
        <v>1</v>
      </c>
      <c r="R579" s="97">
        <v>60269</v>
      </c>
      <c r="S579" s="94">
        <v>1</v>
      </c>
      <c r="T579" s="128">
        <v>45806</v>
      </c>
      <c r="U579" s="97">
        <v>60269</v>
      </c>
    </row>
    <row r="580" spans="1:22" ht="12" hidden="1" x14ac:dyDescent="0.25">
      <c r="A580" s="94">
        <v>578</v>
      </c>
      <c r="B580" s="94" t="s">
        <v>105</v>
      </c>
      <c r="C580" s="94" t="s">
        <v>106</v>
      </c>
      <c r="D580" s="94" t="s">
        <v>106</v>
      </c>
      <c r="E580" s="94" t="s">
        <v>646</v>
      </c>
      <c r="F580" s="94" t="s">
        <v>96</v>
      </c>
      <c r="G580" s="94">
        <v>2025</v>
      </c>
      <c r="H580" s="94">
        <v>-1</v>
      </c>
      <c r="I580" s="95"/>
      <c r="J580" s="96"/>
      <c r="K580" s="94">
        <v>1</v>
      </c>
      <c r="L580" s="117">
        <v>45807</v>
      </c>
      <c r="M580" s="94">
        <v>7</v>
      </c>
      <c r="N580" s="97">
        <v>13995</v>
      </c>
      <c r="O580" s="126" t="s">
        <v>255</v>
      </c>
      <c r="P580" s="127">
        <v>45811</v>
      </c>
      <c r="Q580" s="94">
        <v>1</v>
      </c>
      <c r="R580" s="97">
        <v>13995</v>
      </c>
      <c r="S580" s="94">
        <v>1</v>
      </c>
      <c r="T580" s="128">
        <v>45834</v>
      </c>
      <c r="U580" s="97">
        <v>13995</v>
      </c>
    </row>
    <row r="581" spans="1:22" ht="12" hidden="1" x14ac:dyDescent="0.25">
      <c r="A581" s="94">
        <v>579</v>
      </c>
      <c r="B581" s="94" t="s">
        <v>107</v>
      </c>
      <c r="C581" s="94" t="s">
        <v>108</v>
      </c>
      <c r="D581" s="94" t="s">
        <v>108</v>
      </c>
      <c r="E581" s="94" t="s">
        <v>646</v>
      </c>
      <c r="F581" s="94" t="s">
        <v>96</v>
      </c>
      <c r="G581" s="94">
        <v>2025</v>
      </c>
      <c r="H581" s="94">
        <v>-1</v>
      </c>
      <c r="I581" s="95"/>
      <c r="J581" s="96"/>
      <c r="K581" s="94">
        <v>1</v>
      </c>
      <c r="L581" s="117">
        <v>45747</v>
      </c>
      <c r="M581" s="94">
        <v>1</v>
      </c>
      <c r="N581" s="97">
        <v>84225</v>
      </c>
      <c r="O581" s="126" t="s">
        <v>255</v>
      </c>
      <c r="P581" s="127">
        <v>45748</v>
      </c>
      <c r="Q581" s="94">
        <v>1</v>
      </c>
      <c r="R581" s="97">
        <v>84225</v>
      </c>
      <c r="S581" s="94">
        <v>1</v>
      </c>
      <c r="T581" s="128">
        <v>45777</v>
      </c>
      <c r="U581" s="97">
        <v>84225</v>
      </c>
    </row>
    <row r="582" spans="1:22" ht="12" hidden="1" x14ac:dyDescent="0.25">
      <c r="A582" s="94">
        <v>580</v>
      </c>
      <c r="B582" s="94" t="s">
        <v>647</v>
      </c>
      <c r="C582" s="94" t="s">
        <v>207</v>
      </c>
      <c r="D582" s="94" t="s">
        <v>207</v>
      </c>
      <c r="E582" s="94" t="s">
        <v>648</v>
      </c>
      <c r="F582" s="94" t="s">
        <v>70</v>
      </c>
      <c r="G582" s="94">
        <v>2025</v>
      </c>
      <c r="H582" s="94">
        <v>-1</v>
      </c>
      <c r="I582" s="95"/>
      <c r="J582" s="96"/>
      <c r="K582" s="94">
        <v>1</v>
      </c>
      <c r="L582" s="117">
        <v>45898</v>
      </c>
      <c r="M582" s="94">
        <v>1</v>
      </c>
      <c r="N582" s="97">
        <v>34388</v>
      </c>
      <c r="O582" s="126" t="s">
        <v>649</v>
      </c>
      <c r="P582" s="127">
        <v>45937</v>
      </c>
      <c r="Q582" s="94">
        <v>1</v>
      </c>
      <c r="R582" s="97">
        <v>34388</v>
      </c>
      <c r="S582" s="94">
        <v>1</v>
      </c>
      <c r="T582" s="128">
        <v>45945</v>
      </c>
      <c r="U582" s="97">
        <v>34388</v>
      </c>
    </row>
    <row r="583" spans="1:22" ht="12" hidden="1" x14ac:dyDescent="0.25">
      <c r="A583" s="94">
        <v>581</v>
      </c>
      <c r="B583" s="94" t="s">
        <v>647</v>
      </c>
      <c r="C583" s="94" t="s">
        <v>207</v>
      </c>
      <c r="D583" s="94" t="s">
        <v>207</v>
      </c>
      <c r="E583" s="94" t="s">
        <v>648</v>
      </c>
      <c r="F583" s="94" t="s">
        <v>70</v>
      </c>
      <c r="G583" s="94">
        <v>2025</v>
      </c>
      <c r="H583" s="94">
        <v>-1</v>
      </c>
      <c r="I583" s="95"/>
      <c r="J583" s="96"/>
      <c r="K583" s="94">
        <v>1</v>
      </c>
      <c r="L583" s="117">
        <v>45954</v>
      </c>
      <c r="M583" s="94">
        <v>2</v>
      </c>
      <c r="N583" s="96">
        <v>3821</v>
      </c>
      <c r="O583" s="126" t="s">
        <v>650</v>
      </c>
      <c r="P583" s="127">
        <v>45958</v>
      </c>
      <c r="Q583" s="94">
        <v>1</v>
      </c>
      <c r="R583" s="97">
        <v>3821</v>
      </c>
      <c r="S583" s="94">
        <v>1</v>
      </c>
      <c r="T583" s="128">
        <v>46022</v>
      </c>
      <c r="U583" s="97">
        <v>3821</v>
      </c>
    </row>
    <row r="584" spans="1:22" ht="12" hidden="1" x14ac:dyDescent="0.25">
      <c r="A584" s="94">
        <v>582</v>
      </c>
      <c r="B584" s="94" t="s">
        <v>651</v>
      </c>
      <c r="C584" s="94" t="s">
        <v>200</v>
      </c>
      <c r="D584" s="94" t="s">
        <v>200</v>
      </c>
      <c r="E584" s="94" t="s">
        <v>652</v>
      </c>
      <c r="F584" s="94" t="s">
        <v>70</v>
      </c>
      <c r="G584" s="94">
        <v>2025</v>
      </c>
      <c r="H584" s="94">
        <v>-1</v>
      </c>
      <c r="I584" s="95"/>
      <c r="J584" s="96"/>
      <c r="K584" s="94">
        <v>1</v>
      </c>
      <c r="L584" s="117">
        <v>45930</v>
      </c>
      <c r="M584" s="94">
        <v>1</v>
      </c>
      <c r="N584" s="96">
        <v>24440</v>
      </c>
      <c r="O584" s="126" t="s">
        <v>653</v>
      </c>
      <c r="P584" s="127">
        <v>45958</v>
      </c>
      <c r="Q584" s="94">
        <v>1</v>
      </c>
      <c r="R584" s="96">
        <v>24440</v>
      </c>
      <c r="S584" s="94">
        <v>1</v>
      </c>
      <c r="T584" s="128">
        <v>45979</v>
      </c>
      <c r="U584" s="96">
        <v>22807</v>
      </c>
    </row>
    <row r="585" spans="1:22" ht="12" hidden="1" x14ac:dyDescent="0.25">
      <c r="A585" s="94">
        <v>583</v>
      </c>
      <c r="B585" s="94" t="s">
        <v>654</v>
      </c>
      <c r="C585" s="94" t="s">
        <v>211</v>
      </c>
      <c r="D585" s="94" t="s">
        <v>211</v>
      </c>
      <c r="E585" s="94" t="s">
        <v>655</v>
      </c>
      <c r="F585" s="94" t="s">
        <v>18</v>
      </c>
      <c r="G585" s="94">
        <v>2025</v>
      </c>
      <c r="H585" s="94">
        <v>-1</v>
      </c>
      <c r="I585" s="95"/>
      <c r="J585" s="96"/>
      <c r="K585" s="94">
        <v>1</v>
      </c>
      <c r="L585" s="117">
        <v>45930</v>
      </c>
      <c r="M585" s="94">
        <v>1</v>
      </c>
      <c r="N585" s="96">
        <v>10175</v>
      </c>
      <c r="O585" s="126">
        <v>348</v>
      </c>
      <c r="P585" s="127">
        <v>45943</v>
      </c>
      <c r="Q585" s="94">
        <v>1</v>
      </c>
      <c r="R585" s="97">
        <v>10175</v>
      </c>
      <c r="S585" s="94">
        <v>1</v>
      </c>
      <c r="T585" s="128">
        <v>45982</v>
      </c>
      <c r="U585" s="133">
        <v>10175</v>
      </c>
    </row>
    <row r="586" spans="1:22" ht="12" hidden="1" x14ac:dyDescent="0.25">
      <c r="A586" s="94">
        <v>584</v>
      </c>
      <c r="B586" s="94" t="s">
        <v>656</v>
      </c>
      <c r="C586" s="94" t="s">
        <v>220</v>
      </c>
      <c r="D586" s="94" t="s">
        <v>220</v>
      </c>
      <c r="E586" s="94" t="s">
        <v>287</v>
      </c>
      <c r="F586" s="94" t="s">
        <v>18</v>
      </c>
      <c r="G586" s="94">
        <v>2025</v>
      </c>
      <c r="H586" s="94">
        <v>-1</v>
      </c>
      <c r="I586" s="95"/>
      <c r="J586" s="96"/>
      <c r="K586" s="94">
        <v>1</v>
      </c>
      <c r="L586" s="117">
        <v>45925</v>
      </c>
      <c r="M586" s="94">
        <v>1</v>
      </c>
      <c r="N586" s="96">
        <v>26973</v>
      </c>
      <c r="O586" s="126">
        <v>370</v>
      </c>
      <c r="P586" s="127">
        <v>45994</v>
      </c>
      <c r="Q586" s="94">
        <v>1</v>
      </c>
      <c r="R586" s="97">
        <v>26973</v>
      </c>
      <c r="S586" s="94">
        <v>1</v>
      </c>
      <c r="T586" s="128">
        <v>46020</v>
      </c>
      <c r="U586" s="133">
        <v>26973</v>
      </c>
      <c r="V586" s="94" t="s">
        <v>682</v>
      </c>
    </row>
    <row r="587" spans="1:22" ht="12" hidden="1" x14ac:dyDescent="0.25">
      <c r="A587" s="94">
        <v>585</v>
      </c>
      <c r="B587" s="94" t="s">
        <v>656</v>
      </c>
      <c r="C587" s="94" t="s">
        <v>220</v>
      </c>
      <c r="D587" s="94" t="s">
        <v>220</v>
      </c>
      <c r="E587" s="94" t="s">
        <v>287</v>
      </c>
      <c r="F587" s="94" t="s">
        <v>18</v>
      </c>
      <c r="G587" s="94">
        <v>2025</v>
      </c>
      <c r="H587" s="94">
        <v>-1</v>
      </c>
      <c r="I587" s="95"/>
      <c r="J587" s="96"/>
      <c r="K587" s="94">
        <v>1</v>
      </c>
      <c r="L587" s="117">
        <v>45954</v>
      </c>
      <c r="M587" s="94">
        <v>2</v>
      </c>
      <c r="N587" s="96">
        <v>51957</v>
      </c>
      <c r="O587" s="126">
        <v>371</v>
      </c>
      <c r="P587" s="127">
        <v>45994</v>
      </c>
      <c r="Q587" s="94">
        <v>1</v>
      </c>
      <c r="R587" s="97">
        <v>51957</v>
      </c>
      <c r="S587" s="94">
        <v>1</v>
      </c>
      <c r="T587" s="128">
        <v>46020</v>
      </c>
      <c r="U587" s="133">
        <v>51957</v>
      </c>
      <c r="V587" s="94" t="s">
        <v>682</v>
      </c>
    </row>
    <row r="588" spans="1:22" ht="12" hidden="1" x14ac:dyDescent="0.25">
      <c r="A588" s="94">
        <v>586</v>
      </c>
      <c r="B588" s="94" t="s">
        <v>656</v>
      </c>
      <c r="C588" s="94" t="s">
        <v>220</v>
      </c>
      <c r="D588" s="94" t="s">
        <v>220</v>
      </c>
      <c r="E588" s="94" t="s">
        <v>287</v>
      </c>
      <c r="F588" s="94" t="s">
        <v>18</v>
      </c>
      <c r="G588" s="94">
        <v>2025</v>
      </c>
      <c r="H588" s="94">
        <v>-1</v>
      </c>
      <c r="I588" s="95"/>
      <c r="J588" s="96"/>
      <c r="K588" s="94">
        <v>1</v>
      </c>
      <c r="L588" s="117">
        <v>45986</v>
      </c>
      <c r="M588" s="94">
        <v>3</v>
      </c>
      <c r="N588" s="97">
        <v>5940</v>
      </c>
      <c r="O588" s="126">
        <v>372</v>
      </c>
      <c r="P588" s="127">
        <v>46003</v>
      </c>
      <c r="Q588" s="94">
        <v>1</v>
      </c>
      <c r="R588" s="97">
        <v>5940</v>
      </c>
      <c r="S588" s="94">
        <v>1</v>
      </c>
      <c r="T588" s="128">
        <v>46038</v>
      </c>
      <c r="U588" s="97">
        <v>5940</v>
      </c>
    </row>
    <row r="589" spans="1:22" ht="12" hidden="1" x14ac:dyDescent="0.25">
      <c r="A589" s="94">
        <v>587</v>
      </c>
      <c r="B589" s="94" t="s">
        <v>657</v>
      </c>
      <c r="C589" s="94" t="s">
        <v>212</v>
      </c>
      <c r="D589" s="94" t="s">
        <v>212</v>
      </c>
      <c r="E589" s="94" t="s">
        <v>331</v>
      </c>
      <c r="F589" s="94" t="s">
        <v>18</v>
      </c>
      <c r="G589" s="94">
        <v>2025</v>
      </c>
      <c r="H589" s="94">
        <v>-1</v>
      </c>
      <c r="I589" s="95"/>
      <c r="J589" s="96"/>
      <c r="K589" s="94">
        <v>1</v>
      </c>
      <c r="L589" s="117">
        <v>45925</v>
      </c>
      <c r="M589" s="94">
        <v>1</v>
      </c>
      <c r="N589" s="97">
        <v>21121.039499999999</v>
      </c>
      <c r="O589" s="126">
        <v>379</v>
      </c>
      <c r="P589" s="127">
        <v>46031</v>
      </c>
      <c r="Q589" s="94">
        <v>1</v>
      </c>
      <c r="R589" s="97">
        <v>21121.039499999999</v>
      </c>
      <c r="S589" s="94">
        <v>-1</v>
      </c>
      <c r="T589" s="128">
        <v>46062</v>
      </c>
      <c r="U589" s="97">
        <v>21121.039499999999</v>
      </c>
      <c r="V589" s="94" t="s">
        <v>707</v>
      </c>
    </row>
    <row r="590" spans="1:22" ht="12" hidden="1" x14ac:dyDescent="0.25">
      <c r="A590" s="94">
        <v>588</v>
      </c>
      <c r="B590" s="94" t="s">
        <v>657</v>
      </c>
      <c r="C590" s="94" t="s">
        <v>212</v>
      </c>
      <c r="D590" s="94" t="s">
        <v>212</v>
      </c>
      <c r="E590" s="94" t="s">
        <v>331</v>
      </c>
      <c r="F590" s="94" t="s">
        <v>18</v>
      </c>
      <c r="G590" s="94">
        <v>2025</v>
      </c>
      <c r="H590" s="94">
        <v>-1</v>
      </c>
      <c r="I590" s="95"/>
      <c r="J590" s="96"/>
      <c r="K590" s="94">
        <v>1</v>
      </c>
      <c r="L590" s="117">
        <v>45954</v>
      </c>
      <c r="M590" s="94">
        <v>2</v>
      </c>
      <c r="N590" s="96">
        <v>23592.812999999998</v>
      </c>
      <c r="O590" s="126">
        <v>379</v>
      </c>
      <c r="P590" s="127">
        <v>46031</v>
      </c>
      <c r="Q590" s="94">
        <v>1</v>
      </c>
      <c r="R590" s="97">
        <v>23592.812999999998</v>
      </c>
      <c r="S590" s="94">
        <v>-1</v>
      </c>
      <c r="T590" s="128">
        <v>46062</v>
      </c>
      <c r="U590" s="97">
        <v>23592.812999999998</v>
      </c>
      <c r="V590" s="94" t="s">
        <v>707</v>
      </c>
    </row>
    <row r="591" spans="1:22" ht="12" hidden="1" x14ac:dyDescent="0.25">
      <c r="A591" s="94">
        <v>589</v>
      </c>
      <c r="B591" s="94" t="s">
        <v>657</v>
      </c>
      <c r="C591" s="94" t="s">
        <v>212</v>
      </c>
      <c r="D591" s="94" t="s">
        <v>212</v>
      </c>
      <c r="E591" s="94" t="s">
        <v>331</v>
      </c>
      <c r="F591" s="94" t="s">
        <v>18</v>
      </c>
      <c r="G591" s="94">
        <v>2025</v>
      </c>
      <c r="H591" s="94">
        <v>-1</v>
      </c>
      <c r="I591" s="95"/>
      <c r="J591" s="96"/>
      <c r="K591" s="94">
        <v>1</v>
      </c>
      <c r="L591" s="117">
        <v>45986</v>
      </c>
      <c r="M591" s="94">
        <v>3</v>
      </c>
      <c r="N591" s="97">
        <v>23600.8995</v>
      </c>
      <c r="O591" s="126">
        <v>379</v>
      </c>
      <c r="P591" s="127">
        <v>46031</v>
      </c>
      <c r="Q591" s="94">
        <v>1</v>
      </c>
      <c r="R591" s="97">
        <v>23600.8995</v>
      </c>
      <c r="S591" s="94">
        <v>-1</v>
      </c>
      <c r="T591" s="128">
        <v>46062</v>
      </c>
      <c r="U591" s="97">
        <v>23600.8995</v>
      </c>
      <c r="V591" s="94" t="s">
        <v>707</v>
      </c>
    </row>
    <row r="592" spans="1:22" ht="12" hidden="1" x14ac:dyDescent="0.25">
      <c r="A592" s="94">
        <v>590</v>
      </c>
      <c r="B592" s="94" t="s">
        <v>658</v>
      </c>
      <c r="C592" s="94" t="s">
        <v>198</v>
      </c>
      <c r="D592" s="94" t="s">
        <v>198</v>
      </c>
      <c r="E592" s="94" t="s">
        <v>659</v>
      </c>
      <c r="F592" s="94" t="s">
        <v>70</v>
      </c>
      <c r="G592" s="94">
        <v>2025</v>
      </c>
      <c r="H592" s="94">
        <v>-1</v>
      </c>
      <c r="I592" s="95"/>
      <c r="J592" s="96"/>
      <c r="K592" s="94">
        <v>1</v>
      </c>
      <c r="L592" s="117">
        <v>45954</v>
      </c>
      <c r="M592" s="94">
        <v>1</v>
      </c>
      <c r="N592" s="97">
        <v>20803</v>
      </c>
      <c r="O592" s="126" t="s">
        <v>683</v>
      </c>
      <c r="P592" s="127">
        <v>45972</v>
      </c>
      <c r="Q592" s="94">
        <v>1</v>
      </c>
      <c r="R592" s="97">
        <v>20841</v>
      </c>
      <c r="S592" s="94">
        <v>1</v>
      </c>
      <c r="T592" s="128">
        <v>45981</v>
      </c>
      <c r="U592" s="133">
        <v>20841</v>
      </c>
      <c r="V592" s="94" t="s">
        <v>660</v>
      </c>
    </row>
    <row r="593" spans="1:22" ht="12" hidden="1" x14ac:dyDescent="0.25">
      <c r="A593" s="94">
        <v>591</v>
      </c>
      <c r="B593" s="94" t="s">
        <v>658</v>
      </c>
      <c r="C593" s="94" t="s">
        <v>198</v>
      </c>
      <c r="D593" s="94" t="s">
        <v>198</v>
      </c>
      <c r="E593" s="94" t="s">
        <v>659</v>
      </c>
      <c r="F593" s="94" t="s">
        <v>70</v>
      </c>
      <c r="G593" s="94">
        <v>2025</v>
      </c>
      <c r="H593" s="94">
        <v>-1</v>
      </c>
      <c r="I593" s="95"/>
      <c r="J593" s="96"/>
      <c r="K593" s="94">
        <v>1</v>
      </c>
      <c r="L593" s="117">
        <v>45986</v>
      </c>
      <c r="M593" s="94">
        <v>2</v>
      </c>
      <c r="N593" s="97">
        <v>39809</v>
      </c>
      <c r="O593" s="126" t="s">
        <v>684</v>
      </c>
      <c r="P593" s="127">
        <v>46003</v>
      </c>
      <c r="Q593" s="94">
        <v>1</v>
      </c>
      <c r="R593" s="97">
        <v>39809</v>
      </c>
      <c r="S593" s="94">
        <v>1</v>
      </c>
      <c r="T593" s="128">
        <v>46030</v>
      </c>
      <c r="U593" s="97">
        <v>39809</v>
      </c>
    </row>
    <row r="594" spans="1:22" ht="12" hidden="1" x14ac:dyDescent="0.25">
      <c r="A594" s="94">
        <v>592</v>
      </c>
      <c r="B594" s="94" t="s">
        <v>658</v>
      </c>
      <c r="C594" s="94" t="s">
        <v>198</v>
      </c>
      <c r="D594" s="94" t="s">
        <v>198</v>
      </c>
      <c r="E594" s="94" t="s">
        <v>659</v>
      </c>
      <c r="F594" s="94" t="s">
        <v>70</v>
      </c>
      <c r="G594" s="94">
        <v>2025</v>
      </c>
      <c r="H594" s="94">
        <v>-1</v>
      </c>
      <c r="I594" s="95"/>
      <c r="J594" s="96"/>
      <c r="K594" s="94">
        <v>1</v>
      </c>
      <c r="L594" s="117">
        <v>46009</v>
      </c>
      <c r="M594" s="94">
        <v>3</v>
      </c>
      <c r="N594" s="97">
        <v>33598</v>
      </c>
      <c r="O594" s="126" t="s">
        <v>708</v>
      </c>
      <c r="P594" s="127">
        <v>46042</v>
      </c>
      <c r="Q594" s="94">
        <v>1</v>
      </c>
      <c r="R594" s="97">
        <v>33598</v>
      </c>
      <c r="S594" s="94">
        <v>-1</v>
      </c>
      <c r="T594" s="128">
        <v>46073</v>
      </c>
      <c r="U594" s="97">
        <v>33598</v>
      </c>
    </row>
    <row r="595" spans="1:22" ht="12" hidden="1" x14ac:dyDescent="0.25">
      <c r="A595" s="94">
        <v>593</v>
      </c>
      <c r="B595" s="94" t="s">
        <v>661</v>
      </c>
      <c r="C595" s="94" t="s">
        <v>208</v>
      </c>
      <c r="D595" s="94" t="s">
        <v>208</v>
      </c>
      <c r="E595" s="94" t="s">
        <v>555</v>
      </c>
      <c r="F595" s="94" t="s">
        <v>70</v>
      </c>
      <c r="G595" s="94">
        <v>2025</v>
      </c>
      <c r="H595" s="94">
        <v>-1</v>
      </c>
      <c r="I595" s="95"/>
      <c r="J595" s="96"/>
      <c r="K595" s="94">
        <v>1</v>
      </c>
      <c r="L595" s="117">
        <v>45954</v>
      </c>
      <c r="M595" s="94">
        <v>1</v>
      </c>
      <c r="N595" s="97">
        <v>20759</v>
      </c>
      <c r="O595" s="126" t="s">
        <v>697</v>
      </c>
      <c r="P595" s="127">
        <v>46020</v>
      </c>
      <c r="Q595" s="94">
        <v>1</v>
      </c>
      <c r="R595" s="97">
        <v>20759</v>
      </c>
      <c r="S595" s="94">
        <v>-1</v>
      </c>
      <c r="T595" s="128">
        <v>46081</v>
      </c>
      <c r="U595" s="97">
        <v>20759</v>
      </c>
      <c r="V595" s="94" t="s">
        <v>698</v>
      </c>
    </row>
    <row r="596" spans="1:22" ht="12" hidden="1" x14ac:dyDescent="0.25">
      <c r="A596" s="94">
        <v>594</v>
      </c>
      <c r="B596" s="94" t="s">
        <v>661</v>
      </c>
      <c r="C596" s="94" t="s">
        <v>208</v>
      </c>
      <c r="D596" s="94" t="s">
        <v>208</v>
      </c>
      <c r="E596" s="94" t="s">
        <v>555</v>
      </c>
      <c r="F596" s="94" t="s">
        <v>70</v>
      </c>
      <c r="G596" s="94">
        <v>2025</v>
      </c>
      <c r="H596" s="94">
        <v>-1</v>
      </c>
      <c r="I596" s="95"/>
      <c r="J596" s="96"/>
      <c r="K596" s="94">
        <v>1</v>
      </c>
      <c r="L596" s="117">
        <v>45986</v>
      </c>
      <c r="M596" s="94">
        <v>2</v>
      </c>
      <c r="N596" s="97">
        <v>42800</v>
      </c>
      <c r="O596" s="126" t="s">
        <v>697</v>
      </c>
      <c r="P596" s="127">
        <v>46020</v>
      </c>
      <c r="Q596" s="94">
        <v>1</v>
      </c>
      <c r="R596" s="97">
        <v>42800</v>
      </c>
      <c r="S596" s="94">
        <v>-1</v>
      </c>
      <c r="T596" s="128">
        <v>46081</v>
      </c>
      <c r="U596" s="97">
        <v>42800</v>
      </c>
      <c r="V596" s="94" t="s">
        <v>698</v>
      </c>
    </row>
    <row r="597" spans="1:22" ht="12" hidden="1" x14ac:dyDescent="0.25">
      <c r="A597" s="94">
        <v>595</v>
      </c>
      <c r="B597" s="94" t="s">
        <v>661</v>
      </c>
      <c r="C597" s="94" t="s">
        <v>208</v>
      </c>
      <c r="D597" s="94" t="s">
        <v>208</v>
      </c>
      <c r="E597" s="94" t="s">
        <v>555</v>
      </c>
      <c r="F597" s="94" t="s">
        <v>70</v>
      </c>
      <c r="G597" s="94">
        <v>2025</v>
      </c>
      <c r="H597" s="94">
        <v>-1</v>
      </c>
      <c r="I597" s="95"/>
      <c r="J597" s="96"/>
      <c r="K597" s="94">
        <v>1</v>
      </c>
      <c r="L597" s="117">
        <v>46022</v>
      </c>
      <c r="M597" s="94">
        <v>3</v>
      </c>
      <c r="N597" s="97">
        <v>16723</v>
      </c>
      <c r="O597" s="126" t="s">
        <v>278</v>
      </c>
      <c r="P597" s="127"/>
      <c r="Q597" s="94">
        <v>-1</v>
      </c>
      <c r="S597" s="94">
        <v>-1</v>
      </c>
      <c r="T597" s="128">
        <v>46101</v>
      </c>
      <c r="U597" s="97">
        <v>16723</v>
      </c>
    </row>
    <row r="598" spans="1:22" ht="12" hidden="1" x14ac:dyDescent="0.25">
      <c r="A598" s="94">
        <v>596</v>
      </c>
      <c r="B598" s="94" t="s">
        <v>662</v>
      </c>
      <c r="C598" s="94" t="s">
        <v>209</v>
      </c>
      <c r="D598" s="94" t="s">
        <v>209</v>
      </c>
      <c r="E598" s="94" t="s">
        <v>555</v>
      </c>
      <c r="F598" s="94" t="s">
        <v>70</v>
      </c>
      <c r="G598" s="94">
        <v>2025</v>
      </c>
      <c r="H598" s="94">
        <v>-1</v>
      </c>
      <c r="I598" s="95"/>
      <c r="J598" s="96"/>
      <c r="K598" s="94">
        <v>1</v>
      </c>
      <c r="L598" s="117">
        <v>45954</v>
      </c>
      <c r="M598" s="94">
        <v>1</v>
      </c>
      <c r="N598" s="97">
        <v>29716</v>
      </c>
      <c r="O598" s="126" t="s">
        <v>663</v>
      </c>
      <c r="P598" s="127">
        <v>45960</v>
      </c>
      <c r="Q598" s="94">
        <v>1</v>
      </c>
      <c r="R598" s="97">
        <v>29716</v>
      </c>
      <c r="S598" s="94">
        <v>1</v>
      </c>
      <c r="T598" s="128">
        <v>46029</v>
      </c>
      <c r="U598" s="97">
        <v>29716</v>
      </c>
    </row>
    <row r="599" spans="1:22" ht="12" hidden="1" x14ac:dyDescent="0.25">
      <c r="A599" s="94">
        <v>597</v>
      </c>
      <c r="B599" s="94" t="s">
        <v>664</v>
      </c>
      <c r="C599" s="94" t="s">
        <v>214</v>
      </c>
      <c r="D599" s="94" t="s">
        <v>214</v>
      </c>
      <c r="E599" s="94" t="s">
        <v>665</v>
      </c>
      <c r="F599" s="94" t="s">
        <v>96</v>
      </c>
      <c r="G599" s="94">
        <v>2025</v>
      </c>
      <c r="H599" s="94">
        <v>-1</v>
      </c>
      <c r="I599" s="95"/>
      <c r="J599" s="96"/>
      <c r="K599" s="94">
        <v>1</v>
      </c>
      <c r="L599" s="117">
        <v>45945</v>
      </c>
      <c r="M599" s="94">
        <v>1</v>
      </c>
      <c r="N599" s="96">
        <v>52075</v>
      </c>
      <c r="O599" s="126" t="s">
        <v>255</v>
      </c>
      <c r="P599" s="127">
        <v>45945</v>
      </c>
      <c r="Q599" s="94">
        <v>1</v>
      </c>
      <c r="R599" s="97">
        <v>52075</v>
      </c>
      <c r="S599" s="94">
        <v>1</v>
      </c>
      <c r="T599" s="128">
        <v>46002</v>
      </c>
      <c r="U599" s="97">
        <v>52075</v>
      </c>
    </row>
    <row r="600" spans="1:22" ht="12" hidden="1" x14ac:dyDescent="0.25">
      <c r="A600" s="94">
        <v>598</v>
      </c>
      <c r="B600" s="94" t="s">
        <v>666</v>
      </c>
      <c r="C600" s="94" t="s">
        <v>222</v>
      </c>
      <c r="D600" s="94" t="s">
        <v>222</v>
      </c>
      <c r="E600" s="94" t="s">
        <v>667</v>
      </c>
      <c r="F600" s="94" t="s">
        <v>18</v>
      </c>
      <c r="G600" s="94">
        <v>2025</v>
      </c>
      <c r="H600" s="94">
        <v>-1</v>
      </c>
      <c r="I600" s="95"/>
      <c r="J600" s="96"/>
      <c r="K600" s="94">
        <v>1</v>
      </c>
      <c r="L600" s="117">
        <v>45954</v>
      </c>
      <c r="M600" s="94">
        <v>1</v>
      </c>
      <c r="N600" s="96">
        <v>33407</v>
      </c>
      <c r="O600" s="126">
        <v>355</v>
      </c>
      <c r="P600" s="127">
        <v>45960</v>
      </c>
      <c r="Q600" s="94">
        <v>1</v>
      </c>
      <c r="R600" s="97">
        <v>33407</v>
      </c>
      <c r="S600" s="94">
        <v>1</v>
      </c>
      <c r="T600" s="128">
        <v>45968</v>
      </c>
      <c r="U600" s="96">
        <v>33407</v>
      </c>
    </row>
    <row r="601" spans="1:22" ht="12" hidden="1" x14ac:dyDescent="0.25">
      <c r="A601" s="94">
        <v>599</v>
      </c>
      <c r="B601" s="94" t="s">
        <v>666</v>
      </c>
      <c r="C601" s="94" t="s">
        <v>222</v>
      </c>
      <c r="D601" s="94" t="s">
        <v>222</v>
      </c>
      <c r="E601" s="94" t="s">
        <v>667</v>
      </c>
      <c r="F601" s="94" t="s">
        <v>18</v>
      </c>
      <c r="G601" s="94">
        <v>2025</v>
      </c>
      <c r="H601" s="94">
        <v>-1</v>
      </c>
      <c r="I601" s="95"/>
      <c r="J601" s="96"/>
      <c r="K601" s="94">
        <v>1</v>
      </c>
      <c r="L601" s="117">
        <v>45986</v>
      </c>
      <c r="M601" s="94">
        <v>2</v>
      </c>
      <c r="N601" s="97">
        <v>7599</v>
      </c>
      <c r="O601" s="126">
        <v>367</v>
      </c>
      <c r="P601" s="127">
        <v>45994</v>
      </c>
      <c r="Q601" s="94">
        <v>1</v>
      </c>
      <c r="R601" s="97">
        <v>7660</v>
      </c>
      <c r="S601" s="94">
        <v>1</v>
      </c>
      <c r="T601" s="128">
        <v>46003</v>
      </c>
      <c r="U601" s="97">
        <v>7660</v>
      </c>
    </row>
    <row r="602" spans="1:22" ht="12" hidden="1" x14ac:dyDescent="0.25">
      <c r="A602" s="94">
        <v>600</v>
      </c>
      <c r="B602" s="94" t="s">
        <v>666</v>
      </c>
      <c r="C602" s="94" t="s">
        <v>222</v>
      </c>
      <c r="D602" s="94" t="s">
        <v>222</v>
      </c>
      <c r="E602" s="94" t="s">
        <v>667</v>
      </c>
      <c r="F602" s="94" t="s">
        <v>18</v>
      </c>
      <c r="G602" s="94">
        <v>2025</v>
      </c>
      <c r="H602" s="94">
        <v>-1</v>
      </c>
      <c r="I602" s="95"/>
      <c r="J602" s="96"/>
      <c r="K602" s="94">
        <v>1</v>
      </c>
      <c r="L602" s="117">
        <v>46015</v>
      </c>
      <c r="M602" s="94">
        <v>3</v>
      </c>
      <c r="N602" s="97">
        <v>13260</v>
      </c>
      <c r="O602" s="126" t="s">
        <v>278</v>
      </c>
      <c r="P602" s="127"/>
      <c r="Q602" s="94">
        <v>-1</v>
      </c>
      <c r="S602" s="94">
        <v>-1</v>
      </c>
      <c r="T602" s="128">
        <v>46101</v>
      </c>
      <c r="U602" s="97">
        <v>13260</v>
      </c>
    </row>
    <row r="603" spans="1:22" ht="12" hidden="1" x14ac:dyDescent="0.25">
      <c r="A603" s="94">
        <v>601</v>
      </c>
      <c r="B603" s="94" t="s">
        <v>668</v>
      </c>
      <c r="C603" s="94" t="s">
        <v>206</v>
      </c>
      <c r="D603" s="94" t="s">
        <v>206</v>
      </c>
      <c r="E603" s="94" t="s">
        <v>281</v>
      </c>
      <c r="F603" s="94" t="s">
        <v>18</v>
      </c>
      <c r="G603" s="94">
        <v>2025</v>
      </c>
      <c r="H603" s="94">
        <v>-1</v>
      </c>
      <c r="I603" s="95"/>
      <c r="J603" s="96"/>
      <c r="K603" s="94">
        <v>1</v>
      </c>
      <c r="L603" s="117">
        <v>45960</v>
      </c>
      <c r="M603" s="94">
        <v>1</v>
      </c>
      <c r="N603" s="97">
        <v>54264</v>
      </c>
      <c r="O603" s="126">
        <v>378</v>
      </c>
      <c r="P603" s="127">
        <v>46028</v>
      </c>
      <c r="Q603" s="94">
        <v>1</v>
      </c>
      <c r="R603" s="97">
        <v>54264</v>
      </c>
      <c r="S603" s="94">
        <v>1</v>
      </c>
      <c r="T603" s="128">
        <v>46038</v>
      </c>
      <c r="U603" s="97">
        <v>54264</v>
      </c>
    </row>
    <row r="604" spans="1:22" ht="12" hidden="1" x14ac:dyDescent="0.25">
      <c r="A604" s="94">
        <v>602</v>
      </c>
      <c r="B604" s="94" t="s">
        <v>668</v>
      </c>
      <c r="C604" s="94" t="s">
        <v>206</v>
      </c>
      <c r="D604" s="94" t="s">
        <v>206</v>
      </c>
      <c r="E604" s="94" t="s">
        <v>281</v>
      </c>
      <c r="F604" s="94" t="s">
        <v>18</v>
      </c>
      <c r="G604" s="94">
        <v>2025</v>
      </c>
      <c r="H604" s="94">
        <v>-1</v>
      </c>
      <c r="I604" s="95"/>
      <c r="J604" s="96"/>
      <c r="K604" s="94">
        <v>1</v>
      </c>
      <c r="L604" s="117">
        <v>45986</v>
      </c>
      <c r="M604" s="94">
        <v>2</v>
      </c>
      <c r="N604" s="97">
        <v>25487</v>
      </c>
      <c r="O604" s="126" t="s">
        <v>278</v>
      </c>
      <c r="P604" s="127"/>
      <c r="Q604" s="94">
        <v>-1</v>
      </c>
      <c r="S604" s="94">
        <v>-1</v>
      </c>
      <c r="T604" s="128">
        <v>46080</v>
      </c>
      <c r="U604" s="97">
        <v>25487</v>
      </c>
    </row>
    <row r="605" spans="1:22" ht="12" hidden="1" x14ac:dyDescent="0.25">
      <c r="A605" s="94">
        <v>603</v>
      </c>
      <c r="B605" s="94" t="s">
        <v>685</v>
      </c>
      <c r="C605" s="94" t="s">
        <v>686</v>
      </c>
      <c r="D605" s="94" t="s">
        <v>686</v>
      </c>
      <c r="E605" s="94" t="s">
        <v>401</v>
      </c>
      <c r="F605" s="94" t="s">
        <v>18</v>
      </c>
      <c r="G605" s="94">
        <v>2025</v>
      </c>
      <c r="H605" s="94">
        <v>-1</v>
      </c>
      <c r="I605" s="95"/>
      <c r="J605" s="96"/>
      <c r="K605" s="94">
        <v>1</v>
      </c>
      <c r="L605" s="117">
        <v>45984</v>
      </c>
      <c r="M605" s="94">
        <v>1</v>
      </c>
      <c r="N605" s="97">
        <v>87783</v>
      </c>
      <c r="O605" s="126">
        <v>361</v>
      </c>
      <c r="P605" s="127">
        <v>45986</v>
      </c>
      <c r="Q605" s="94">
        <v>1</v>
      </c>
      <c r="R605" s="97">
        <v>87783</v>
      </c>
      <c r="S605" s="94">
        <v>1</v>
      </c>
      <c r="T605" s="128">
        <v>46038</v>
      </c>
      <c r="U605" s="97">
        <v>87783</v>
      </c>
    </row>
    <row r="606" spans="1:22" ht="12" hidden="1" x14ac:dyDescent="0.25">
      <c r="A606" s="94">
        <v>604</v>
      </c>
      <c r="B606" s="94" t="s">
        <v>685</v>
      </c>
      <c r="C606" s="94" t="s">
        <v>686</v>
      </c>
      <c r="D606" s="94" t="s">
        <v>686</v>
      </c>
      <c r="E606" s="94" t="s">
        <v>401</v>
      </c>
      <c r="F606" s="94" t="s">
        <v>18</v>
      </c>
      <c r="G606" s="94">
        <v>2025</v>
      </c>
      <c r="H606" s="94">
        <v>-1</v>
      </c>
      <c r="I606" s="95"/>
      <c r="J606" s="96"/>
      <c r="K606" s="94">
        <v>1</v>
      </c>
      <c r="L606" s="117">
        <v>46008</v>
      </c>
      <c r="M606" s="94">
        <v>2</v>
      </c>
      <c r="N606" s="97">
        <v>110857</v>
      </c>
      <c r="O606" s="126">
        <v>373</v>
      </c>
      <c r="P606" s="127">
        <v>46008</v>
      </c>
      <c r="Q606" s="94">
        <v>1</v>
      </c>
      <c r="R606" s="97">
        <v>110857</v>
      </c>
      <c r="S606" s="94">
        <v>1</v>
      </c>
      <c r="T606" s="128">
        <v>46045</v>
      </c>
      <c r="U606" s="133">
        <v>110857</v>
      </c>
    </row>
    <row r="607" spans="1:22" ht="12" hidden="1" x14ac:dyDescent="0.25">
      <c r="A607" s="94">
        <v>605</v>
      </c>
      <c r="B607" s="94" t="s">
        <v>687</v>
      </c>
      <c r="C607" s="94" t="s">
        <v>221</v>
      </c>
      <c r="D607" s="94" t="s">
        <v>221</v>
      </c>
      <c r="E607" s="94" t="s">
        <v>688</v>
      </c>
      <c r="F607" s="94" t="s">
        <v>96</v>
      </c>
      <c r="G607" s="94">
        <v>2025</v>
      </c>
      <c r="H607" s="94">
        <v>-1</v>
      </c>
      <c r="I607" s="95"/>
      <c r="J607" s="96"/>
      <c r="K607" s="94">
        <v>1</v>
      </c>
      <c r="L607" s="117">
        <v>45971</v>
      </c>
      <c r="M607" s="94">
        <v>1</v>
      </c>
      <c r="N607" s="96">
        <v>74044</v>
      </c>
      <c r="O607" s="126" t="s">
        <v>255</v>
      </c>
      <c r="P607" s="127">
        <v>46008</v>
      </c>
      <c r="Q607" s="94">
        <v>1</v>
      </c>
      <c r="R607" s="97">
        <v>74044</v>
      </c>
      <c r="S607" s="94">
        <v>1</v>
      </c>
      <c r="T607" s="128">
        <v>46008</v>
      </c>
      <c r="U607" s="133">
        <v>74044</v>
      </c>
    </row>
    <row r="608" spans="1:22" ht="12" hidden="1" x14ac:dyDescent="0.25">
      <c r="A608" s="94">
        <v>606</v>
      </c>
      <c r="B608" s="94" t="s">
        <v>687</v>
      </c>
      <c r="C608" s="94" t="s">
        <v>221</v>
      </c>
      <c r="D608" s="94" t="s">
        <v>221</v>
      </c>
      <c r="E608" s="94" t="s">
        <v>688</v>
      </c>
      <c r="F608" s="94" t="s">
        <v>96</v>
      </c>
      <c r="G608" s="94">
        <v>2025</v>
      </c>
      <c r="H608" s="94">
        <v>-1</v>
      </c>
      <c r="I608" s="95"/>
      <c r="J608" s="96"/>
      <c r="K608" s="94">
        <v>1</v>
      </c>
      <c r="L608" s="117">
        <v>45986</v>
      </c>
      <c r="M608" s="94">
        <v>2</v>
      </c>
      <c r="N608" s="97">
        <v>52266</v>
      </c>
      <c r="O608" s="126" t="s">
        <v>255</v>
      </c>
      <c r="P608" s="127">
        <v>46010</v>
      </c>
      <c r="Q608" s="94">
        <v>1</v>
      </c>
      <c r="R608" s="97">
        <v>52266</v>
      </c>
      <c r="S608" s="94">
        <v>1</v>
      </c>
      <c r="T608" s="128">
        <v>46011</v>
      </c>
      <c r="U608" s="97">
        <v>52266</v>
      </c>
    </row>
    <row r="609" spans="1:21" ht="12" hidden="1" x14ac:dyDescent="0.25">
      <c r="A609" s="94">
        <v>607</v>
      </c>
      <c r="B609" s="94" t="s">
        <v>687</v>
      </c>
      <c r="C609" s="94" t="s">
        <v>221</v>
      </c>
      <c r="D609" s="94" t="s">
        <v>221</v>
      </c>
      <c r="E609" s="94" t="s">
        <v>688</v>
      </c>
      <c r="F609" s="94" t="s">
        <v>96</v>
      </c>
      <c r="G609" s="94">
        <v>2025</v>
      </c>
      <c r="H609" s="94">
        <v>-1</v>
      </c>
      <c r="I609" s="95"/>
      <c r="J609" s="96"/>
      <c r="K609" s="94">
        <v>1</v>
      </c>
      <c r="L609" s="117">
        <v>46013</v>
      </c>
      <c r="M609" s="94">
        <v>3</v>
      </c>
      <c r="N609" s="97">
        <v>28311</v>
      </c>
      <c r="O609" s="126" t="s">
        <v>255</v>
      </c>
      <c r="P609" s="127">
        <v>46013</v>
      </c>
      <c r="Q609" s="94">
        <v>1</v>
      </c>
      <c r="R609" s="97">
        <v>28311</v>
      </c>
      <c r="S609" s="94">
        <v>1</v>
      </c>
      <c r="T609" s="128">
        <v>46030</v>
      </c>
      <c r="U609" s="133">
        <v>28311</v>
      </c>
    </row>
    <row r="610" spans="1:21" ht="12" hidden="1" x14ac:dyDescent="0.25">
      <c r="A610" s="94">
        <v>608</v>
      </c>
      <c r="B610" s="94" t="s">
        <v>687</v>
      </c>
      <c r="C610" s="94" t="s">
        <v>221</v>
      </c>
      <c r="D610" s="94" t="s">
        <v>221</v>
      </c>
      <c r="E610" s="94" t="s">
        <v>688</v>
      </c>
      <c r="F610" s="94" t="s">
        <v>96</v>
      </c>
      <c r="G610" s="94">
        <v>2026</v>
      </c>
      <c r="H610" s="94">
        <v>-1</v>
      </c>
      <c r="I610" s="95"/>
      <c r="J610" s="96"/>
      <c r="K610" s="94">
        <v>1</v>
      </c>
      <c r="L610" s="117">
        <v>46049</v>
      </c>
      <c r="M610" s="94">
        <v>4</v>
      </c>
      <c r="N610" s="97">
        <v>18737</v>
      </c>
      <c r="O610" s="126" t="s">
        <v>278</v>
      </c>
      <c r="P610" s="127"/>
      <c r="Q610" s="94">
        <v>-1</v>
      </c>
      <c r="S610" s="94">
        <v>-1</v>
      </c>
      <c r="T610" s="128">
        <v>46080</v>
      </c>
      <c r="U610" s="97">
        <v>18737</v>
      </c>
    </row>
    <row r="611" spans="1:21" ht="12" hidden="1" x14ac:dyDescent="0.25">
      <c r="A611" s="94">
        <v>609</v>
      </c>
      <c r="B611" s="94" t="s">
        <v>689</v>
      </c>
      <c r="C611" s="94" t="s">
        <v>699</v>
      </c>
      <c r="D611" s="94" t="s">
        <v>699</v>
      </c>
      <c r="E611" s="94" t="s">
        <v>537</v>
      </c>
      <c r="F611" s="94" t="s">
        <v>70</v>
      </c>
      <c r="G611" s="94">
        <v>2025</v>
      </c>
      <c r="H611" s="94">
        <v>-1</v>
      </c>
      <c r="I611" s="95"/>
      <c r="J611" s="96"/>
      <c r="K611" s="94">
        <v>1</v>
      </c>
      <c r="L611" s="117">
        <v>45986</v>
      </c>
      <c r="M611" s="94">
        <v>1</v>
      </c>
      <c r="N611" s="97">
        <v>20102</v>
      </c>
      <c r="O611" s="126" t="s">
        <v>690</v>
      </c>
      <c r="P611" s="127">
        <v>46002</v>
      </c>
      <c r="Q611" s="94">
        <v>1</v>
      </c>
      <c r="R611" s="97">
        <v>20102</v>
      </c>
      <c r="S611" s="94">
        <v>-1</v>
      </c>
      <c r="T611" s="128">
        <v>46047</v>
      </c>
      <c r="U611" s="97">
        <v>20102</v>
      </c>
    </row>
    <row r="612" spans="1:21" ht="12" hidden="1" x14ac:dyDescent="0.25">
      <c r="A612" s="94">
        <v>610</v>
      </c>
      <c r="B612" s="94" t="s">
        <v>689</v>
      </c>
      <c r="C612" s="94" t="s">
        <v>699</v>
      </c>
      <c r="D612" s="94" t="s">
        <v>699</v>
      </c>
      <c r="E612" s="94" t="s">
        <v>537</v>
      </c>
      <c r="F612" s="94" t="s">
        <v>70</v>
      </c>
      <c r="G612" s="94">
        <v>2025</v>
      </c>
      <c r="H612" s="94">
        <v>-1</v>
      </c>
      <c r="I612" s="95"/>
      <c r="J612" s="96"/>
      <c r="K612" s="94">
        <v>1</v>
      </c>
      <c r="L612" s="117">
        <v>46016</v>
      </c>
      <c r="M612" s="94">
        <v>2</v>
      </c>
      <c r="N612" s="96">
        <v>23931</v>
      </c>
      <c r="O612" s="126" t="s">
        <v>709</v>
      </c>
      <c r="P612" s="127">
        <v>46042</v>
      </c>
      <c r="Q612" s="94">
        <v>1</v>
      </c>
      <c r="R612" s="97">
        <v>25531</v>
      </c>
      <c r="S612" s="94">
        <v>-1</v>
      </c>
      <c r="T612" s="128">
        <v>46090</v>
      </c>
      <c r="U612" s="97">
        <v>25531</v>
      </c>
    </row>
    <row r="613" spans="1:21" ht="12" hidden="1" x14ac:dyDescent="0.25">
      <c r="A613" s="94">
        <v>611</v>
      </c>
      <c r="B613" s="94" t="s">
        <v>689</v>
      </c>
      <c r="C613" s="94" t="s">
        <v>699</v>
      </c>
      <c r="D613" s="94" t="s">
        <v>699</v>
      </c>
      <c r="E613" s="94" t="s">
        <v>537</v>
      </c>
      <c r="F613" s="94" t="s">
        <v>70</v>
      </c>
      <c r="G613" s="94">
        <v>2026</v>
      </c>
      <c r="H613" s="94">
        <v>-1</v>
      </c>
      <c r="I613" s="95"/>
      <c r="J613" s="96"/>
      <c r="K613" s="94">
        <v>1</v>
      </c>
      <c r="L613" s="117">
        <v>46048</v>
      </c>
      <c r="M613" s="94">
        <v>3</v>
      </c>
      <c r="N613" s="97">
        <v>46313</v>
      </c>
      <c r="O613" s="126" t="s">
        <v>278</v>
      </c>
      <c r="P613" s="127"/>
      <c r="Q613" s="94">
        <v>-1</v>
      </c>
      <c r="S613" s="94">
        <v>-1</v>
      </c>
      <c r="T613" s="159">
        <v>46101</v>
      </c>
      <c r="U613" s="97">
        <v>46313</v>
      </c>
    </row>
    <row r="614" spans="1:21" ht="12" x14ac:dyDescent="0.25">
      <c r="A614" s="94">
        <v>612</v>
      </c>
      <c r="B614" s="94" t="s">
        <v>691</v>
      </c>
      <c r="C614" s="94" t="s">
        <v>700</v>
      </c>
      <c r="D614" s="94" t="s">
        <v>700</v>
      </c>
      <c r="E614" s="94" t="s">
        <v>290</v>
      </c>
      <c r="F614" s="94" t="s">
        <v>6</v>
      </c>
      <c r="G614" s="94">
        <v>2025</v>
      </c>
      <c r="H614" s="94">
        <v>-1</v>
      </c>
      <c r="I614" s="95"/>
      <c r="J614" s="96"/>
      <c r="K614" s="94">
        <v>1</v>
      </c>
      <c r="L614" s="117">
        <v>45976</v>
      </c>
      <c r="M614" s="94">
        <v>1</v>
      </c>
      <c r="N614" s="97">
        <v>8652</v>
      </c>
      <c r="O614" s="126">
        <v>116</v>
      </c>
      <c r="P614" s="127">
        <v>45996</v>
      </c>
      <c r="Q614" s="94">
        <v>1</v>
      </c>
      <c r="R614" s="97">
        <v>8654.6772983114442</v>
      </c>
      <c r="S614" s="94">
        <v>1</v>
      </c>
      <c r="T614" s="159">
        <v>46027</v>
      </c>
      <c r="U614" s="100">
        <v>7843</v>
      </c>
    </row>
    <row r="615" spans="1:21" ht="12" x14ac:dyDescent="0.25">
      <c r="A615" s="94">
        <v>613</v>
      </c>
      <c r="B615" s="94" t="s">
        <v>691</v>
      </c>
      <c r="C615" s="94" t="s">
        <v>700</v>
      </c>
      <c r="D615" s="94" t="s">
        <v>700</v>
      </c>
      <c r="E615" s="94" t="s">
        <v>290</v>
      </c>
      <c r="F615" s="94" t="s">
        <v>6</v>
      </c>
      <c r="G615" s="94">
        <v>2025</v>
      </c>
      <c r="H615" s="94">
        <v>-1</v>
      </c>
      <c r="I615" s="95"/>
      <c r="J615" s="96"/>
      <c r="K615" s="94">
        <v>1</v>
      </c>
      <c r="L615" s="117">
        <v>46006</v>
      </c>
      <c r="M615" s="94">
        <v>2</v>
      </c>
      <c r="N615" s="97">
        <v>23872</v>
      </c>
      <c r="O615" s="126">
        <v>119</v>
      </c>
      <c r="P615" s="127">
        <v>46014</v>
      </c>
      <c r="Q615" s="94">
        <v>1</v>
      </c>
      <c r="R615" s="97">
        <v>23872</v>
      </c>
      <c r="S615" s="94">
        <v>-1</v>
      </c>
      <c r="T615" s="159">
        <v>46045</v>
      </c>
      <c r="U615" s="97">
        <v>23872</v>
      </c>
    </row>
    <row r="616" spans="1:21" ht="12" hidden="1" x14ac:dyDescent="0.25">
      <c r="A616" s="94">
        <v>614</v>
      </c>
      <c r="B616" s="94" t="s">
        <v>691</v>
      </c>
      <c r="C616" s="94" t="s">
        <v>700</v>
      </c>
      <c r="D616" s="94" t="s">
        <v>700</v>
      </c>
      <c r="E616" s="94" t="s">
        <v>290</v>
      </c>
      <c r="F616" s="94" t="s">
        <v>6</v>
      </c>
      <c r="G616" s="94">
        <v>2026</v>
      </c>
      <c r="H616" s="94">
        <v>-1</v>
      </c>
      <c r="I616" s="95"/>
      <c r="J616" s="96"/>
      <c r="K616" s="94">
        <v>1</v>
      </c>
      <c r="L616" s="117">
        <v>46042</v>
      </c>
      <c r="M616" s="94">
        <v>3</v>
      </c>
      <c r="N616" s="97">
        <v>15152</v>
      </c>
      <c r="O616" s="126">
        <v>4</v>
      </c>
      <c r="P616" s="127">
        <v>46050</v>
      </c>
      <c r="Q616" s="94">
        <v>1</v>
      </c>
      <c r="R616" s="97">
        <v>15376.967370441458</v>
      </c>
      <c r="S616" s="94">
        <v>-1</v>
      </c>
      <c r="T616" s="159">
        <v>46086</v>
      </c>
      <c r="U616" s="97">
        <v>15376.967370441458</v>
      </c>
    </row>
    <row r="617" spans="1:21" ht="12" hidden="1" x14ac:dyDescent="0.25">
      <c r="A617" s="94">
        <v>615</v>
      </c>
      <c r="B617" s="94" t="s">
        <v>701</v>
      </c>
      <c r="C617" s="94" t="s">
        <v>210</v>
      </c>
      <c r="D617" s="94" t="s">
        <v>210</v>
      </c>
      <c r="E617" s="94" t="s">
        <v>702</v>
      </c>
      <c r="F617" s="94" t="s">
        <v>18</v>
      </c>
      <c r="G617" s="94">
        <v>2025</v>
      </c>
      <c r="H617" s="94">
        <v>-1</v>
      </c>
      <c r="I617" s="95"/>
      <c r="J617" s="96"/>
      <c r="K617" s="94">
        <v>1</v>
      </c>
      <c r="L617" s="117">
        <v>46012</v>
      </c>
      <c r="M617" s="94">
        <v>1</v>
      </c>
      <c r="N617" s="97">
        <v>20125</v>
      </c>
      <c r="O617" s="126">
        <v>374</v>
      </c>
      <c r="P617" s="127">
        <v>46015</v>
      </c>
      <c r="Q617" s="94">
        <v>1</v>
      </c>
      <c r="R617" s="97">
        <v>20125</v>
      </c>
      <c r="S617" s="94">
        <v>1</v>
      </c>
      <c r="T617" s="159">
        <v>46024</v>
      </c>
      <c r="U617" s="100">
        <v>20125</v>
      </c>
    </row>
    <row r="618" spans="1:21" ht="12" hidden="1" x14ac:dyDescent="0.25">
      <c r="A618" s="94">
        <v>616</v>
      </c>
      <c r="B618" s="94" t="s">
        <v>701</v>
      </c>
      <c r="C618" s="94" t="s">
        <v>210</v>
      </c>
      <c r="D618" s="94" t="s">
        <v>210</v>
      </c>
      <c r="E618" s="94" t="s">
        <v>702</v>
      </c>
      <c r="F618" s="94" t="s">
        <v>18</v>
      </c>
      <c r="G618" s="94">
        <v>2025</v>
      </c>
      <c r="H618" s="94">
        <v>-1</v>
      </c>
      <c r="I618" s="95"/>
      <c r="J618" s="96"/>
      <c r="K618" s="94">
        <v>1</v>
      </c>
      <c r="L618" s="117">
        <v>46015</v>
      </c>
      <c r="M618" s="94">
        <v>2</v>
      </c>
      <c r="N618" s="97">
        <v>21713</v>
      </c>
      <c r="O618" s="126">
        <v>375</v>
      </c>
      <c r="P618" s="127">
        <v>46015</v>
      </c>
      <c r="Q618" s="94">
        <v>1</v>
      </c>
      <c r="R618" s="97">
        <v>21713</v>
      </c>
      <c r="S618" s="94">
        <v>1</v>
      </c>
      <c r="T618" s="159">
        <v>46024</v>
      </c>
      <c r="U618" s="100">
        <v>21713</v>
      </c>
    </row>
    <row r="619" spans="1:21" ht="12" hidden="1" x14ac:dyDescent="0.25">
      <c r="A619" s="94">
        <v>617</v>
      </c>
      <c r="B619" s="94" t="s">
        <v>703</v>
      </c>
      <c r="C619" s="94" t="s">
        <v>215</v>
      </c>
      <c r="D619" s="94" t="s">
        <v>215</v>
      </c>
      <c r="E619" s="94" t="s">
        <v>281</v>
      </c>
      <c r="F619" s="94" t="s">
        <v>18</v>
      </c>
      <c r="G619" s="94">
        <v>2025</v>
      </c>
      <c r="H619" s="94">
        <v>-1</v>
      </c>
      <c r="I619" s="95"/>
      <c r="J619" s="96"/>
      <c r="K619" s="94">
        <v>1</v>
      </c>
      <c r="L619" s="117">
        <v>46014</v>
      </c>
      <c r="M619" s="94">
        <v>1</v>
      </c>
      <c r="N619" s="97">
        <v>129692</v>
      </c>
      <c r="O619" s="126">
        <v>377</v>
      </c>
      <c r="P619" s="127">
        <v>46027</v>
      </c>
      <c r="Q619" s="94">
        <v>1</v>
      </c>
      <c r="R619" s="97">
        <v>129692</v>
      </c>
      <c r="S619" s="94">
        <v>1</v>
      </c>
      <c r="T619" s="159">
        <v>46038</v>
      </c>
      <c r="U619" s="100">
        <v>129692</v>
      </c>
    </row>
    <row r="620" spans="1:21" ht="12" hidden="1" x14ac:dyDescent="0.25">
      <c r="A620" s="94">
        <v>618</v>
      </c>
      <c r="B620" s="94" t="s">
        <v>711</v>
      </c>
      <c r="C620" s="94" t="s">
        <v>713</v>
      </c>
      <c r="D620" s="94" t="s">
        <v>713</v>
      </c>
      <c r="E620" s="94" t="s">
        <v>393</v>
      </c>
      <c r="F620" s="94" t="s">
        <v>70</v>
      </c>
      <c r="G620" s="94">
        <v>2026</v>
      </c>
      <c r="H620" s="94">
        <v>-1</v>
      </c>
      <c r="I620" s="95"/>
      <c r="J620" s="96"/>
      <c r="K620" s="94">
        <v>1</v>
      </c>
      <c r="L620" s="117">
        <v>46048</v>
      </c>
      <c r="M620" s="94">
        <v>1</v>
      </c>
      <c r="N620" s="97">
        <v>9596</v>
      </c>
      <c r="O620" s="126" t="s">
        <v>278</v>
      </c>
      <c r="P620" s="127"/>
      <c r="Q620" s="94">
        <v>-1</v>
      </c>
      <c r="S620" s="94">
        <v>-1</v>
      </c>
      <c r="T620" s="159">
        <v>46101</v>
      </c>
      <c r="U620" s="97">
        <v>9596</v>
      </c>
    </row>
    <row r="621" spans="1:21" ht="12" hidden="1" x14ac:dyDescent="0.25">
      <c r="A621" s="94">
        <v>619</v>
      </c>
      <c r="B621" s="94" t="s">
        <v>748</v>
      </c>
      <c r="C621" s="94" t="s">
        <v>749</v>
      </c>
      <c r="D621" s="94" t="s">
        <v>749</v>
      </c>
      <c r="E621" s="94" t="s">
        <v>750</v>
      </c>
      <c r="F621" s="94" t="s">
        <v>70</v>
      </c>
      <c r="G621" s="94">
        <v>2026</v>
      </c>
      <c r="H621" s="94">
        <v>-1</v>
      </c>
      <c r="I621" s="95"/>
      <c r="J621" s="96"/>
      <c r="K621" s="94">
        <v>1</v>
      </c>
      <c r="L621" s="117">
        <v>46052</v>
      </c>
      <c r="M621" s="94">
        <v>1</v>
      </c>
      <c r="N621" s="97">
        <v>20200</v>
      </c>
      <c r="O621" s="126" t="s">
        <v>278</v>
      </c>
      <c r="P621" s="127"/>
      <c r="Q621" s="94">
        <v>-1</v>
      </c>
      <c r="S621" s="94">
        <v>-1</v>
      </c>
      <c r="T621" s="159">
        <v>46101</v>
      </c>
      <c r="U621" s="97">
        <v>20200</v>
      </c>
    </row>
    <row r="622" spans="1:21" ht="12" hidden="1" x14ac:dyDescent="0.25">
      <c r="A622" s="94">
        <v>620</v>
      </c>
      <c r="B622" s="94" t="s">
        <v>712</v>
      </c>
      <c r="C622" s="94" t="s">
        <v>714</v>
      </c>
      <c r="D622" s="94" t="s">
        <v>714</v>
      </c>
      <c r="E622" s="94" t="s">
        <v>742</v>
      </c>
      <c r="F622" s="94" t="s">
        <v>70</v>
      </c>
      <c r="G622" s="94">
        <v>2026</v>
      </c>
      <c r="H622" s="94">
        <v>-1</v>
      </c>
      <c r="I622" s="95"/>
      <c r="J622" s="96"/>
      <c r="K622" s="94">
        <v>1</v>
      </c>
      <c r="L622" s="117">
        <v>46052</v>
      </c>
      <c r="M622" s="94">
        <v>1</v>
      </c>
      <c r="N622" s="97">
        <v>51680</v>
      </c>
      <c r="O622" s="126" t="s">
        <v>278</v>
      </c>
      <c r="P622" s="127"/>
      <c r="Q622" s="94">
        <v>-1</v>
      </c>
      <c r="S622" s="94">
        <v>-1</v>
      </c>
      <c r="T622" s="159">
        <v>46080</v>
      </c>
      <c r="U622" s="97">
        <v>51680</v>
      </c>
    </row>
    <row r="628" spans="10:10" x14ac:dyDescent="0.25">
      <c r="J628" s="94" t="s">
        <v>710</v>
      </c>
    </row>
  </sheetData>
  <conditionalFormatting sqref="O1 O613:O1048576">
    <cfRule type="cellIs" dxfId="65" priority="29" operator="equal">
      <formula>"Pendiente"</formula>
    </cfRule>
  </conditionalFormatting>
  <conditionalFormatting sqref="V613:V1048576">
    <cfRule type="dataBar" priority="30">
      <dataBar>
        <cfvo type="min"/>
        <cfvo type="max"/>
        <color rgb="FF63C384"/>
      </dataBar>
      <extLst>
        <ext xmlns:x14="http://schemas.microsoft.com/office/spreadsheetml/2009/9/main" uri="{B025F937-C7B1-47D3-B67F-A62EFF666E3E}">
          <x14:id>{166FD4D2-D71D-41EB-99E8-F5EBC06CB71A}</x14:id>
        </ext>
      </extLst>
    </cfRule>
  </conditionalFormatting>
  <conditionalFormatting sqref="O2:O622">
    <cfRule type="cellIs" dxfId="64" priority="13" operator="equal">
      <formula>"Pendiente"</formula>
    </cfRule>
  </conditionalFormatting>
  <conditionalFormatting sqref="R349:R350">
    <cfRule type="cellIs" dxfId="63" priority="3" operator="equal">
      <formula>"Pendiente"</formula>
    </cfRule>
  </conditionalFormatting>
  <conditionalFormatting sqref="V347:V350">
    <cfRule type="dataBar" priority="12">
      <dataBar>
        <cfvo type="min"/>
        <cfvo type="max"/>
        <color rgb="FF008AEF"/>
      </dataBar>
      <extLst>
        <ext xmlns:x14="http://schemas.microsoft.com/office/spreadsheetml/2009/9/main" uri="{B025F937-C7B1-47D3-B67F-A62EFF666E3E}">
          <x14:id>{40248371-72FB-4F78-AD2B-86AEF935F01F}</x14:id>
        </ext>
      </extLst>
    </cfRule>
  </conditionalFormatting>
  <conditionalFormatting sqref="V347:V352">
    <cfRule type="cellIs" dxfId="62" priority="10" operator="equal">
      <formula>"Pendiente"</formula>
    </cfRule>
  </conditionalFormatting>
  <conditionalFormatting sqref="V351:V352">
    <cfRule type="dataBar" priority="11">
      <dataBar>
        <cfvo type="min"/>
        <cfvo type="max"/>
        <color rgb="FF008AEF"/>
      </dataBar>
      <extLst>
        <ext xmlns:x14="http://schemas.microsoft.com/office/spreadsheetml/2009/9/main" uri="{B025F937-C7B1-47D3-B67F-A62EFF666E3E}">
          <x14:id>{D14AC14C-4A42-446C-99ED-EC4BA2E751CA}</x14:id>
        </ext>
      </extLst>
    </cfRule>
  </conditionalFormatting>
  <conditionalFormatting sqref="V357:V362">
    <cfRule type="cellIs" dxfId="61" priority="8" operator="equal">
      <formula>"Pendiente"</formula>
    </cfRule>
    <cfRule type="dataBar" priority="9">
      <dataBar>
        <cfvo type="min"/>
        <cfvo type="max"/>
        <color rgb="FF008AEF"/>
      </dataBar>
      <extLst>
        <ext xmlns:x14="http://schemas.microsoft.com/office/spreadsheetml/2009/9/main" uri="{B025F937-C7B1-47D3-B67F-A62EFF666E3E}">
          <x14:id>{9F63C8D0-FB73-4627-BBB6-5E33733AEF88}</x14:id>
        </ext>
      </extLst>
    </cfRule>
  </conditionalFormatting>
  <conditionalFormatting sqref="V367">
    <cfRule type="cellIs" dxfId="60" priority="6" operator="equal">
      <formula>"Pendiente"</formula>
    </cfRule>
    <cfRule type="dataBar" priority="7">
      <dataBar>
        <cfvo type="min"/>
        <cfvo type="max"/>
        <color rgb="FF008AEF"/>
      </dataBar>
      <extLst>
        <ext xmlns:x14="http://schemas.microsoft.com/office/spreadsheetml/2009/9/main" uri="{B025F937-C7B1-47D3-B67F-A62EFF666E3E}">
          <x14:id>{5FAB6E40-2302-4804-B0C1-2A87D1AB1BED}</x14:id>
        </ext>
      </extLst>
    </cfRule>
  </conditionalFormatting>
  <conditionalFormatting sqref="V371">
    <cfRule type="cellIs" dxfId="59" priority="4" operator="equal">
      <formula>"Pendiente"</formula>
    </cfRule>
    <cfRule type="dataBar" priority="5">
      <dataBar>
        <cfvo type="min"/>
        <cfvo type="max"/>
        <color rgb="FF008AEF"/>
      </dataBar>
      <extLst>
        <ext xmlns:x14="http://schemas.microsoft.com/office/spreadsheetml/2009/9/main" uri="{B025F937-C7B1-47D3-B67F-A62EFF666E3E}">
          <x14:id>{1A17177F-0EF7-4AF4-BE2E-CB67709E3078}</x14:id>
        </ext>
      </extLst>
    </cfRule>
  </conditionalFormatting>
  <conditionalFormatting sqref="V603:V612 V581:V600 V574:V579 V372:V559 V353:V356 V368:V370 V363:V366 V257:V346 V561:V570">
    <cfRule type="dataBar" priority="14">
      <dataBar>
        <cfvo type="min"/>
        <cfvo type="max"/>
        <color rgb="FF63C384"/>
      </dataBar>
      <extLst>
        <ext xmlns:x14="http://schemas.microsoft.com/office/spreadsheetml/2009/9/main" uri="{B025F937-C7B1-47D3-B67F-A62EFF666E3E}">
          <x14:id>{64F87CF3-A36E-4FC8-BCCC-999EB2678703}</x14:id>
        </ext>
      </extLst>
    </cfRule>
  </conditionalFormatting>
  <conditionalFormatting sqref="U350">
    <cfRule type="cellIs" dxfId="58" priority="2" operator="equal">
      <formula>"Pendiente"</formula>
    </cfRule>
  </conditionalFormatting>
  <conditionalFormatting sqref="H2:H622">
    <cfRule type="iconSet" priority="37">
      <iconSet iconSet="3Symbols" showValue="0">
        <cfvo type="percent" val="0"/>
        <cfvo type="num" val="0"/>
        <cfvo type="num" val="1"/>
      </iconSet>
    </cfRule>
  </conditionalFormatting>
  <conditionalFormatting sqref="K2:K622">
    <cfRule type="iconSet" priority="38">
      <iconSet iconSet="3Symbols" showValue="0">
        <cfvo type="percent" val="0"/>
        <cfvo type="num" val="0"/>
        <cfvo type="num" val="1"/>
      </iconSet>
    </cfRule>
  </conditionalFormatting>
  <conditionalFormatting sqref="Q2:Q622">
    <cfRule type="iconSet" priority="39">
      <iconSet iconSet="3Symbols" showValue="0">
        <cfvo type="percent" val="0"/>
        <cfvo type="num" val="0"/>
        <cfvo type="num" val="1"/>
      </iconSet>
    </cfRule>
  </conditionalFormatting>
  <conditionalFormatting sqref="S2:S622">
    <cfRule type="iconSet" priority="40">
      <iconSet iconSet="3Symbols" showValue="0">
        <cfvo type="percent" val="0"/>
        <cfvo type="num" val="0"/>
        <cfvo type="num" val="1"/>
      </iconSet>
    </cfRule>
  </conditionalFormatting>
  <conditionalFormatting sqref="V560">
    <cfRule type="cellIs" dxfId="57" priority="1" operator="equal">
      <formula>"Pendiente"</formula>
    </cfRule>
  </conditionalFormatting>
  <pageMargins left="0.7" right="0.7" top="0.75" bottom="0.75" header="0.3" footer="0.3"/>
  <pageSetup orientation="portrait" r:id="rId1"/>
  <drawing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166FD4D2-D71D-41EB-99E8-F5EBC06CB71A}">
            <x14:dataBar minLength="0" maxLength="100" gradient="0">
              <x14:cfvo type="autoMin"/>
              <x14:cfvo type="autoMax"/>
              <x14:negativeFillColor rgb="FFFF0000"/>
              <x14:axisColor rgb="FF000000"/>
            </x14:dataBar>
          </x14:cfRule>
          <xm:sqref>V613:V1048576</xm:sqref>
        </x14:conditionalFormatting>
        <x14:conditionalFormatting xmlns:xm="http://schemas.microsoft.com/office/excel/2006/main">
          <x14:cfRule type="dataBar" id="{40248371-72FB-4F78-AD2B-86AEF935F01F}">
            <x14:dataBar minLength="0" maxLength="100" gradient="0">
              <x14:cfvo type="autoMin"/>
              <x14:cfvo type="autoMax"/>
              <x14:negativeFillColor rgb="FFFF0000"/>
              <x14:axisColor rgb="FF000000"/>
            </x14:dataBar>
          </x14:cfRule>
          <xm:sqref>V347:V350</xm:sqref>
        </x14:conditionalFormatting>
        <x14:conditionalFormatting xmlns:xm="http://schemas.microsoft.com/office/excel/2006/main">
          <x14:cfRule type="dataBar" id="{D14AC14C-4A42-446C-99ED-EC4BA2E751CA}">
            <x14:dataBar minLength="0" maxLength="100" gradient="0">
              <x14:cfvo type="autoMin"/>
              <x14:cfvo type="autoMax"/>
              <x14:negativeFillColor rgb="FFFF0000"/>
              <x14:axisColor rgb="FF000000"/>
            </x14:dataBar>
          </x14:cfRule>
          <xm:sqref>V351:V352</xm:sqref>
        </x14:conditionalFormatting>
        <x14:conditionalFormatting xmlns:xm="http://schemas.microsoft.com/office/excel/2006/main">
          <x14:cfRule type="dataBar" id="{9F63C8D0-FB73-4627-BBB6-5E33733AEF88}">
            <x14:dataBar minLength="0" maxLength="100" gradient="0">
              <x14:cfvo type="autoMin"/>
              <x14:cfvo type="autoMax"/>
              <x14:negativeFillColor rgb="FFFF0000"/>
              <x14:axisColor rgb="FF000000"/>
            </x14:dataBar>
          </x14:cfRule>
          <xm:sqref>V357:V362</xm:sqref>
        </x14:conditionalFormatting>
        <x14:conditionalFormatting xmlns:xm="http://schemas.microsoft.com/office/excel/2006/main">
          <x14:cfRule type="dataBar" id="{5FAB6E40-2302-4804-B0C1-2A87D1AB1BED}">
            <x14:dataBar minLength="0" maxLength="100" gradient="0">
              <x14:cfvo type="autoMin"/>
              <x14:cfvo type="autoMax"/>
              <x14:negativeFillColor rgb="FFFF0000"/>
              <x14:axisColor rgb="FF000000"/>
            </x14:dataBar>
          </x14:cfRule>
          <xm:sqref>V367</xm:sqref>
        </x14:conditionalFormatting>
        <x14:conditionalFormatting xmlns:xm="http://schemas.microsoft.com/office/excel/2006/main">
          <x14:cfRule type="dataBar" id="{1A17177F-0EF7-4AF4-BE2E-CB67709E3078}">
            <x14:dataBar minLength="0" maxLength="100" gradient="0">
              <x14:cfvo type="autoMin"/>
              <x14:cfvo type="autoMax"/>
              <x14:negativeFillColor rgb="FFFF0000"/>
              <x14:axisColor rgb="FF000000"/>
            </x14:dataBar>
          </x14:cfRule>
          <xm:sqref>V371</xm:sqref>
        </x14:conditionalFormatting>
        <x14:conditionalFormatting xmlns:xm="http://schemas.microsoft.com/office/excel/2006/main">
          <x14:cfRule type="dataBar" id="{64F87CF3-A36E-4FC8-BCCC-999EB2678703}">
            <x14:dataBar minLength="0" maxLength="100" gradient="0">
              <x14:cfvo type="autoMin"/>
              <x14:cfvo type="autoMax"/>
              <x14:negativeFillColor rgb="FFFF0000"/>
              <x14:axisColor rgb="FF000000"/>
            </x14:dataBar>
          </x14:cfRule>
          <xm:sqref>V603:V612 V581:V600 V574:V579 V372:V559 V353:V356 V368:V370 V363:V366 V257:V346 V561:V570</xm:sqref>
        </x14:conditionalFormatting>
      </x14:conditionalFormattings>
    </ext>
    <ext xmlns:x15="http://schemas.microsoft.com/office/spreadsheetml/2010/11/main" uri="{3A4CF648-6AED-40f4-86FF-DC5316D8AED3}">
      <x14:slicerList xmlns:x14="http://schemas.microsoft.com/office/spreadsheetml/2009/9/main">
        <x14:slicer r:id="rId5"/>
      </x14:slicerList>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7FEE42-720A-4FE8-9509-FD0F30E091C1}">
  <sheetPr codeName="Hoja6">
    <tabColor theme="4"/>
  </sheetPr>
  <dimension ref="A1:AT93"/>
  <sheetViews>
    <sheetView zoomScale="80" zoomScaleNormal="80" workbookViewId="0">
      <pane xSplit="2" ySplit="2" topLeftCell="C42" activePane="bottomRight" state="frozen"/>
      <selection pane="topRight" activeCell="C1" sqref="C1"/>
      <selection pane="bottomLeft" activeCell="A3" sqref="A3"/>
      <selection pane="bottomRight" activeCell="AS27" sqref="AS27"/>
    </sheetView>
  </sheetViews>
  <sheetFormatPr baseColWidth="10" defaultColWidth="11.42578125" defaultRowHeight="13.5" outlineLevelCol="1" x14ac:dyDescent="0.25"/>
  <cols>
    <col min="1" max="1" width="22.28515625" style="2" bestFit="1" customWidth="1"/>
    <col min="2" max="2" width="51.42578125" style="2" customWidth="1"/>
    <col min="3" max="3" width="7.28515625" style="2" bestFit="1" customWidth="1"/>
    <col min="4" max="4" width="14.42578125" style="2" bestFit="1" customWidth="1"/>
    <col min="5" max="5" width="17" style="2" customWidth="1"/>
    <col min="6" max="6" width="17.42578125" style="2" bestFit="1" customWidth="1"/>
    <col min="7" max="7" width="16.42578125" style="2" customWidth="1"/>
    <col min="8" max="8" width="19.85546875" style="2" customWidth="1"/>
    <col min="9" max="9" width="12.7109375" style="2" customWidth="1" collapsed="1"/>
    <col min="10" max="10" width="16.5703125" style="2" customWidth="1"/>
    <col min="11" max="11" width="15.42578125" style="2" customWidth="1"/>
    <col min="12" max="12" width="15.28515625" style="2" customWidth="1"/>
    <col min="13" max="13" width="12.140625" style="2" customWidth="1"/>
    <col min="14" max="14" width="14.5703125" style="2" hidden="1" customWidth="1" outlineLevel="1"/>
    <col min="15" max="15" width="12.140625" style="2" hidden="1" customWidth="1" outlineLevel="1"/>
    <col min="16" max="17" width="14.5703125" style="2" hidden="1" customWidth="1" outlineLevel="1"/>
    <col min="18" max="18" width="13.7109375" style="2" hidden="1" customWidth="1" outlineLevel="1"/>
    <col min="19" max="28" width="10.5703125" style="2" hidden="1" customWidth="1" outlineLevel="1"/>
    <col min="29" max="29" width="11.42578125" style="2" hidden="1" customWidth="1" outlineLevel="1"/>
    <col min="30" max="30" width="14.85546875" style="2" hidden="1" customWidth="1" outlineLevel="1"/>
    <col min="31" max="34" width="11.42578125" style="2" hidden="1" customWidth="1" outlineLevel="1"/>
    <col min="35" max="35" width="11.42578125" style="2" customWidth="1" collapsed="1"/>
    <col min="36" max="36" width="11.42578125" style="2" customWidth="1"/>
    <col min="37" max="37" width="11.28515625" style="2" customWidth="1"/>
    <col min="38" max="38" width="11.42578125" style="2" customWidth="1"/>
    <col min="39" max="39" width="11.7109375" style="2" customWidth="1"/>
    <col min="40" max="42" width="11.42578125" style="2" customWidth="1"/>
    <col min="43" max="44" width="11.42578125" style="2"/>
    <col min="45" max="45" width="37.85546875" style="2" bestFit="1" customWidth="1"/>
    <col min="46" max="16384" width="11.42578125" style="2"/>
  </cols>
  <sheetData>
    <row r="1" spans="1:46" x14ac:dyDescent="0.25">
      <c r="A1" s="2">
        <v>1</v>
      </c>
      <c r="B1" s="2">
        <v>2</v>
      </c>
      <c r="C1" s="2">
        <v>3</v>
      </c>
      <c r="D1" s="2">
        <v>4</v>
      </c>
      <c r="E1" s="2">
        <v>5</v>
      </c>
      <c r="F1" s="2">
        <v>6</v>
      </c>
      <c r="G1" s="2">
        <v>7</v>
      </c>
      <c r="H1" s="2">
        <v>8</v>
      </c>
      <c r="I1" s="2">
        <v>9</v>
      </c>
      <c r="J1" s="2">
        <v>10</v>
      </c>
      <c r="S1" s="2">
        <f t="shared" ref="S1:AH1" si="0">+COUNTIF(S3:S63,"&gt;0")</f>
        <v>21</v>
      </c>
      <c r="T1" s="2">
        <f t="shared" si="0"/>
        <v>19</v>
      </c>
      <c r="U1" s="2">
        <f t="shared" si="0"/>
        <v>21</v>
      </c>
      <c r="V1" s="2">
        <f t="shared" si="0"/>
        <v>20</v>
      </c>
      <c r="W1" s="2">
        <f t="shared" si="0"/>
        <v>22</v>
      </c>
      <c r="X1" s="2">
        <f t="shared" si="0"/>
        <v>17</v>
      </c>
      <c r="Y1" s="2">
        <f t="shared" si="0"/>
        <v>13</v>
      </c>
      <c r="Z1" s="2">
        <f t="shared" si="0"/>
        <v>15</v>
      </c>
      <c r="AA1" s="2">
        <f t="shared" si="0"/>
        <v>17</v>
      </c>
      <c r="AB1" s="2">
        <f t="shared" si="0"/>
        <v>16</v>
      </c>
      <c r="AC1" s="2">
        <f t="shared" si="0"/>
        <v>14</v>
      </c>
      <c r="AD1" s="2">
        <f t="shared" si="0"/>
        <v>14</v>
      </c>
      <c r="AE1" s="2">
        <f t="shared" si="0"/>
        <v>18</v>
      </c>
      <c r="AF1" s="2">
        <f t="shared" si="0"/>
        <v>15</v>
      </c>
      <c r="AG1" s="2">
        <f t="shared" si="0"/>
        <v>22</v>
      </c>
      <c r="AH1" s="2">
        <f t="shared" si="0"/>
        <v>17</v>
      </c>
      <c r="AI1" s="2">
        <f>+COUNTIF(AI3:AI63,"&gt;0")</f>
        <v>26</v>
      </c>
      <c r="AJ1" s="2">
        <f t="shared" ref="AJ1:AP1" si="1">+COUNTIF(AJ3:AJ63,"&gt;0")</f>
        <v>13</v>
      </c>
      <c r="AK1" s="2">
        <f t="shared" si="1"/>
        <v>0</v>
      </c>
      <c r="AL1" s="2">
        <f t="shared" si="1"/>
        <v>0</v>
      </c>
      <c r="AM1" s="2">
        <f t="shared" si="1"/>
        <v>0</v>
      </c>
      <c r="AN1" s="2">
        <f t="shared" si="1"/>
        <v>0</v>
      </c>
      <c r="AO1" s="2">
        <f t="shared" si="1"/>
        <v>0</v>
      </c>
      <c r="AP1" s="2">
        <f t="shared" si="1"/>
        <v>0</v>
      </c>
    </row>
    <row r="2" spans="1:46" ht="27.75" customHeight="1" x14ac:dyDescent="0.25">
      <c r="A2" s="3" t="s">
        <v>0</v>
      </c>
      <c r="B2" s="3" t="s">
        <v>2</v>
      </c>
      <c r="C2" s="3" t="s">
        <v>3</v>
      </c>
      <c r="D2" s="4" t="s">
        <v>125</v>
      </c>
      <c r="E2" s="4" t="s">
        <v>126</v>
      </c>
      <c r="F2" s="4" t="s">
        <v>127</v>
      </c>
      <c r="G2" s="4" t="s">
        <v>128</v>
      </c>
      <c r="H2" s="4" t="s">
        <v>129</v>
      </c>
      <c r="I2" s="4" t="s">
        <v>130</v>
      </c>
      <c r="J2" s="4" t="s">
        <v>131</v>
      </c>
      <c r="K2" s="4" t="s">
        <v>132</v>
      </c>
      <c r="L2" s="4" t="s">
        <v>133</v>
      </c>
      <c r="M2" s="4" t="s">
        <v>134</v>
      </c>
      <c r="N2" s="4" t="s">
        <v>135</v>
      </c>
      <c r="O2" s="4" t="s">
        <v>136</v>
      </c>
      <c r="P2" s="4" t="s">
        <v>137</v>
      </c>
      <c r="Q2" s="4" t="s">
        <v>138</v>
      </c>
      <c r="R2" s="4" t="s">
        <v>139</v>
      </c>
      <c r="S2" s="5" t="s">
        <v>140</v>
      </c>
      <c r="T2" s="6" t="s">
        <v>141</v>
      </c>
      <c r="U2" s="5" t="s">
        <v>142</v>
      </c>
      <c r="V2" s="6" t="s">
        <v>143</v>
      </c>
      <c r="W2" s="5" t="s">
        <v>144</v>
      </c>
      <c r="X2" s="6" t="s">
        <v>145</v>
      </c>
      <c r="Y2" s="5" t="s">
        <v>146</v>
      </c>
      <c r="Z2" s="6" t="s">
        <v>147</v>
      </c>
      <c r="AA2" s="5" t="s">
        <v>148</v>
      </c>
      <c r="AB2" s="6" t="s">
        <v>149</v>
      </c>
      <c r="AC2" s="5" t="s">
        <v>150</v>
      </c>
      <c r="AD2" s="6" t="s">
        <v>151</v>
      </c>
      <c r="AE2" s="5" t="s">
        <v>152</v>
      </c>
      <c r="AF2" s="6" t="s">
        <v>153</v>
      </c>
      <c r="AG2" s="5" t="s">
        <v>154</v>
      </c>
      <c r="AH2" s="6" t="s">
        <v>155</v>
      </c>
      <c r="AI2" s="5" t="s">
        <v>156</v>
      </c>
      <c r="AJ2" s="6" t="s">
        <v>157</v>
      </c>
      <c r="AK2" s="5" t="s">
        <v>158</v>
      </c>
      <c r="AL2" s="6" t="s">
        <v>159</v>
      </c>
      <c r="AM2" s="5" t="s">
        <v>160</v>
      </c>
      <c r="AN2" s="6" t="s">
        <v>161</v>
      </c>
      <c r="AO2" s="5" t="s">
        <v>162</v>
      </c>
      <c r="AP2" s="6" t="s">
        <v>163</v>
      </c>
      <c r="AQ2" s="2" t="s">
        <v>164</v>
      </c>
    </row>
    <row r="3" spans="1:46" ht="14.25" customHeight="1" x14ac:dyDescent="0.25">
      <c r="A3" s="2" t="str">
        <f>+_xlfn.XLOOKUP(B3,'[1]Proyectos (NO FILTRAR)'!$F:$F,'[1]Proyectos (NO FILTRAR)'!$B:$B,0,0,1)</f>
        <v>CH-AMS-OT-OTR00-108-A</v>
      </c>
      <c r="B3" s="32" t="s">
        <v>21</v>
      </c>
      <c r="C3" s="7" t="str">
        <f>+_xlfn.XLOOKUP(A3,'[1]Proyectos (NO FILTRAR)'!$B:$B,'[1]Proyectos (NO FILTRAR)'!$G:$G,"error",0,1)</f>
        <v>Chile</v>
      </c>
      <c r="D3" s="7">
        <v>2024</v>
      </c>
      <c r="E3" s="7" t="s">
        <v>229</v>
      </c>
      <c r="F3" s="7" t="s">
        <v>165</v>
      </c>
      <c r="G3" s="8"/>
      <c r="H3" s="8" t="s">
        <v>166</v>
      </c>
      <c r="I3" s="9">
        <f>+_xlfn.XLOOKUP(B3,'[1]Proyectos (NO FILTRAR)'!$F:$F,'[1]Proyectos (NO FILTRAR)'!$O:$O,"!",0,1)</f>
        <v>191000</v>
      </c>
      <c r="J3" s="10">
        <f>+Q3+T3+V3+X3+Z3+AB3+AD3+AF3+AH3+AJ3</f>
        <v>108170.98000000001</v>
      </c>
      <c r="K3" s="11">
        <f t="shared" ref="K3:K61" si="2">+IFERROR(J3/I3,0)</f>
        <v>0.56634020942408381</v>
      </c>
      <c r="L3" s="12">
        <f t="shared" ref="L3:L61" si="3">+I3-J3</f>
        <v>82829.01999999999</v>
      </c>
      <c r="M3" s="13">
        <f t="shared" ref="M3:M61" si="4">+IFERROR(L3/I3,0)</f>
        <v>0.43365979057591619</v>
      </c>
      <c r="N3" s="14">
        <f>+J3+AI3</f>
        <v>108170.98000000001</v>
      </c>
      <c r="O3" s="13">
        <f t="shared" ref="O3:O61" si="5">IFERROR(N3/I3,0)</f>
        <v>0.56634020942408381</v>
      </c>
      <c r="P3" s="14">
        <f t="shared" ref="P3:P61" si="6">+I3-N3</f>
        <v>82829.01999999999</v>
      </c>
      <c r="Q3" s="15">
        <v>76524.88</v>
      </c>
      <c r="R3" s="15">
        <f>+I3-Q3</f>
        <v>114475.12</v>
      </c>
      <c r="S3" s="16">
        <v>7200</v>
      </c>
      <c r="T3" s="17">
        <v>7816.24</v>
      </c>
      <c r="U3" s="16">
        <f>_xlfn.XLOOKUP(B3,'[2]Resumen EDP POM'!$B:$B,'[2]Resumen EDP POM'!$E:$E,"!",0,1)</f>
        <v>5241.6000000000004</v>
      </c>
      <c r="V3" s="18">
        <v>10738.86</v>
      </c>
      <c r="W3" s="16">
        <v>3403.0210526315791</v>
      </c>
      <c r="X3" s="17">
        <v>8828</v>
      </c>
      <c r="Y3" s="16"/>
      <c r="Z3" s="17">
        <v>4263</v>
      </c>
      <c r="AA3" s="16"/>
      <c r="AB3" s="17"/>
      <c r="AC3" s="16"/>
      <c r="AD3" s="17"/>
      <c r="AE3" s="16"/>
      <c r="AF3" s="17"/>
      <c r="AG3" s="16"/>
      <c r="AH3" s="17"/>
      <c r="AI3" s="16"/>
      <c r="AJ3" s="19"/>
      <c r="AK3" s="16"/>
      <c r="AL3" s="17"/>
      <c r="AM3" s="16"/>
      <c r="AN3" s="20"/>
      <c r="AO3" s="21"/>
      <c r="AP3" s="17"/>
      <c r="AQ3" s="2" t="str">
        <f>+IF(AND(L3&gt;0,AC3=0),"!","")</f>
        <v>!</v>
      </c>
      <c r="AR3" s="22"/>
      <c r="AS3" s="22"/>
      <c r="AT3" s="22"/>
    </row>
    <row r="4" spans="1:46" ht="14.25" customHeight="1" x14ac:dyDescent="0.25">
      <c r="A4" s="2" t="str">
        <f>+_xlfn.XLOOKUP(B4,'[1]Proyectos (NO FILTRAR)'!$F:$F,'[1]Proyectos (NO FILTRAR)'!$B:$B,0,0,1)</f>
        <v>CH-AMS-CS-OTR00-116-A</v>
      </c>
      <c r="B4" s="32" t="s">
        <v>23</v>
      </c>
      <c r="C4" s="7" t="str">
        <f>+_xlfn.XLOOKUP(A4,'[1]Proyectos (NO FILTRAR)'!$B:$B,'[1]Proyectos (NO FILTRAR)'!$G:$G,"error",0,1)</f>
        <v>Chile</v>
      </c>
      <c r="D4" s="7">
        <v>2024</v>
      </c>
      <c r="E4" s="7" t="s">
        <v>229</v>
      </c>
      <c r="F4" s="7" t="s">
        <v>165</v>
      </c>
      <c r="G4" s="8"/>
      <c r="H4" s="8" t="s">
        <v>167</v>
      </c>
      <c r="I4" s="9">
        <f>+_xlfn.XLOOKUP(B4,'[1]Proyectos (NO FILTRAR)'!$F:$F,'[1]Proyectos (NO FILTRAR)'!$O:$O,"!",0,1)</f>
        <v>134445.66999999998</v>
      </c>
      <c r="J4" s="10">
        <f t="shared" ref="J4:J66" si="7">+Q4+T4+V4+X4+Z4+AB4+AD4+AF4+AH4+AJ4</f>
        <v>134445.66999999998</v>
      </c>
      <c r="K4" s="11">
        <f t="shared" si="2"/>
        <v>1</v>
      </c>
      <c r="L4" s="12">
        <f t="shared" si="3"/>
        <v>0</v>
      </c>
      <c r="M4" s="13">
        <f t="shared" si="4"/>
        <v>0</v>
      </c>
      <c r="N4" s="14">
        <f t="shared" ref="N4:N61" si="8">+J4+AI4</f>
        <v>134445.66999999998</v>
      </c>
      <c r="O4" s="13">
        <f t="shared" si="5"/>
        <v>1</v>
      </c>
      <c r="P4" s="14">
        <f t="shared" si="6"/>
        <v>0</v>
      </c>
      <c r="Q4" s="15">
        <v>0</v>
      </c>
      <c r="R4" s="15">
        <f>+I4-Q4</f>
        <v>134445.66999999998</v>
      </c>
      <c r="S4" s="16">
        <v>30000</v>
      </c>
      <c r="T4" s="17"/>
      <c r="U4" s="16">
        <f>_xlfn.XLOOKUP(B4,'[2]Resumen EDP POM'!$B:$B,'[2]Resumen EDP POM'!$E:$E,"!",0,1)</f>
        <v>45000</v>
      </c>
      <c r="V4" s="18">
        <v>31900.14</v>
      </c>
      <c r="W4" s="16">
        <v>45093.75</v>
      </c>
      <c r="X4" s="17">
        <f>32887.86+30364.67</f>
        <v>63252.53</v>
      </c>
      <c r="Y4" s="16">
        <v>45375</v>
      </c>
      <c r="Z4" s="17">
        <v>39293</v>
      </c>
      <c r="AA4" s="16">
        <v>15000</v>
      </c>
      <c r="AB4" s="17"/>
      <c r="AC4" s="16"/>
      <c r="AD4" s="17"/>
      <c r="AE4" s="16"/>
      <c r="AF4" s="17"/>
      <c r="AG4" s="16"/>
      <c r="AH4" s="17"/>
      <c r="AI4" s="16"/>
      <c r="AJ4" s="19"/>
      <c r="AK4" s="16"/>
      <c r="AL4" s="17"/>
      <c r="AM4" s="16"/>
      <c r="AN4" s="17"/>
      <c r="AO4" s="21"/>
      <c r="AP4" s="17"/>
      <c r="AQ4" s="2" t="str">
        <f t="shared" ref="AQ4:AQ44" si="9">+IF(AND(L4&gt;0,AC4=0),"!","")</f>
        <v/>
      </c>
      <c r="AR4" s="22"/>
      <c r="AS4" s="22"/>
      <c r="AT4" s="22"/>
    </row>
    <row r="5" spans="1:46" ht="14.25" customHeight="1" x14ac:dyDescent="0.25">
      <c r="A5" s="2" t="str">
        <f>+_xlfn.XLOOKUP(B5,'[1]Proyectos (NO FILTRAR)'!$F:$F,'[1]Proyectos (NO FILTRAR)'!$B:$B,0,0,1)</f>
        <v>CH-AAM-CS-OTR00-146-A</v>
      </c>
      <c r="B5" s="32" t="s">
        <v>24</v>
      </c>
      <c r="C5" s="7" t="str">
        <f>+_xlfn.XLOOKUP(A5,'[1]Proyectos (NO FILTRAR)'!$B:$B,'[1]Proyectos (NO FILTRAR)'!$G:$G,"error",0,1)</f>
        <v>Chile</v>
      </c>
      <c r="D5" s="7">
        <v>2025</v>
      </c>
      <c r="E5" s="7" t="s">
        <v>229</v>
      </c>
      <c r="F5" s="7" t="s">
        <v>165</v>
      </c>
      <c r="G5" s="8"/>
      <c r="H5" s="8"/>
      <c r="I5" s="9">
        <f>+_xlfn.XLOOKUP(B5,'[1]Proyectos (NO FILTRAR)'!$F:$F,'[1]Proyectos (NO FILTRAR)'!$O:$O,"!",0,1)</f>
        <v>62417</v>
      </c>
      <c r="J5" s="10">
        <f t="shared" si="7"/>
        <v>62417</v>
      </c>
      <c r="K5" s="11">
        <f t="shared" si="2"/>
        <v>1</v>
      </c>
      <c r="L5" s="12">
        <f t="shared" si="3"/>
        <v>0</v>
      </c>
      <c r="M5" s="13">
        <f t="shared" si="4"/>
        <v>0</v>
      </c>
      <c r="N5" s="14">
        <f t="shared" si="8"/>
        <v>62417</v>
      </c>
      <c r="O5" s="13">
        <f t="shared" si="5"/>
        <v>1</v>
      </c>
      <c r="P5" s="14">
        <f t="shared" si="6"/>
        <v>0</v>
      </c>
      <c r="Q5" s="15"/>
      <c r="R5" s="15"/>
      <c r="S5" s="16"/>
      <c r="T5" s="17"/>
      <c r="U5" s="16"/>
      <c r="V5" s="17"/>
      <c r="W5" s="16">
        <v>34964.851063829781</v>
      </c>
      <c r="X5" s="17"/>
      <c r="Y5" s="16">
        <v>42701.489361702123</v>
      </c>
      <c r="Z5" s="17">
        <v>62417</v>
      </c>
      <c r="AA5" s="16">
        <v>6227.1999999999971</v>
      </c>
      <c r="AB5" s="17"/>
      <c r="AC5" s="16"/>
      <c r="AD5" s="17"/>
      <c r="AE5" s="16"/>
      <c r="AF5" s="17"/>
      <c r="AG5" s="16"/>
      <c r="AH5" s="17"/>
      <c r="AI5" s="16"/>
      <c r="AJ5" s="19"/>
      <c r="AK5" s="16"/>
      <c r="AL5" s="17"/>
      <c r="AM5" s="16"/>
      <c r="AN5" s="20"/>
      <c r="AO5" s="21"/>
      <c r="AP5" s="17"/>
      <c r="AQ5" s="2" t="str">
        <f t="shared" si="9"/>
        <v/>
      </c>
      <c r="AR5" s="22"/>
      <c r="AS5" s="22"/>
      <c r="AT5" s="22"/>
    </row>
    <row r="6" spans="1:46" ht="14.25" customHeight="1" x14ac:dyDescent="0.25">
      <c r="A6" s="2" t="str">
        <f>+_xlfn.XLOOKUP(B6,'[1]Proyectos (NO FILTRAR)'!$F:$F,'[1]Proyectos (NO FILTRAR)'!$B:$B,0,0,1)</f>
        <v>CH-AAM-OT-FEL03-139-A</v>
      </c>
      <c r="B6" s="32" t="s">
        <v>26</v>
      </c>
      <c r="C6" s="7" t="str">
        <f>+_xlfn.XLOOKUP(A6,'[1]Proyectos (NO FILTRAR)'!$B:$B,'[1]Proyectos (NO FILTRAR)'!$G:$G,"error",0,1)</f>
        <v>Chile</v>
      </c>
      <c r="D6" s="7">
        <v>2025</v>
      </c>
      <c r="E6" s="7" t="s">
        <v>230</v>
      </c>
      <c r="F6" s="7" t="s">
        <v>168</v>
      </c>
      <c r="G6" s="8"/>
      <c r="H6" s="8" t="s">
        <v>169</v>
      </c>
      <c r="I6" s="9">
        <f>+_xlfn.XLOOKUP(B6,'[1]Proyectos (NO FILTRAR)'!$F:$F,'[1]Proyectos (NO FILTRAR)'!$O:$O,"!",0,1)</f>
        <v>183430</v>
      </c>
      <c r="J6" s="10">
        <f t="shared" si="7"/>
        <v>183430.12</v>
      </c>
      <c r="K6" s="11">
        <f t="shared" si="2"/>
        <v>1.0000006542005124</v>
      </c>
      <c r="L6" s="12">
        <f t="shared" si="3"/>
        <v>-0.11999999999534339</v>
      </c>
      <c r="M6" s="13">
        <f t="shared" si="4"/>
        <v>-6.5420051243168174E-7</v>
      </c>
      <c r="N6" s="14">
        <f t="shared" si="8"/>
        <v>205839</v>
      </c>
      <c r="O6" s="13">
        <f t="shared" si="5"/>
        <v>1.1221664940304203</v>
      </c>
      <c r="P6" s="14">
        <f t="shared" si="6"/>
        <v>-22409</v>
      </c>
      <c r="Q6" s="15"/>
      <c r="R6" s="15"/>
      <c r="S6" s="16"/>
      <c r="T6" s="17"/>
      <c r="U6" s="16">
        <v>35000</v>
      </c>
      <c r="V6" s="18">
        <v>5211</v>
      </c>
      <c r="W6" s="16">
        <v>15000</v>
      </c>
      <c r="X6" s="17">
        <v>10435</v>
      </c>
      <c r="Y6" s="16">
        <v>80000</v>
      </c>
      <c r="Z6" s="17">
        <v>38772.33</v>
      </c>
      <c r="AA6" s="16">
        <v>113000</v>
      </c>
      <c r="AB6" s="17">
        <v>66962.789999999994</v>
      </c>
      <c r="AC6" s="16">
        <v>40000</v>
      </c>
      <c r="AD6" s="17">
        <v>17604</v>
      </c>
      <c r="AE6" s="16">
        <v>10000</v>
      </c>
      <c r="AF6" s="78">
        <v>18605</v>
      </c>
      <c r="AG6" s="16"/>
      <c r="AH6" s="79">
        <v>3431</v>
      </c>
      <c r="AI6" s="16">
        <v>22408.880000000005</v>
      </c>
      <c r="AJ6" s="79">
        <v>22409</v>
      </c>
      <c r="AK6" s="16"/>
      <c r="AL6" s="17"/>
      <c r="AM6" s="16"/>
      <c r="AN6" s="20"/>
      <c r="AO6" s="21"/>
      <c r="AP6" s="17"/>
      <c r="AQ6" s="2" t="str">
        <f t="shared" si="9"/>
        <v/>
      </c>
      <c r="AR6" s="22"/>
      <c r="AS6" s="22"/>
      <c r="AT6" s="22"/>
    </row>
    <row r="7" spans="1:46" ht="14.25" customHeight="1" x14ac:dyDescent="0.25">
      <c r="A7" s="80" t="s">
        <v>4</v>
      </c>
      <c r="B7" s="23" t="s">
        <v>5</v>
      </c>
      <c r="C7" s="7" t="str">
        <f>+_xlfn.XLOOKUP(A7,'[1]Proyectos (NO FILTRAR)'!$B:$B,'[1]Proyectos (NO FILTRAR)'!$G:$G,"error",0,1)</f>
        <v>Brasil</v>
      </c>
      <c r="D7" s="7">
        <v>2024</v>
      </c>
      <c r="E7" s="7" t="s">
        <v>231</v>
      </c>
      <c r="F7" s="7" t="s">
        <v>170</v>
      </c>
      <c r="G7" s="8"/>
      <c r="H7" s="8" t="s">
        <v>171</v>
      </c>
      <c r="I7" s="9">
        <f>+_xlfn.XLOOKUP(B7,'[1]Proyectos (NO FILTRAR)'!$F:$F,'[1]Proyectos (NO FILTRAR)'!$O:$O,"!",0,1)</f>
        <v>310000</v>
      </c>
      <c r="J7" s="10">
        <f t="shared" si="7"/>
        <v>298379.41000000003</v>
      </c>
      <c r="K7" s="11">
        <f t="shared" si="2"/>
        <v>0.96251422580645174</v>
      </c>
      <c r="L7" s="12">
        <f t="shared" si="3"/>
        <v>11620.589999999967</v>
      </c>
      <c r="M7" s="13">
        <f t="shared" si="4"/>
        <v>3.7485774193548281E-2</v>
      </c>
      <c r="N7" s="14">
        <f t="shared" si="8"/>
        <v>310660.11175438599</v>
      </c>
      <c r="O7" s="13">
        <f t="shared" si="5"/>
        <v>1.0021293927560839</v>
      </c>
      <c r="P7" s="14">
        <f t="shared" si="6"/>
        <v>-660.1117543859873</v>
      </c>
      <c r="Q7" s="15">
        <v>0</v>
      </c>
      <c r="R7" s="15">
        <f>+I7-Q7</f>
        <v>310000</v>
      </c>
      <c r="S7" s="16">
        <v>40000</v>
      </c>
      <c r="T7" s="17">
        <v>54144</v>
      </c>
      <c r="U7" s="16">
        <f>_xlfn.XLOOKUP(B7,'[2]Resumen EDP POM'!$B:$B,'[2]Resumen EDP POM'!$E:$E,"!",0,1)</f>
        <v>46000</v>
      </c>
      <c r="V7" s="18">
        <v>58804.41</v>
      </c>
      <c r="W7" s="16">
        <v>44000</v>
      </c>
      <c r="X7" s="17">
        <v>20261</v>
      </c>
      <c r="Y7" s="16"/>
      <c r="Z7" s="17">
        <v>46562</v>
      </c>
      <c r="AA7" s="16">
        <v>34381.815517241383</v>
      </c>
      <c r="AB7" s="17">
        <v>23599</v>
      </c>
      <c r="AC7" s="16">
        <v>33400</v>
      </c>
      <c r="AD7" s="17">
        <v>30544</v>
      </c>
      <c r="AE7" s="16">
        <v>30000</v>
      </c>
      <c r="AF7" s="78">
        <v>29078</v>
      </c>
      <c r="AG7" s="16">
        <v>22000</v>
      </c>
      <c r="AH7" s="79">
        <v>19194</v>
      </c>
      <c r="AI7" s="16">
        <v>12280.701754385964</v>
      </c>
      <c r="AJ7" s="79">
        <v>16193</v>
      </c>
      <c r="AK7" s="16"/>
      <c r="AL7" s="17"/>
      <c r="AM7" s="16"/>
      <c r="AN7" s="17"/>
      <c r="AO7" s="21"/>
      <c r="AP7" s="17"/>
      <c r="AQ7" s="2" t="str">
        <f t="shared" si="9"/>
        <v/>
      </c>
      <c r="AR7" s="22"/>
      <c r="AS7" s="22"/>
      <c r="AT7" s="22"/>
    </row>
    <row r="8" spans="1:46" ht="14.25" customHeight="1" x14ac:dyDescent="0.25">
      <c r="A8" s="2" t="str">
        <f>+_xlfn.XLOOKUP(B8,'[1]Proyectos (NO FILTRAR)'!$F:$F,'[1]Proyectos (NO FILTRAR)'!$B:$B,0,0,1)</f>
        <v>CH-BHP-OP-OTR00-145-A</v>
      </c>
      <c r="B8" s="32" t="s">
        <v>28</v>
      </c>
      <c r="C8" s="7" t="str">
        <f>+_xlfn.XLOOKUP(A8,'[1]Proyectos (NO FILTRAR)'!$B:$B,'[1]Proyectos (NO FILTRAR)'!$G:$G,"error",0,1)</f>
        <v>Chile</v>
      </c>
      <c r="D8" s="7">
        <v>2025</v>
      </c>
      <c r="E8" s="7" t="s">
        <v>229</v>
      </c>
      <c r="F8" s="7" t="s">
        <v>165</v>
      </c>
      <c r="G8" s="8"/>
      <c r="H8" s="8" t="s">
        <v>172</v>
      </c>
      <c r="I8" s="9">
        <f>+_xlfn.XLOOKUP(B8,'[1]Proyectos (NO FILTRAR)'!$F:$F,'[1]Proyectos (NO FILTRAR)'!$O:$O,"!",0,1)</f>
        <v>47590</v>
      </c>
      <c r="J8" s="10">
        <f t="shared" si="7"/>
        <v>47590</v>
      </c>
      <c r="K8" s="11">
        <f t="shared" si="2"/>
        <v>1</v>
      </c>
      <c r="L8" s="12">
        <f t="shared" si="3"/>
        <v>0</v>
      </c>
      <c r="M8" s="13">
        <f t="shared" si="4"/>
        <v>0</v>
      </c>
      <c r="N8" s="14">
        <f t="shared" si="8"/>
        <v>47590</v>
      </c>
      <c r="O8" s="13">
        <f t="shared" si="5"/>
        <v>1</v>
      </c>
      <c r="P8" s="14">
        <f t="shared" si="6"/>
        <v>0</v>
      </c>
      <c r="Q8" s="15"/>
      <c r="R8" s="15"/>
      <c r="S8" s="16"/>
      <c r="T8" s="17"/>
      <c r="U8" s="16"/>
      <c r="V8" s="24">
        <v>29950</v>
      </c>
      <c r="W8" s="16">
        <v>19000</v>
      </c>
      <c r="X8" s="17"/>
      <c r="Y8" s="16">
        <v>6410</v>
      </c>
      <c r="Z8" s="17">
        <v>11230</v>
      </c>
      <c r="AA8" s="16"/>
      <c r="AB8" s="18">
        <v>6410</v>
      </c>
      <c r="AC8" s="16"/>
      <c r="AD8" s="17"/>
      <c r="AE8" s="16"/>
      <c r="AF8" s="17"/>
      <c r="AG8" s="16"/>
      <c r="AH8" s="17"/>
      <c r="AI8" s="16"/>
      <c r="AJ8" s="19"/>
      <c r="AK8" s="16"/>
      <c r="AL8" s="17"/>
      <c r="AM8" s="16"/>
      <c r="AN8" s="20"/>
      <c r="AO8" s="21"/>
      <c r="AP8" s="17"/>
      <c r="AQ8" s="2" t="str">
        <f t="shared" si="9"/>
        <v/>
      </c>
      <c r="AR8" s="25"/>
      <c r="AS8" s="22"/>
      <c r="AT8" s="22"/>
    </row>
    <row r="9" spans="1:46" ht="14.25" customHeight="1" x14ac:dyDescent="0.25">
      <c r="A9" s="2" t="s">
        <v>29</v>
      </c>
      <c r="B9" s="23" t="s">
        <v>30</v>
      </c>
      <c r="C9" s="7" t="str">
        <f>+_xlfn.XLOOKUP(A9,'[1]Proyectos (NO FILTRAR)'!$B:$B,'[1]Proyectos (NO FILTRAR)'!$G:$G,"error",0,1)</f>
        <v>Chile</v>
      </c>
      <c r="D9" s="7">
        <v>2024</v>
      </c>
      <c r="E9" s="7" t="s">
        <v>231</v>
      </c>
      <c r="F9" s="7" t="s">
        <v>168</v>
      </c>
      <c r="G9" s="8"/>
      <c r="H9" s="8" t="s">
        <v>169</v>
      </c>
      <c r="I9" s="9">
        <f>+_xlfn.XLOOKUP(B9,'[1]Proyectos (NO FILTRAR)'!$F:$F,'[1]Proyectos (NO FILTRAR)'!$O:$O,"!",0,1)</f>
        <v>904853</v>
      </c>
      <c r="J9" s="10">
        <f t="shared" si="7"/>
        <v>904853</v>
      </c>
      <c r="K9" s="26">
        <f t="shared" si="2"/>
        <v>1</v>
      </c>
      <c r="L9" s="12">
        <f t="shared" si="3"/>
        <v>0</v>
      </c>
      <c r="M9" s="27">
        <f t="shared" si="4"/>
        <v>0</v>
      </c>
      <c r="N9" s="14">
        <f t="shared" si="8"/>
        <v>924853</v>
      </c>
      <c r="O9" s="27">
        <f t="shared" si="5"/>
        <v>1.0221030377309905</v>
      </c>
      <c r="P9" s="28">
        <f t="shared" si="6"/>
        <v>-20000</v>
      </c>
      <c r="Q9" s="15">
        <v>0</v>
      </c>
      <c r="R9" s="15">
        <f>+I9-Q9</f>
        <v>904853</v>
      </c>
      <c r="S9" s="16">
        <v>70000</v>
      </c>
      <c r="T9" s="17">
        <v>81369</v>
      </c>
      <c r="U9" s="16">
        <f>_xlfn.XLOOKUP(B9,'[2]Resumen EDP POM'!$B:$B,'[2]Resumen EDP POM'!$E:$E,"!",0,1)</f>
        <v>65000</v>
      </c>
      <c r="V9" s="18">
        <v>127260.39</v>
      </c>
      <c r="W9" s="16">
        <v>60000</v>
      </c>
      <c r="X9" s="17">
        <v>87736</v>
      </c>
      <c r="Y9" s="16">
        <v>124000</v>
      </c>
      <c r="Z9" s="17">
        <v>70761</v>
      </c>
      <c r="AA9" s="16">
        <v>110000</v>
      </c>
      <c r="AB9" s="17">
        <v>196358</v>
      </c>
      <c r="AC9" s="16">
        <v>100000</v>
      </c>
      <c r="AD9" s="17">
        <v>137233.17000000001</v>
      </c>
      <c r="AE9" s="16">
        <v>120000</v>
      </c>
      <c r="AF9" s="78">
        <v>159375.44</v>
      </c>
      <c r="AG9" s="16">
        <v>47515</v>
      </c>
      <c r="AH9" s="79">
        <v>4640</v>
      </c>
      <c r="AI9" s="16">
        <v>20000</v>
      </c>
      <c r="AJ9" s="79">
        <v>40120</v>
      </c>
      <c r="AK9" s="16"/>
      <c r="AL9" s="17"/>
      <c r="AM9" s="16"/>
      <c r="AN9" s="17"/>
      <c r="AO9" s="21"/>
      <c r="AP9" s="17"/>
      <c r="AQ9" s="2" t="str">
        <f t="shared" si="9"/>
        <v/>
      </c>
      <c r="AR9" s="22"/>
      <c r="AS9" s="22"/>
      <c r="AT9" s="22"/>
    </row>
    <row r="10" spans="1:46" ht="14.25" customHeight="1" x14ac:dyDescent="0.25">
      <c r="A10" s="2" t="str">
        <f>+_xlfn.XLOOKUP(B10,'[1]Proyectos (NO FILTRAR)'!$F:$F,'[1]Proyectos (NO FILTRAR)'!$B:$B,0,0,1)</f>
        <v>CH-BHP-OP-FEL00-103-A</v>
      </c>
      <c r="B10" s="32" t="s">
        <v>31</v>
      </c>
      <c r="C10" s="7" t="str">
        <f>+_xlfn.XLOOKUP(A10,'[1]Proyectos (NO FILTRAR)'!$B:$B,'[1]Proyectos (NO FILTRAR)'!$G:$G,"error",0,1)</f>
        <v>Chile</v>
      </c>
      <c r="D10" s="7">
        <v>2024</v>
      </c>
      <c r="E10" s="7" t="s">
        <v>229</v>
      </c>
      <c r="F10" s="7" t="s">
        <v>165</v>
      </c>
      <c r="G10" s="8"/>
      <c r="H10" s="8" t="s">
        <v>172</v>
      </c>
      <c r="I10" s="9">
        <f>+_xlfn.XLOOKUP(B10,'[1]Proyectos (NO FILTRAR)'!$F:$F,'[1]Proyectos (NO FILTRAR)'!$O:$O,"!",0,1)</f>
        <v>70000</v>
      </c>
      <c r="J10" s="10">
        <f t="shared" si="7"/>
        <v>46205</v>
      </c>
      <c r="K10" s="11">
        <f t="shared" si="2"/>
        <v>0.66007142857142853</v>
      </c>
      <c r="L10" s="12">
        <f t="shared" si="3"/>
        <v>23795</v>
      </c>
      <c r="M10" s="13">
        <f t="shared" si="4"/>
        <v>0.33992857142857141</v>
      </c>
      <c r="N10" s="14">
        <f t="shared" si="8"/>
        <v>46205</v>
      </c>
      <c r="O10" s="13">
        <f t="shared" si="5"/>
        <v>0.66007142857142853</v>
      </c>
      <c r="P10" s="30">
        <f t="shared" si="6"/>
        <v>23795</v>
      </c>
      <c r="Q10" s="15">
        <v>46205</v>
      </c>
      <c r="R10" s="15">
        <f>+I10-Q10</f>
        <v>23795</v>
      </c>
      <c r="S10" s="16">
        <v>23527</v>
      </c>
      <c r="T10" s="17"/>
      <c r="U10" s="16">
        <f>_xlfn.XLOOKUP(B10,'[2]Resumen EDP POM'!$B:$B,'[2]Resumen EDP POM'!$E:$E,"!",0,1)</f>
        <v>23528</v>
      </c>
      <c r="V10" s="17"/>
      <c r="W10" s="16"/>
      <c r="X10" s="17"/>
      <c r="Y10" s="16"/>
      <c r="Z10" s="17"/>
      <c r="AA10" s="16"/>
      <c r="AB10" s="17"/>
      <c r="AC10" s="16"/>
      <c r="AD10" s="17"/>
      <c r="AE10" s="16"/>
      <c r="AF10" s="17"/>
      <c r="AG10" s="16"/>
      <c r="AH10" s="17"/>
      <c r="AI10" s="16"/>
      <c r="AJ10" s="19"/>
      <c r="AK10" s="16"/>
      <c r="AL10" s="17"/>
      <c r="AM10" s="16"/>
      <c r="AN10" s="17"/>
      <c r="AO10" s="21"/>
      <c r="AP10" s="17"/>
      <c r="AQ10" s="2" t="str">
        <f t="shared" si="9"/>
        <v>!</v>
      </c>
      <c r="AR10" s="22"/>
      <c r="AS10" s="22"/>
      <c r="AT10" s="22"/>
    </row>
    <row r="11" spans="1:46" ht="14.25" customHeight="1" x14ac:dyDescent="0.25">
      <c r="A11" s="2" t="str">
        <f>+_xlfn.XLOOKUP(B11,'[1]Proyectos (NO FILTRAR)'!$F:$F,'[1]Proyectos (NO FILTRAR)'!$B:$B,0,0,1)</f>
        <v>CH-BHP-OP-OTR00-140-A</v>
      </c>
      <c r="B11" s="32" t="s">
        <v>173</v>
      </c>
      <c r="C11" s="7" t="str">
        <f>+_xlfn.XLOOKUP(A11,'[1]Proyectos (NO FILTRAR)'!$B:$B,'[1]Proyectos (NO FILTRAR)'!$G:$G,"error",0,1)</f>
        <v>Chile</v>
      </c>
      <c r="D11" s="7">
        <v>2025</v>
      </c>
      <c r="E11" s="7" t="s">
        <v>229</v>
      </c>
      <c r="F11" s="7" t="s">
        <v>165</v>
      </c>
      <c r="G11" s="8"/>
      <c r="H11" s="8"/>
      <c r="I11" s="9">
        <f>+_xlfn.XLOOKUP(B11,'[1]Proyectos (NO FILTRAR)'!$F:$F,'[1]Proyectos (NO FILTRAR)'!$O:$O,"!",0,1)</f>
        <v>37400</v>
      </c>
      <c r="J11" s="10">
        <f t="shared" si="7"/>
        <v>37400</v>
      </c>
      <c r="K11" s="11">
        <f t="shared" si="2"/>
        <v>1</v>
      </c>
      <c r="L11" s="12">
        <f t="shared" si="3"/>
        <v>0</v>
      </c>
      <c r="M11" s="13">
        <f t="shared" si="4"/>
        <v>0</v>
      </c>
      <c r="N11" s="14">
        <f t="shared" si="8"/>
        <v>37400</v>
      </c>
      <c r="O11" s="13">
        <f t="shared" si="5"/>
        <v>1</v>
      </c>
      <c r="P11" s="14">
        <f t="shared" si="6"/>
        <v>0</v>
      </c>
      <c r="Q11" s="15"/>
      <c r="R11" s="15"/>
      <c r="S11" s="16"/>
      <c r="T11" s="17"/>
      <c r="U11" s="16"/>
      <c r="V11" s="18">
        <v>37400</v>
      </c>
      <c r="W11" s="16"/>
      <c r="X11" s="17"/>
      <c r="Y11" s="16"/>
      <c r="Z11" s="17"/>
      <c r="AA11" s="16"/>
      <c r="AB11" s="17"/>
      <c r="AC11" s="16"/>
      <c r="AD11" s="17"/>
      <c r="AE11" s="16"/>
      <c r="AF11" s="17"/>
      <c r="AG11" s="16"/>
      <c r="AH11" s="17"/>
      <c r="AI11" s="16"/>
      <c r="AJ11" s="19"/>
      <c r="AK11" s="16"/>
      <c r="AL11" s="17"/>
      <c r="AM11" s="16"/>
      <c r="AN11" s="20"/>
      <c r="AO11" s="21"/>
      <c r="AP11" s="17"/>
      <c r="AQ11" s="2" t="str">
        <f t="shared" si="9"/>
        <v/>
      </c>
      <c r="AR11" s="22"/>
      <c r="AS11" s="22"/>
      <c r="AT11" s="22"/>
    </row>
    <row r="12" spans="1:46" ht="14.25" customHeight="1" x14ac:dyDescent="0.25">
      <c r="A12" s="2" t="str">
        <f>+_xlfn.XLOOKUP(B12,'[1]Proyectos (NO FILTRAR)'!$F:$F,'[1]Proyectos (NO FILTRAR)'!$B:$B,0,0,1)</f>
        <v>CH-CCO-CS-FEL00-117-A</v>
      </c>
      <c r="B12" s="32" t="s">
        <v>39</v>
      </c>
      <c r="C12" s="7" t="str">
        <f>+_xlfn.XLOOKUP(A12,'[1]Proyectos (NO FILTRAR)'!$B:$B,'[1]Proyectos (NO FILTRAR)'!$G:$G,"error",0,1)</f>
        <v>Chile</v>
      </c>
      <c r="D12" s="7">
        <v>2024</v>
      </c>
      <c r="E12" s="7" t="s">
        <v>229</v>
      </c>
      <c r="F12" s="7" t="s">
        <v>174</v>
      </c>
      <c r="G12" s="8"/>
      <c r="H12" s="8" t="s">
        <v>167</v>
      </c>
      <c r="I12" s="9">
        <f>+_xlfn.XLOOKUP(B12,'[1]Proyectos (NO FILTRAR)'!$F:$F,'[1]Proyectos (NO FILTRAR)'!$O:$O,"!",0,1)</f>
        <v>196000.3</v>
      </c>
      <c r="J12" s="10">
        <f t="shared" si="7"/>
        <v>196000.3</v>
      </c>
      <c r="K12" s="11">
        <f t="shared" si="2"/>
        <v>1</v>
      </c>
      <c r="L12" s="12">
        <f t="shared" si="3"/>
        <v>0</v>
      </c>
      <c r="M12" s="13">
        <f t="shared" si="4"/>
        <v>0</v>
      </c>
      <c r="N12" s="14">
        <f t="shared" si="8"/>
        <v>196000.3</v>
      </c>
      <c r="O12" s="13">
        <f t="shared" si="5"/>
        <v>1</v>
      </c>
      <c r="P12" s="14">
        <f t="shared" si="6"/>
        <v>0</v>
      </c>
      <c r="Q12" s="15">
        <v>160223</v>
      </c>
      <c r="R12" s="15">
        <f t="shared" ref="R12:R20" si="10">+I12-Q12</f>
        <v>35777.299999999988</v>
      </c>
      <c r="S12" s="16">
        <v>35777</v>
      </c>
      <c r="T12" s="17">
        <v>31129.3</v>
      </c>
      <c r="U12" s="16">
        <f>_xlfn.XLOOKUP(B12,'[2]Resumen EDP POM'!$B:$B,'[2]Resumen EDP POM'!$E:$E,"!",0,1)</f>
        <v>4648</v>
      </c>
      <c r="V12" s="18">
        <v>4648</v>
      </c>
      <c r="W12" s="16"/>
      <c r="X12" s="17"/>
      <c r="Y12" s="16"/>
      <c r="Z12" s="17"/>
      <c r="AA12" s="16"/>
      <c r="AB12" s="17"/>
      <c r="AC12" s="16"/>
      <c r="AD12" s="17"/>
      <c r="AE12" s="16"/>
      <c r="AF12" s="17"/>
      <c r="AG12" s="16"/>
      <c r="AH12" s="17"/>
      <c r="AI12" s="16"/>
      <c r="AJ12" s="19"/>
      <c r="AK12" s="16"/>
      <c r="AL12" s="17"/>
      <c r="AM12" s="16"/>
      <c r="AN12" s="20"/>
      <c r="AO12" s="21"/>
      <c r="AP12" s="17"/>
      <c r="AQ12" s="2" t="str">
        <f t="shared" si="9"/>
        <v/>
      </c>
      <c r="AR12" s="22"/>
      <c r="AS12" s="22"/>
      <c r="AT12" s="22"/>
    </row>
    <row r="13" spans="1:46" ht="14.25" customHeight="1" x14ac:dyDescent="0.25">
      <c r="A13" s="2" t="str">
        <f>+_xlfn.XLOOKUP(B13,'[1]Proyectos (NO FILTRAR)'!$F:$F,'[1]Proyectos (NO FILTRAR)'!$B:$B,0,0,1)</f>
        <v>CH-CMP-UG-OTR00-095-A</v>
      </c>
      <c r="B13" s="32" t="s">
        <v>41</v>
      </c>
      <c r="C13" s="7" t="str">
        <f>+_xlfn.XLOOKUP(A13,'[1]Proyectos (NO FILTRAR)'!$B:$B,'[1]Proyectos (NO FILTRAR)'!$G:$G,"error",0,1)</f>
        <v>Chile</v>
      </c>
      <c r="D13" s="7">
        <v>2024</v>
      </c>
      <c r="E13" s="7" t="s">
        <v>229</v>
      </c>
      <c r="F13" s="7" t="s">
        <v>168</v>
      </c>
      <c r="G13" s="8"/>
      <c r="H13" s="8" t="s">
        <v>169</v>
      </c>
      <c r="I13" s="9">
        <f>+_xlfn.XLOOKUP(B13,'[1]Proyectos (NO FILTRAR)'!$F:$F,'[1]Proyectos (NO FILTRAR)'!$O:$O,"!",0,1)</f>
        <v>94854</v>
      </c>
      <c r="J13" s="10">
        <f t="shared" si="7"/>
        <v>94854</v>
      </c>
      <c r="K13" s="11">
        <f t="shared" si="2"/>
        <v>1</v>
      </c>
      <c r="L13" s="12">
        <f t="shared" si="3"/>
        <v>0</v>
      </c>
      <c r="M13" s="13">
        <f t="shared" si="4"/>
        <v>0</v>
      </c>
      <c r="N13" s="14">
        <f t="shared" si="8"/>
        <v>94854</v>
      </c>
      <c r="O13" s="13">
        <f t="shared" si="5"/>
        <v>1</v>
      </c>
      <c r="P13" s="30">
        <f t="shared" si="6"/>
        <v>0</v>
      </c>
      <c r="Q13" s="15">
        <v>79951</v>
      </c>
      <c r="R13" s="15">
        <f t="shared" si="10"/>
        <v>14903</v>
      </c>
      <c r="S13" s="16">
        <v>14688</v>
      </c>
      <c r="T13" s="17">
        <v>14903</v>
      </c>
      <c r="U13" s="16"/>
      <c r="V13" s="17"/>
      <c r="W13" s="16"/>
      <c r="X13" s="17"/>
      <c r="Y13" s="16"/>
      <c r="Z13" s="17"/>
      <c r="AA13" s="16"/>
      <c r="AB13" s="17"/>
      <c r="AC13" s="16"/>
      <c r="AD13" s="17"/>
      <c r="AE13" s="16"/>
      <c r="AF13" s="17"/>
      <c r="AG13" s="16"/>
      <c r="AH13" s="17"/>
      <c r="AI13" s="16"/>
      <c r="AJ13" s="19"/>
      <c r="AK13" s="16"/>
      <c r="AL13" s="17"/>
      <c r="AM13" s="16"/>
      <c r="AN13" s="20"/>
      <c r="AO13" s="21"/>
      <c r="AP13" s="17"/>
      <c r="AQ13" s="2" t="str">
        <f t="shared" si="9"/>
        <v/>
      </c>
      <c r="AR13" s="22"/>
      <c r="AS13" s="22"/>
      <c r="AT13" s="22"/>
    </row>
    <row r="14" spans="1:46" ht="14.25" customHeight="1" x14ac:dyDescent="0.25">
      <c r="A14" s="2" t="str">
        <f>+_xlfn.XLOOKUP(B14,'[1]Proyectos (NO FILTRAR)'!$F:$F,'[1]Proyectos (NO FILTRAR)'!$B:$B,0,0,1)</f>
        <v>CH-CMP-OP-FEL00-106-A</v>
      </c>
      <c r="B14" s="32" t="s">
        <v>45</v>
      </c>
      <c r="C14" s="7" t="str">
        <f>+_xlfn.XLOOKUP(A14,'[1]Proyectos (NO FILTRAR)'!$B:$B,'[1]Proyectos (NO FILTRAR)'!$G:$G,"error",0,1)</f>
        <v>Chile</v>
      </c>
      <c r="D14" s="7">
        <v>2024</v>
      </c>
      <c r="E14" s="7" t="s">
        <v>229</v>
      </c>
      <c r="F14" s="7" t="s">
        <v>165</v>
      </c>
      <c r="G14" s="8"/>
      <c r="H14" s="8" t="s">
        <v>175</v>
      </c>
      <c r="I14" s="9">
        <f>+_xlfn.XLOOKUP(B14,'[1]Proyectos (NO FILTRAR)'!$F:$F,'[1]Proyectos (NO FILTRAR)'!$O:$O,"!",0,1)</f>
        <v>121038.49</v>
      </c>
      <c r="J14" s="10">
        <f t="shared" si="7"/>
        <v>121038.49</v>
      </c>
      <c r="K14" s="11">
        <f t="shared" si="2"/>
        <v>1</v>
      </c>
      <c r="L14" s="12">
        <f t="shared" si="3"/>
        <v>0</v>
      </c>
      <c r="M14" s="13">
        <f t="shared" si="4"/>
        <v>0</v>
      </c>
      <c r="N14" s="14">
        <f t="shared" si="8"/>
        <v>121038.49</v>
      </c>
      <c r="O14" s="13">
        <f t="shared" si="5"/>
        <v>1</v>
      </c>
      <c r="P14" s="30">
        <f t="shared" si="6"/>
        <v>0</v>
      </c>
      <c r="Q14" s="15">
        <v>46214.27</v>
      </c>
      <c r="R14" s="15">
        <f t="shared" si="10"/>
        <v>74824.22</v>
      </c>
      <c r="S14" s="16">
        <v>24500</v>
      </c>
      <c r="T14" s="17">
        <v>9853.5</v>
      </c>
      <c r="U14" s="16">
        <f>_xlfn.XLOOKUP(B14,'[2]Resumen EDP POM'!$B:$B,'[2]Resumen EDP POM'!$E:$E,"!",0,1)</f>
        <v>25000</v>
      </c>
      <c r="V14" s="18">
        <v>16215.92</v>
      </c>
      <c r="W14" s="16">
        <v>37000</v>
      </c>
      <c r="X14" s="17">
        <f>12182+36572.8</f>
        <v>48754.8</v>
      </c>
      <c r="Y14" s="16"/>
      <c r="Z14" s="17"/>
      <c r="AA14" s="16"/>
      <c r="AB14" s="17"/>
      <c r="AC14" s="16"/>
      <c r="AD14" s="17"/>
      <c r="AE14" s="16"/>
      <c r="AF14" s="17"/>
      <c r="AG14" s="16"/>
      <c r="AH14" s="17"/>
      <c r="AI14" s="16"/>
      <c r="AJ14" s="19"/>
      <c r="AK14" s="16"/>
      <c r="AL14" s="17"/>
      <c r="AM14" s="16"/>
      <c r="AN14" s="20"/>
      <c r="AO14" s="21"/>
      <c r="AP14" s="17"/>
      <c r="AQ14" s="2" t="str">
        <f t="shared" si="9"/>
        <v/>
      </c>
      <c r="AR14" s="22"/>
      <c r="AS14" s="22"/>
      <c r="AT14" s="22"/>
    </row>
    <row r="15" spans="1:46" ht="14.25" customHeight="1" x14ac:dyDescent="0.25">
      <c r="A15" s="2" t="str">
        <f>+_xlfn.XLOOKUP(B15,'[1]Proyectos (NO FILTRAR)'!$F:$F,'[1]Proyectos (NO FILTRAR)'!$B:$B,0,0,1)</f>
        <v>CH-CMP-OT-OTR00-107-A</v>
      </c>
      <c r="B15" s="32" t="s">
        <v>47</v>
      </c>
      <c r="C15" s="7" t="str">
        <f>+_xlfn.XLOOKUP(A15,'[1]Proyectos (NO FILTRAR)'!$B:$B,'[1]Proyectos (NO FILTRAR)'!$G:$G,"error",0,1)</f>
        <v>Chile</v>
      </c>
      <c r="D15" s="7">
        <v>2024</v>
      </c>
      <c r="E15" s="7" t="s">
        <v>229</v>
      </c>
      <c r="F15" s="7" t="s">
        <v>176</v>
      </c>
      <c r="G15" s="8"/>
      <c r="H15" s="8" t="s">
        <v>172</v>
      </c>
      <c r="I15" s="9">
        <f>+_xlfn.XLOOKUP(B15,'[1]Proyectos (NO FILTRAR)'!$F:$F,'[1]Proyectos (NO FILTRAR)'!$O:$O,"!",0,1)</f>
        <v>112506</v>
      </c>
      <c r="J15" s="10">
        <f t="shared" si="7"/>
        <v>112506</v>
      </c>
      <c r="K15" s="11">
        <f t="shared" si="2"/>
        <v>1</v>
      </c>
      <c r="L15" s="12">
        <f t="shared" si="3"/>
        <v>0</v>
      </c>
      <c r="M15" s="13">
        <f t="shared" si="4"/>
        <v>0</v>
      </c>
      <c r="N15" s="14">
        <f t="shared" si="8"/>
        <v>112506</v>
      </c>
      <c r="O15" s="13">
        <f t="shared" si="5"/>
        <v>1</v>
      </c>
      <c r="P15" s="14">
        <f t="shared" si="6"/>
        <v>0</v>
      </c>
      <c r="Q15" s="15">
        <v>0</v>
      </c>
      <c r="R15" s="15">
        <f t="shared" si="10"/>
        <v>112506</v>
      </c>
      <c r="S15" s="16"/>
      <c r="T15" s="17"/>
      <c r="U15" s="16">
        <f>_xlfn.XLOOKUP(B15,'[2]Resumen EDP POM'!$B:$B,'[2]Resumen EDP POM'!$E:$E,"!",0,1)</f>
        <v>105000</v>
      </c>
      <c r="V15" s="18">
        <v>112506</v>
      </c>
      <c r="W15" s="16"/>
      <c r="X15" s="17"/>
      <c r="Y15" s="16"/>
      <c r="Z15" s="17"/>
      <c r="AA15" s="16"/>
      <c r="AB15" s="17"/>
      <c r="AC15" s="16"/>
      <c r="AD15" s="17"/>
      <c r="AE15" s="16"/>
      <c r="AF15" s="17"/>
      <c r="AG15" s="16"/>
      <c r="AH15" s="17"/>
      <c r="AI15" s="16"/>
      <c r="AJ15" s="19"/>
      <c r="AK15" s="16"/>
      <c r="AL15" s="17"/>
      <c r="AM15" s="16"/>
      <c r="AN15" s="17"/>
      <c r="AO15" s="21"/>
      <c r="AP15" s="17"/>
      <c r="AQ15" s="2" t="str">
        <f t="shared" si="9"/>
        <v/>
      </c>
      <c r="AR15" s="22"/>
      <c r="AS15" s="22"/>
      <c r="AT15" s="22"/>
    </row>
    <row r="16" spans="1:46" ht="14.25" customHeight="1" x14ac:dyDescent="0.25">
      <c r="A16" s="2" t="str">
        <f>+_xlfn.XLOOKUP(B16,'[1]Proyectos (NO FILTRAR)'!$F:$F,'[1]Proyectos (NO FILTRAR)'!$B:$B,0,0,1)</f>
        <v>CH-CMP-OP-OTR00-096-A</v>
      </c>
      <c r="B16" s="32" t="s">
        <v>49</v>
      </c>
      <c r="C16" s="7" t="str">
        <f>+_xlfn.XLOOKUP(A16,'[1]Proyectos (NO FILTRAR)'!$B:$B,'[1]Proyectos (NO FILTRAR)'!$G:$G,"error",0,1)</f>
        <v>Chile</v>
      </c>
      <c r="D16" s="7">
        <v>2024</v>
      </c>
      <c r="E16" s="7" t="s">
        <v>230</v>
      </c>
      <c r="F16" s="7" t="s">
        <v>165</v>
      </c>
      <c r="G16" s="8"/>
      <c r="H16" s="8" t="s">
        <v>177</v>
      </c>
      <c r="I16" s="9">
        <f>116000</f>
        <v>116000</v>
      </c>
      <c r="J16" s="10">
        <f t="shared" si="7"/>
        <v>112944.42</v>
      </c>
      <c r="K16" s="11">
        <f t="shared" si="2"/>
        <v>0.97365879310344827</v>
      </c>
      <c r="L16" s="12">
        <f t="shared" si="3"/>
        <v>3055.5800000000017</v>
      </c>
      <c r="M16" s="13">
        <f t="shared" si="4"/>
        <v>2.6341206896551738E-2</v>
      </c>
      <c r="N16" s="14">
        <f t="shared" si="8"/>
        <v>112944.42</v>
      </c>
      <c r="O16" s="13">
        <f t="shared" si="5"/>
        <v>0.97365879310344827</v>
      </c>
      <c r="P16" s="30">
        <f t="shared" si="6"/>
        <v>3055.5800000000017</v>
      </c>
      <c r="Q16" s="15">
        <v>55137.5</v>
      </c>
      <c r="R16" s="15">
        <f t="shared" si="10"/>
        <v>60862.5</v>
      </c>
      <c r="S16" s="16">
        <v>8958</v>
      </c>
      <c r="T16" s="17">
        <v>8755.39</v>
      </c>
      <c r="U16" s="16"/>
      <c r="V16" s="17"/>
      <c r="W16" s="16">
        <v>15450.63829787234</v>
      </c>
      <c r="X16" s="17">
        <v>14745.53</v>
      </c>
      <c r="Y16" s="16"/>
      <c r="Z16" s="17"/>
      <c r="AA16" s="16"/>
      <c r="AB16" s="17"/>
      <c r="AC16" s="16"/>
      <c r="AD16" s="17"/>
      <c r="AE16" s="16"/>
      <c r="AF16" s="78">
        <v>34306</v>
      </c>
      <c r="AG16" s="16"/>
      <c r="AH16" s="17"/>
      <c r="AI16" s="16"/>
      <c r="AJ16" s="19"/>
      <c r="AK16" s="16"/>
      <c r="AL16" s="17"/>
      <c r="AM16" s="16"/>
      <c r="AN16" s="20"/>
      <c r="AO16" s="21"/>
      <c r="AP16" s="17"/>
      <c r="AQ16" s="2" t="str">
        <f t="shared" si="9"/>
        <v>!</v>
      </c>
      <c r="AR16" s="22"/>
      <c r="AS16" s="22"/>
      <c r="AT16" s="22"/>
    </row>
    <row r="17" spans="1:46" ht="14.25" customHeight="1" x14ac:dyDescent="0.25">
      <c r="A17" s="2" t="str">
        <f>+_xlfn.XLOOKUP(B17,'[1]Proyectos (NO FILTRAR)'!$F:$F,'[1]Proyectos (NO FILTRAR)'!$B:$B,0,0,1)</f>
        <v>CH-CMP-UG-FEL03-093-A</v>
      </c>
      <c r="B17" s="32" t="s">
        <v>51</v>
      </c>
      <c r="C17" s="7" t="str">
        <f>+_xlfn.XLOOKUP(A17,'[1]Proyectos (NO FILTRAR)'!$B:$B,'[1]Proyectos (NO FILTRAR)'!$G:$G,"error",0,1)</f>
        <v>Chile</v>
      </c>
      <c r="D17" s="7">
        <v>2024</v>
      </c>
      <c r="E17" s="7" t="s">
        <v>230</v>
      </c>
      <c r="F17" s="7" t="s">
        <v>168</v>
      </c>
      <c r="G17" s="8"/>
      <c r="H17" s="8" t="s">
        <v>171</v>
      </c>
      <c r="I17" s="9">
        <f>+_xlfn.XLOOKUP(B17,'[1]Proyectos (NO FILTRAR)'!$F:$F,'[1]Proyectos (NO FILTRAR)'!$O:$O,"!",0,1)</f>
        <v>900007.88</v>
      </c>
      <c r="J17" s="10">
        <f t="shared" si="7"/>
        <v>890223.88</v>
      </c>
      <c r="K17" s="11">
        <f t="shared" si="2"/>
        <v>0.98912898407067285</v>
      </c>
      <c r="L17" s="12">
        <f t="shared" si="3"/>
        <v>9784</v>
      </c>
      <c r="M17" s="13">
        <f t="shared" si="4"/>
        <v>1.0871015929327196E-2</v>
      </c>
      <c r="N17" s="14">
        <f t="shared" si="8"/>
        <v>890223.88</v>
      </c>
      <c r="O17" s="13">
        <f t="shared" si="5"/>
        <v>0.98912898407067285</v>
      </c>
      <c r="P17" s="14">
        <f t="shared" si="6"/>
        <v>9784</v>
      </c>
      <c r="Q17" s="15">
        <v>769067.03</v>
      </c>
      <c r="R17" s="15">
        <f t="shared" si="10"/>
        <v>130940.84999999998</v>
      </c>
      <c r="S17" s="16">
        <v>35466</v>
      </c>
      <c r="T17" s="17">
        <v>31918</v>
      </c>
      <c r="U17" s="16">
        <f>_xlfn.XLOOKUP(B17,'[2]Resumen EDP POM'!$B:$B,'[2]Resumen EDP POM'!$E:$E,"!",0,1)</f>
        <v>40000</v>
      </c>
      <c r="V17" s="18">
        <v>41743.85</v>
      </c>
      <c r="W17" s="16">
        <v>15000</v>
      </c>
      <c r="X17" s="17"/>
      <c r="Y17" s="16"/>
      <c r="Z17" s="17"/>
      <c r="AA17" s="16"/>
      <c r="AB17" s="18">
        <v>47495</v>
      </c>
      <c r="AC17" s="16"/>
      <c r="AD17" s="17"/>
      <c r="AE17" s="16"/>
      <c r="AF17" s="17"/>
      <c r="AG17" s="16"/>
      <c r="AH17" s="17"/>
      <c r="AI17" s="16"/>
      <c r="AJ17" s="19"/>
      <c r="AK17" s="16"/>
      <c r="AL17" s="17"/>
      <c r="AM17" s="16"/>
      <c r="AN17" s="20"/>
      <c r="AO17" s="21"/>
      <c r="AP17" s="17"/>
      <c r="AQ17" s="2" t="str">
        <f t="shared" si="9"/>
        <v>!</v>
      </c>
      <c r="AR17" s="31"/>
      <c r="AS17" s="22"/>
      <c r="AT17" s="22"/>
    </row>
    <row r="18" spans="1:46" ht="14.25" customHeight="1" x14ac:dyDescent="0.25">
      <c r="A18" s="2" t="str">
        <f>+_xlfn.XLOOKUP(B18,'[1]Proyectos (NO FILTRAR)'!$F:$F,'[1]Proyectos (NO FILTRAR)'!$B:$B,0,0,1)</f>
        <v>CH-COD-CS-OTR00-129-A</v>
      </c>
      <c r="B18" s="32" t="s">
        <v>53</v>
      </c>
      <c r="C18" s="7" t="str">
        <f>+_xlfn.XLOOKUP(A18,'[1]Proyectos (NO FILTRAR)'!$B:$B,'[1]Proyectos (NO FILTRAR)'!$G:$G,"error",0,1)</f>
        <v>Chile</v>
      </c>
      <c r="D18" s="7">
        <v>2024</v>
      </c>
      <c r="E18" s="7" t="s">
        <v>229</v>
      </c>
      <c r="F18" s="7" t="s">
        <v>178</v>
      </c>
      <c r="G18" s="8"/>
      <c r="H18" s="8" t="s">
        <v>179</v>
      </c>
      <c r="I18" s="9">
        <f>+_xlfn.XLOOKUP(B18,'[1]Proyectos (NO FILTRAR)'!$F:$F,'[1]Proyectos (NO FILTRAR)'!$O:$O,"!",0,1)</f>
        <v>63381.369999999995</v>
      </c>
      <c r="J18" s="10">
        <f t="shared" si="7"/>
        <v>63381.369999999995</v>
      </c>
      <c r="K18" s="11">
        <f t="shared" si="2"/>
        <v>1</v>
      </c>
      <c r="L18" s="12">
        <f t="shared" si="3"/>
        <v>0</v>
      </c>
      <c r="M18" s="13">
        <f t="shared" si="4"/>
        <v>0</v>
      </c>
      <c r="N18" s="14">
        <f t="shared" si="8"/>
        <v>63381.369999999995</v>
      </c>
      <c r="O18" s="13">
        <f t="shared" si="5"/>
        <v>1</v>
      </c>
      <c r="P18" s="30">
        <f t="shared" si="6"/>
        <v>0</v>
      </c>
      <c r="Q18" s="15">
        <v>23268</v>
      </c>
      <c r="R18" s="15">
        <f t="shared" si="10"/>
        <v>40113.369999999995</v>
      </c>
      <c r="S18" s="16">
        <v>49524</v>
      </c>
      <c r="T18" s="17">
        <v>28753.37</v>
      </c>
      <c r="U18" s="16">
        <f>_xlfn.XLOOKUP(B18,'[2]Resumen EDP POM'!$B:$B,'[2]Resumen EDP POM'!$E:$E,"!",0,1)</f>
        <v>20771</v>
      </c>
      <c r="V18" s="18">
        <v>11360</v>
      </c>
      <c r="W18" s="16"/>
      <c r="X18" s="17"/>
      <c r="Y18" s="16"/>
      <c r="Z18" s="17"/>
      <c r="AA18" s="16"/>
      <c r="AB18" s="17"/>
      <c r="AC18" s="16"/>
      <c r="AD18" s="17"/>
      <c r="AE18" s="16"/>
      <c r="AF18" s="17"/>
      <c r="AG18" s="16"/>
      <c r="AH18" s="17"/>
      <c r="AI18" s="16"/>
      <c r="AJ18" s="19"/>
      <c r="AK18" s="16"/>
      <c r="AL18" s="17"/>
      <c r="AM18" s="16"/>
      <c r="AN18" s="17"/>
      <c r="AO18" s="21"/>
      <c r="AP18" s="17"/>
      <c r="AQ18" s="2" t="str">
        <f t="shared" si="9"/>
        <v/>
      </c>
      <c r="AR18" s="22"/>
      <c r="AS18" s="22"/>
      <c r="AT18" s="22"/>
    </row>
    <row r="19" spans="1:46" ht="14.25" customHeight="1" x14ac:dyDescent="0.25">
      <c r="A19" s="2" t="str">
        <f>+_xlfn.XLOOKUP(B19,'[1]Proyectos (NO FILTRAR)'!$F:$F,'[1]Proyectos (NO FILTRAR)'!$B:$B,0,0,1)</f>
        <v>CH-COD-CS-OTR00-128-A</v>
      </c>
      <c r="B19" s="32" t="s">
        <v>55</v>
      </c>
      <c r="C19" s="7" t="str">
        <f>+_xlfn.XLOOKUP(A19,'[1]Proyectos (NO FILTRAR)'!$B:$B,'[1]Proyectos (NO FILTRAR)'!$G:$G,"error",0,1)</f>
        <v>Chile</v>
      </c>
      <c r="D19" s="7">
        <v>2024</v>
      </c>
      <c r="E19" s="7" t="s">
        <v>229</v>
      </c>
      <c r="F19" s="7" t="s">
        <v>178</v>
      </c>
      <c r="G19" s="8"/>
      <c r="H19" s="8" t="s">
        <v>180</v>
      </c>
      <c r="I19" s="9">
        <f>+_xlfn.XLOOKUP(B19,'[1]Proyectos (NO FILTRAR)'!$F:$F,'[1]Proyectos (NO FILTRAR)'!$O:$O,"!",0,1)</f>
        <v>36418</v>
      </c>
      <c r="J19" s="10">
        <f t="shared" si="7"/>
        <v>36418</v>
      </c>
      <c r="K19" s="11">
        <f t="shared" si="2"/>
        <v>1</v>
      </c>
      <c r="L19" s="12">
        <f t="shared" si="3"/>
        <v>0</v>
      </c>
      <c r="M19" s="13">
        <f t="shared" si="4"/>
        <v>0</v>
      </c>
      <c r="N19" s="14">
        <f t="shared" si="8"/>
        <v>36418</v>
      </c>
      <c r="O19" s="13">
        <f t="shared" si="5"/>
        <v>1</v>
      </c>
      <c r="P19" s="30">
        <f t="shared" si="6"/>
        <v>0</v>
      </c>
      <c r="Q19" s="15">
        <v>29155</v>
      </c>
      <c r="R19" s="15">
        <f t="shared" si="10"/>
        <v>7263</v>
      </c>
      <c r="S19" s="16">
        <v>7623</v>
      </c>
      <c r="T19" s="17">
        <v>7263</v>
      </c>
      <c r="U19" s="16"/>
      <c r="V19" s="17"/>
      <c r="W19" s="16"/>
      <c r="X19" s="17"/>
      <c r="Y19" s="16"/>
      <c r="Z19" s="17"/>
      <c r="AA19" s="16"/>
      <c r="AB19" s="17"/>
      <c r="AC19" s="16"/>
      <c r="AD19" s="17"/>
      <c r="AE19" s="16"/>
      <c r="AF19" s="17"/>
      <c r="AG19" s="16"/>
      <c r="AH19" s="17"/>
      <c r="AI19" s="16"/>
      <c r="AJ19" s="19"/>
      <c r="AK19" s="16"/>
      <c r="AL19" s="17"/>
      <c r="AM19" s="16"/>
      <c r="AN19" s="20"/>
      <c r="AO19" s="21"/>
      <c r="AP19" s="17"/>
      <c r="AQ19" s="2" t="str">
        <f t="shared" si="9"/>
        <v/>
      </c>
      <c r="AR19" s="22"/>
      <c r="AS19" s="22"/>
      <c r="AT19" s="22"/>
    </row>
    <row r="20" spans="1:46" ht="14.25" customHeight="1" x14ac:dyDescent="0.25">
      <c r="A20" s="2" t="str">
        <f>+_xlfn.XLOOKUP(B20,'[1]Proyectos (NO FILTRAR)'!$F:$F,'[1]Proyectos (NO FILTRAR)'!$B:$B,0,0,1)</f>
        <v>CH-COD-OU-FEL00-112-A</v>
      </c>
      <c r="B20" s="32" t="s">
        <v>57</v>
      </c>
      <c r="C20" s="7" t="str">
        <f>+_xlfn.XLOOKUP(A20,'[1]Proyectos (NO FILTRAR)'!$B:$B,'[1]Proyectos (NO FILTRAR)'!$G:$G,"error",0,1)</f>
        <v>Chile</v>
      </c>
      <c r="D20" s="7">
        <v>2024</v>
      </c>
      <c r="E20" s="7" t="s">
        <v>229</v>
      </c>
      <c r="F20" s="7" t="s">
        <v>178</v>
      </c>
      <c r="G20" s="8"/>
      <c r="H20" s="8" t="s">
        <v>181</v>
      </c>
      <c r="I20" s="9">
        <f>+_xlfn.XLOOKUP(B20,'[1]Proyectos (NO FILTRAR)'!$F:$F,'[1]Proyectos (NO FILTRAR)'!$O:$O,"!",0,1)</f>
        <v>85362.89</v>
      </c>
      <c r="J20" s="10">
        <f t="shared" si="7"/>
        <v>85362.89</v>
      </c>
      <c r="K20" s="11">
        <f t="shared" si="2"/>
        <v>1</v>
      </c>
      <c r="L20" s="12">
        <f t="shared" si="3"/>
        <v>0</v>
      </c>
      <c r="M20" s="13">
        <f t="shared" si="4"/>
        <v>0</v>
      </c>
      <c r="N20" s="14">
        <f t="shared" si="8"/>
        <v>85362.89</v>
      </c>
      <c r="O20" s="13">
        <f t="shared" si="5"/>
        <v>1</v>
      </c>
      <c r="P20" s="14">
        <f t="shared" si="6"/>
        <v>0</v>
      </c>
      <c r="Q20" s="15">
        <v>75127</v>
      </c>
      <c r="R20" s="15">
        <f t="shared" si="10"/>
        <v>10235.89</v>
      </c>
      <c r="S20" s="16">
        <v>9873</v>
      </c>
      <c r="T20" s="17">
        <v>10235.89</v>
      </c>
      <c r="U20" s="16"/>
      <c r="V20" s="17"/>
      <c r="W20" s="16"/>
      <c r="X20" s="17"/>
      <c r="Y20" s="16"/>
      <c r="Z20" s="17"/>
      <c r="AA20" s="16"/>
      <c r="AB20" s="17"/>
      <c r="AC20" s="16"/>
      <c r="AD20" s="17"/>
      <c r="AE20" s="16"/>
      <c r="AF20" s="17"/>
      <c r="AG20" s="16"/>
      <c r="AH20" s="17"/>
      <c r="AI20" s="16"/>
      <c r="AJ20" s="19"/>
      <c r="AK20" s="16"/>
      <c r="AL20" s="17"/>
      <c r="AM20" s="16"/>
      <c r="AN20" s="17"/>
      <c r="AO20" s="21"/>
      <c r="AP20" s="17"/>
      <c r="AQ20" s="2" t="str">
        <f t="shared" si="9"/>
        <v/>
      </c>
      <c r="AR20" s="22"/>
      <c r="AS20" s="22"/>
      <c r="AT20" s="22"/>
    </row>
    <row r="21" spans="1:46" ht="14.25" customHeight="1" x14ac:dyDescent="0.25">
      <c r="A21" s="2" t="str">
        <f>+_xlfn.XLOOKUP(B21,'[1]Proyectos (NO FILTRAR)'!$F:$F,'[1]Proyectos (NO FILTRAR)'!$B:$B,0,0,1)</f>
        <v>CH-D&amp;P-CS-OTR00-137-A</v>
      </c>
      <c r="B21" s="32" t="s">
        <v>61</v>
      </c>
      <c r="C21" s="7" t="str">
        <f>+_xlfn.XLOOKUP(A21,'[1]Proyectos (NO FILTRAR)'!$B:$B,'[1]Proyectos (NO FILTRAR)'!$G:$G,"error",0,1)</f>
        <v>Chile</v>
      </c>
      <c r="D21" s="7">
        <v>2025</v>
      </c>
      <c r="E21" s="7" t="s">
        <v>229</v>
      </c>
      <c r="F21" s="7" t="s">
        <v>174</v>
      </c>
      <c r="G21" s="8"/>
      <c r="H21" s="8"/>
      <c r="I21" s="9">
        <f>+_xlfn.XLOOKUP(B21,'[1]Proyectos (NO FILTRAR)'!$F:$F,'[1]Proyectos (NO FILTRAR)'!$O:$O,"!",0,1)</f>
        <v>272200.59999999998</v>
      </c>
      <c r="J21" s="10">
        <f t="shared" si="7"/>
        <v>272201</v>
      </c>
      <c r="K21" s="11">
        <f t="shared" si="2"/>
        <v>1.0000014695044759</v>
      </c>
      <c r="L21" s="12">
        <f t="shared" si="3"/>
        <v>-0.40000000002328306</v>
      </c>
      <c r="M21" s="13">
        <f t="shared" si="4"/>
        <v>-1.4695044758287935E-6</v>
      </c>
      <c r="N21" s="14">
        <f t="shared" si="8"/>
        <v>272201</v>
      </c>
      <c r="O21" s="13">
        <f t="shared" si="5"/>
        <v>1.0000014695044759</v>
      </c>
      <c r="P21" s="14">
        <f t="shared" si="6"/>
        <v>-0.40000000002328306</v>
      </c>
      <c r="Q21" s="15"/>
      <c r="R21" s="15"/>
      <c r="S21" s="16"/>
      <c r="T21" s="17"/>
      <c r="U21" s="16">
        <f>_xlfn.XLOOKUP(B21,'[2]Resumen EDP POM'!$B:$B,'[2]Resumen EDP POM'!$E:$E,"!",0,1)</f>
        <v>79200</v>
      </c>
      <c r="V21" s="18">
        <v>82681.2</v>
      </c>
      <c r="W21" s="16">
        <v>80500</v>
      </c>
      <c r="X21" s="18">
        <v>89646.3</v>
      </c>
      <c r="Y21" s="16">
        <v>46270</v>
      </c>
      <c r="Z21" s="18">
        <v>0</v>
      </c>
      <c r="AA21" s="16"/>
      <c r="AB21" s="17"/>
      <c r="AC21" s="16"/>
      <c r="AD21" s="18"/>
      <c r="AE21" s="16"/>
      <c r="AF21" s="78">
        <v>99873.5</v>
      </c>
      <c r="AG21" s="16"/>
      <c r="AH21" s="17"/>
      <c r="AI21" s="16"/>
      <c r="AJ21" s="19"/>
      <c r="AK21" s="16"/>
      <c r="AL21" s="17"/>
      <c r="AM21" s="16"/>
      <c r="AN21" s="20"/>
      <c r="AO21" s="21"/>
      <c r="AP21" s="17"/>
      <c r="AQ21" s="2" t="str">
        <f t="shared" si="9"/>
        <v/>
      </c>
      <c r="AR21" s="22"/>
      <c r="AS21" s="31"/>
      <c r="AT21" s="22"/>
    </row>
    <row r="22" spans="1:46" ht="14.25" customHeight="1" x14ac:dyDescent="0.25">
      <c r="A22" s="80" t="str">
        <f>+_xlfn.XLOOKUP(B22,'[1]Proyectos (NO FILTRAR)'!$F:$F,'[1]Proyectos (NO FILTRAR)'!$B:$B,0,0,1)</f>
        <v>BR-J&amp;F-UG-FEL03-048-A</v>
      </c>
      <c r="B22" s="32" t="s">
        <v>8</v>
      </c>
      <c r="C22" s="7" t="str">
        <f>+_xlfn.XLOOKUP(A22,'[1]Proyectos (NO FILTRAR)'!$B:$B,'[1]Proyectos (NO FILTRAR)'!$G:$G,"error",0,1)</f>
        <v>Brasil</v>
      </c>
      <c r="D22" s="7">
        <v>2024</v>
      </c>
      <c r="E22" s="7" t="s">
        <v>229</v>
      </c>
      <c r="F22" s="7" t="s">
        <v>176</v>
      </c>
      <c r="G22" s="8"/>
      <c r="H22" s="8" t="s">
        <v>181</v>
      </c>
      <c r="I22" s="9">
        <f>+_xlfn.XLOOKUP(B22,'[1]Proyectos (NO FILTRAR)'!$F:$F,'[1]Proyectos (NO FILTRAR)'!$O:$O,"!",0,1)</f>
        <v>239308</v>
      </c>
      <c r="J22" s="10">
        <f t="shared" si="7"/>
        <v>216351</v>
      </c>
      <c r="K22" s="11">
        <f t="shared" si="2"/>
        <v>0.90406923295502029</v>
      </c>
      <c r="L22" s="12">
        <f t="shared" si="3"/>
        <v>22957</v>
      </c>
      <c r="M22" s="13">
        <f t="shared" si="4"/>
        <v>9.5930767044979687E-2</v>
      </c>
      <c r="N22" s="14">
        <f t="shared" si="8"/>
        <v>216351</v>
      </c>
      <c r="O22" s="13">
        <f t="shared" si="5"/>
        <v>0.90406923295502029</v>
      </c>
      <c r="P22" s="14">
        <f t="shared" si="6"/>
        <v>22957</v>
      </c>
      <c r="Q22" s="15">
        <v>208259</v>
      </c>
      <c r="R22" s="15">
        <f>+I22-Q22</f>
        <v>31049</v>
      </c>
      <c r="S22" s="16"/>
      <c r="T22" s="17"/>
      <c r="U22" s="16"/>
      <c r="V22" s="17"/>
      <c r="W22" s="16"/>
      <c r="X22" s="17">
        <v>8092</v>
      </c>
      <c r="Y22" s="16"/>
      <c r="Z22" s="17"/>
      <c r="AA22" s="16"/>
      <c r="AB22" s="17"/>
      <c r="AC22" s="16"/>
      <c r="AD22" s="17"/>
      <c r="AE22" s="16"/>
      <c r="AF22" s="17"/>
      <c r="AG22" s="16"/>
      <c r="AH22" s="17"/>
      <c r="AI22" s="16"/>
      <c r="AJ22" s="19"/>
      <c r="AK22" s="16"/>
      <c r="AL22" s="17"/>
      <c r="AM22" s="16"/>
      <c r="AN22" s="20"/>
      <c r="AO22" s="21"/>
      <c r="AP22" s="17"/>
      <c r="AQ22" s="2" t="str">
        <f t="shared" si="9"/>
        <v>!</v>
      </c>
      <c r="AR22" s="22"/>
      <c r="AS22" s="22"/>
      <c r="AT22" s="22"/>
    </row>
    <row r="23" spans="1:46" ht="14.25" customHeight="1" x14ac:dyDescent="0.25">
      <c r="A23" s="2" t="str">
        <f>+_xlfn.XLOOKUP(B23,'[1]Proyectos (NO FILTRAR)'!$F:$F,'[1]Proyectos (NO FILTRAR)'!$B:$B,0,0,1)</f>
        <v>PE-MMG-UG-FEL2A-143-A</v>
      </c>
      <c r="B23" s="23" t="s">
        <v>74</v>
      </c>
      <c r="C23" s="7" t="str">
        <f>+_xlfn.XLOOKUP(A23,'[1]Proyectos (NO FILTRAR)'!$B:$B,'[1]Proyectos (NO FILTRAR)'!$G:$G,"error",0,1)</f>
        <v>Perú</v>
      </c>
      <c r="D23" s="7">
        <v>2025</v>
      </c>
      <c r="E23" s="7" t="s">
        <v>231</v>
      </c>
      <c r="F23" s="7" t="s">
        <v>168</v>
      </c>
      <c r="G23" s="8"/>
      <c r="H23" s="8"/>
      <c r="I23" s="9">
        <f>+_xlfn.XLOOKUP(B23,'[1]Proyectos (NO FILTRAR)'!$F:$F,'[1]Proyectos (NO FILTRAR)'!$O:$O,"!",0,1)</f>
        <v>1061121</v>
      </c>
      <c r="J23" s="10">
        <f t="shared" si="7"/>
        <v>665060.59000000008</v>
      </c>
      <c r="K23" s="11">
        <f t="shared" si="2"/>
        <v>0.62675283026158191</v>
      </c>
      <c r="L23" s="12">
        <f t="shared" si="3"/>
        <v>396060.40999999992</v>
      </c>
      <c r="M23" s="13">
        <f t="shared" si="4"/>
        <v>0.37324716973841804</v>
      </c>
      <c r="N23" s="14">
        <f t="shared" si="8"/>
        <v>815060.59000000008</v>
      </c>
      <c r="O23" s="13">
        <f t="shared" si="5"/>
        <v>0.76811276942026407</v>
      </c>
      <c r="P23" s="14">
        <f t="shared" si="6"/>
        <v>246060.40999999992</v>
      </c>
      <c r="Q23" s="15"/>
      <c r="R23" s="15"/>
      <c r="S23" s="16"/>
      <c r="T23" s="17"/>
      <c r="U23" s="16"/>
      <c r="V23" s="17"/>
      <c r="W23" s="16">
        <v>50000</v>
      </c>
      <c r="X23" s="17">
        <v>58150</v>
      </c>
      <c r="Y23" s="16">
        <v>30000</v>
      </c>
      <c r="Z23" s="17"/>
      <c r="AA23" s="16">
        <v>110000</v>
      </c>
      <c r="AB23" s="18"/>
      <c r="AC23" s="16">
        <v>300000</v>
      </c>
      <c r="AD23" s="18">
        <v>453390.59</v>
      </c>
      <c r="AE23" s="16">
        <v>200000</v>
      </c>
      <c r="AF23" s="17"/>
      <c r="AG23" s="16">
        <v>150000</v>
      </c>
      <c r="AH23" s="79">
        <v>153520</v>
      </c>
      <c r="AI23" s="16">
        <v>150000</v>
      </c>
      <c r="AJ23" s="19"/>
      <c r="AK23" s="16"/>
      <c r="AL23" s="17"/>
      <c r="AM23" s="16"/>
      <c r="AN23" s="20"/>
      <c r="AO23" s="21"/>
      <c r="AP23" s="17"/>
      <c r="AQ23" s="2" t="str">
        <f t="shared" si="9"/>
        <v/>
      </c>
      <c r="AR23" s="22"/>
      <c r="AS23" s="22"/>
      <c r="AT23" s="22"/>
    </row>
    <row r="24" spans="1:46" ht="14.25" customHeight="1" x14ac:dyDescent="0.25">
      <c r="A24" s="2" t="str">
        <f>+_xlfn.XLOOKUP(B24,'[1]Proyectos (NO FILTRAR)'!$F:$F,'[1]Proyectos (NO FILTRAR)'!$B:$B,0,0,1)</f>
        <v>PE-MMG-UG-FEL00-136-A</v>
      </c>
      <c r="B24" s="32" t="s">
        <v>76</v>
      </c>
      <c r="C24" s="7" t="str">
        <f>+_xlfn.XLOOKUP(A24,'[1]Proyectos (NO FILTRAR)'!$B:$B,'[1]Proyectos (NO FILTRAR)'!$G:$G,"error",0,1)</f>
        <v>Perú</v>
      </c>
      <c r="D24" s="7">
        <v>2025</v>
      </c>
      <c r="E24" s="7" t="s">
        <v>230</v>
      </c>
      <c r="F24" s="7" t="s">
        <v>168</v>
      </c>
      <c r="G24" s="8"/>
      <c r="H24" s="8"/>
      <c r="I24" s="9">
        <f>+_xlfn.XLOOKUP(B24,'[1]Proyectos (NO FILTRAR)'!$F:$F,'[1]Proyectos (NO FILTRAR)'!$O:$O,"!",0,1)</f>
        <v>87520</v>
      </c>
      <c r="J24" s="10">
        <f t="shared" si="7"/>
        <v>87520</v>
      </c>
      <c r="K24" s="11">
        <f t="shared" si="2"/>
        <v>1</v>
      </c>
      <c r="L24" s="12">
        <f t="shared" si="3"/>
        <v>0</v>
      </c>
      <c r="M24" s="13">
        <f t="shared" si="4"/>
        <v>0</v>
      </c>
      <c r="N24" s="14">
        <f t="shared" si="8"/>
        <v>87520</v>
      </c>
      <c r="O24" s="13">
        <f t="shared" si="5"/>
        <v>1</v>
      </c>
      <c r="P24" s="14">
        <f t="shared" si="6"/>
        <v>0</v>
      </c>
      <c r="Q24" s="15"/>
      <c r="R24" s="15"/>
      <c r="S24" s="16"/>
      <c r="T24" s="24">
        <v>9930</v>
      </c>
      <c r="U24" s="16">
        <f>_xlfn.XLOOKUP(B24,'[2]Resumen EDP POM'!$B:$B,'[2]Resumen EDP POM'!$E:$E,"!",0,1)</f>
        <v>30000</v>
      </c>
      <c r="V24" s="18">
        <v>27785</v>
      </c>
      <c r="W24" s="16">
        <v>30000</v>
      </c>
      <c r="X24" s="17">
        <v>10082</v>
      </c>
      <c r="Y24" s="16">
        <v>22399</v>
      </c>
      <c r="Z24" s="17">
        <v>15088</v>
      </c>
      <c r="AA24" s="16">
        <v>17471</v>
      </c>
      <c r="AB24" s="17">
        <v>20174</v>
      </c>
      <c r="AC24" s="16">
        <v>7000</v>
      </c>
      <c r="AD24" s="17">
        <f>2228+2233</f>
        <v>4461</v>
      </c>
      <c r="AE24" s="16"/>
      <c r="AF24" s="17"/>
      <c r="AG24" s="16"/>
      <c r="AH24" s="17"/>
      <c r="AI24" s="16"/>
      <c r="AJ24" s="19"/>
      <c r="AK24" s="16"/>
      <c r="AL24" s="17"/>
      <c r="AM24" s="16"/>
      <c r="AN24" s="20"/>
      <c r="AO24" s="21"/>
      <c r="AP24" s="17"/>
      <c r="AQ24" s="2" t="str">
        <f t="shared" si="9"/>
        <v/>
      </c>
      <c r="AR24" s="22"/>
      <c r="AS24" s="22"/>
      <c r="AT24" s="22"/>
    </row>
    <row r="25" spans="1:46" ht="14.25" customHeight="1" x14ac:dyDescent="0.25">
      <c r="A25" s="2" t="str">
        <f>+_xlfn.XLOOKUP(B25,'[1]Proyectos (NO FILTRAR)'!$F:$F,'[1]Proyectos (NO FILTRAR)'!$B:$B,0,0,1)</f>
        <v>PE-MAR-OU-FEL01-114-A</v>
      </c>
      <c r="B25" s="32" t="s">
        <v>78</v>
      </c>
      <c r="C25" s="7" t="str">
        <f>+_xlfn.XLOOKUP(A25,'[1]Proyectos (NO FILTRAR)'!$B:$B,'[1]Proyectos (NO FILTRAR)'!$G:$G,"error",0,1)</f>
        <v>Perú</v>
      </c>
      <c r="D25" s="7">
        <v>2024</v>
      </c>
      <c r="E25" s="7" t="s">
        <v>229</v>
      </c>
      <c r="F25" s="7" t="s">
        <v>182</v>
      </c>
      <c r="G25" s="8"/>
      <c r="H25" s="8" t="s">
        <v>183</v>
      </c>
      <c r="I25" s="9">
        <f>+_xlfn.XLOOKUP(B25,'[1]Proyectos (NO FILTRAR)'!$F:$F,'[1]Proyectos (NO FILTRAR)'!$O:$O,"!",0,1)</f>
        <v>161778</v>
      </c>
      <c r="J25" s="10">
        <f t="shared" si="7"/>
        <v>161778</v>
      </c>
      <c r="K25" s="11">
        <f t="shared" si="2"/>
        <v>1</v>
      </c>
      <c r="L25" s="12">
        <f t="shared" si="3"/>
        <v>0</v>
      </c>
      <c r="M25" s="13">
        <f t="shared" si="4"/>
        <v>0</v>
      </c>
      <c r="N25" s="14">
        <f t="shared" si="8"/>
        <v>161778</v>
      </c>
      <c r="O25" s="13">
        <f t="shared" si="5"/>
        <v>1</v>
      </c>
      <c r="P25" s="30">
        <f t="shared" si="6"/>
        <v>0</v>
      </c>
      <c r="Q25" s="15">
        <v>73833</v>
      </c>
      <c r="R25" s="15">
        <f t="shared" ref="R25:R27" si="11">+I25-Q25</f>
        <v>87945</v>
      </c>
      <c r="S25" s="16">
        <v>38240</v>
      </c>
      <c r="T25" s="17">
        <v>57745</v>
      </c>
      <c r="U25" s="16">
        <f>_xlfn.XLOOKUP(B25,'[2]Resumen EDP POM'!$B:$B,'[2]Resumen EDP POM'!$E:$E,"!",0,1)</f>
        <v>24960</v>
      </c>
      <c r="V25" s="18">
        <v>24935</v>
      </c>
      <c r="W25" s="16"/>
      <c r="X25" s="17"/>
      <c r="Y25" s="16"/>
      <c r="Z25" s="17"/>
      <c r="AA25" s="16"/>
      <c r="AB25" s="18">
        <v>5265</v>
      </c>
      <c r="AC25" s="16"/>
      <c r="AD25" s="17"/>
      <c r="AE25" s="16"/>
      <c r="AF25" s="17"/>
      <c r="AG25" s="16"/>
      <c r="AH25" s="17"/>
      <c r="AI25" s="16"/>
      <c r="AJ25" s="19"/>
      <c r="AK25" s="16"/>
      <c r="AL25" s="17"/>
      <c r="AM25" s="16"/>
      <c r="AN25" s="20"/>
      <c r="AO25" s="21"/>
      <c r="AP25" s="17"/>
      <c r="AQ25" s="2" t="str">
        <f t="shared" si="9"/>
        <v/>
      </c>
      <c r="AR25" s="25"/>
      <c r="AS25" s="22"/>
      <c r="AT25" s="22"/>
    </row>
    <row r="26" spans="1:46" ht="14.25" customHeight="1" x14ac:dyDescent="0.25">
      <c r="A26" s="2" t="str">
        <f>+_xlfn.XLOOKUP(B26,'[1]Proyectos (NO FILTRAR)'!$F:$F,'[1]Proyectos (NO FILTRAR)'!$B:$B,0,0,1)</f>
        <v>CH-MCI-OP-OTR00-089-A</v>
      </c>
      <c r="B26" s="32" t="s">
        <v>68</v>
      </c>
      <c r="C26" s="7" t="str">
        <f>+_xlfn.XLOOKUP(A26,'[1]Proyectos (NO FILTRAR)'!$B:$B,'[1]Proyectos (NO FILTRAR)'!$G:$G,"error",0,1)</f>
        <v>Chile</v>
      </c>
      <c r="D26" s="7">
        <v>2024</v>
      </c>
      <c r="E26" s="7" t="s">
        <v>229</v>
      </c>
      <c r="F26" s="7" t="s">
        <v>174</v>
      </c>
      <c r="G26" s="8"/>
      <c r="H26" s="8" t="s">
        <v>179</v>
      </c>
      <c r="I26" s="9">
        <f>+_xlfn.XLOOKUP(B26,'[1]Proyectos (NO FILTRAR)'!$F:$F,'[1]Proyectos (NO FILTRAR)'!$O:$O,"!",0,1)</f>
        <v>239000</v>
      </c>
      <c r="J26" s="10">
        <f t="shared" si="7"/>
        <v>239000</v>
      </c>
      <c r="K26" s="11">
        <f t="shared" si="2"/>
        <v>1</v>
      </c>
      <c r="L26" s="12">
        <f t="shared" si="3"/>
        <v>0</v>
      </c>
      <c r="M26" s="13">
        <f t="shared" si="4"/>
        <v>0</v>
      </c>
      <c r="N26" s="14">
        <f t="shared" si="8"/>
        <v>239000</v>
      </c>
      <c r="O26" s="13">
        <f t="shared" si="5"/>
        <v>1</v>
      </c>
      <c r="P26" s="14">
        <f t="shared" si="6"/>
        <v>0</v>
      </c>
      <c r="Q26" s="15">
        <v>215280</v>
      </c>
      <c r="R26" s="15">
        <f t="shared" si="11"/>
        <v>23720</v>
      </c>
      <c r="S26" s="16">
        <v>23720</v>
      </c>
      <c r="T26" s="17">
        <v>23720</v>
      </c>
      <c r="U26" s="16"/>
      <c r="V26" s="17"/>
      <c r="W26" s="16"/>
      <c r="X26" s="17"/>
      <c r="Y26" s="16"/>
      <c r="Z26" s="17"/>
      <c r="AA26" s="16"/>
      <c r="AB26" s="17"/>
      <c r="AC26" s="16"/>
      <c r="AD26" s="17"/>
      <c r="AE26" s="16"/>
      <c r="AF26" s="17"/>
      <c r="AG26" s="16"/>
      <c r="AH26" s="17"/>
      <c r="AI26" s="16"/>
      <c r="AJ26" s="19"/>
      <c r="AK26" s="16"/>
      <c r="AL26" s="17"/>
      <c r="AM26" s="16"/>
      <c r="AN26" s="17"/>
      <c r="AO26" s="21"/>
      <c r="AP26" s="17"/>
      <c r="AQ26" s="2" t="str">
        <f t="shared" si="9"/>
        <v/>
      </c>
      <c r="AR26" s="22"/>
      <c r="AS26" s="22"/>
      <c r="AT26" s="22"/>
    </row>
    <row r="27" spans="1:46" ht="14.25" customHeight="1" x14ac:dyDescent="0.25">
      <c r="A27" s="2" t="s">
        <v>84</v>
      </c>
      <c r="B27" s="32" t="s">
        <v>111</v>
      </c>
      <c r="C27" s="7" t="str">
        <f>+_xlfn.XLOOKUP(A27,'[1]Proyectos (NO FILTRAR)'!$B:$B,'[1]Proyectos (NO FILTRAR)'!$G:$G,"error",0,1)</f>
        <v>Perú</v>
      </c>
      <c r="D27" s="7">
        <v>2024</v>
      </c>
      <c r="E27" s="7" t="s">
        <v>229</v>
      </c>
      <c r="F27" s="7" t="s">
        <v>182</v>
      </c>
      <c r="G27" s="8"/>
      <c r="H27" s="8" t="s">
        <v>172</v>
      </c>
      <c r="I27" s="9">
        <f>+_xlfn.XLOOKUP(B27,'[1]Proyectos (NO FILTRAR)'!$F:$F,'[1]Proyectos (NO FILTRAR)'!$O:$O,"!",0,1)</f>
        <v>51870</v>
      </c>
      <c r="J27" s="10">
        <f t="shared" si="7"/>
        <v>51870</v>
      </c>
      <c r="K27" s="26">
        <f t="shared" si="2"/>
        <v>1</v>
      </c>
      <c r="L27" s="12">
        <f t="shared" si="3"/>
        <v>0</v>
      </c>
      <c r="M27" s="27">
        <f t="shared" si="4"/>
        <v>0</v>
      </c>
      <c r="N27" s="14">
        <f t="shared" si="8"/>
        <v>51870</v>
      </c>
      <c r="O27" s="27">
        <f t="shared" si="5"/>
        <v>1</v>
      </c>
      <c r="P27" s="28">
        <f t="shared" si="6"/>
        <v>0</v>
      </c>
      <c r="Q27" s="15">
        <v>0</v>
      </c>
      <c r="R27" s="15">
        <f t="shared" si="11"/>
        <v>51870</v>
      </c>
      <c r="S27" s="16">
        <v>40000</v>
      </c>
      <c r="T27" s="24"/>
      <c r="U27" s="16">
        <f>_xlfn.XLOOKUP(B27,'[2]Resumen EDP POM'!$B:$B,'[2]Resumen EDP POM'!$E:$E,"!",0,1)</f>
        <v>18424</v>
      </c>
      <c r="V27" s="24"/>
      <c r="W27" s="16">
        <v>51870</v>
      </c>
      <c r="X27" s="17">
        <v>51870</v>
      </c>
      <c r="Y27" s="16"/>
      <c r="Z27" s="17"/>
      <c r="AA27" s="16"/>
      <c r="AB27" s="17"/>
      <c r="AC27" s="16"/>
      <c r="AD27" s="17"/>
      <c r="AE27" s="16"/>
      <c r="AF27" s="17"/>
      <c r="AG27" s="16"/>
      <c r="AH27" s="17"/>
      <c r="AI27" s="16"/>
      <c r="AJ27" s="19"/>
      <c r="AK27" s="16"/>
      <c r="AL27" s="17"/>
      <c r="AM27" s="16"/>
      <c r="AN27" s="17"/>
      <c r="AO27" s="21"/>
      <c r="AP27" s="17"/>
      <c r="AQ27" s="2" t="str">
        <f t="shared" si="9"/>
        <v/>
      </c>
      <c r="AR27" s="22"/>
      <c r="AS27" s="22"/>
      <c r="AT27" s="22"/>
    </row>
    <row r="28" spans="1:46" ht="14.25" customHeight="1" x14ac:dyDescent="0.25">
      <c r="A28" s="2" t="str">
        <f>+_xlfn.XLOOKUP(B28,'[1]Proyectos (NO FILTRAR)'!$F:$F,'[1]Proyectos (NO FILTRAR)'!$B:$B,0,0,1)</f>
        <v>PE-MSR-UG-FEL00-142-A</v>
      </c>
      <c r="B28" s="23" t="s">
        <v>112</v>
      </c>
      <c r="C28" s="7" t="str">
        <f>+_xlfn.XLOOKUP(A28,'[1]Proyectos (NO FILTRAR)'!$B:$B,'[1]Proyectos (NO FILTRAR)'!$G:$G,"error",0,1)</f>
        <v>Perú</v>
      </c>
      <c r="D28" s="7">
        <v>2025</v>
      </c>
      <c r="E28" s="7" t="s">
        <v>231</v>
      </c>
      <c r="F28" s="7" t="s">
        <v>168</v>
      </c>
      <c r="G28" s="8"/>
      <c r="H28" s="8"/>
      <c r="I28" s="9">
        <f>+_xlfn.XLOOKUP(B28,'[1]Proyectos (NO FILTRAR)'!$F:$F,'[1]Proyectos (NO FILTRAR)'!$O:$O,"!",0,1)</f>
        <v>248031</v>
      </c>
      <c r="J28" s="10">
        <f t="shared" si="7"/>
        <v>222625</v>
      </c>
      <c r="K28" s="11">
        <f t="shared" si="2"/>
        <v>0.89756925545597122</v>
      </c>
      <c r="L28" s="12">
        <f t="shared" si="3"/>
        <v>25406</v>
      </c>
      <c r="M28" s="13">
        <f t="shared" si="4"/>
        <v>0.10243074454402877</v>
      </c>
      <c r="N28" s="14">
        <f t="shared" si="8"/>
        <v>256595</v>
      </c>
      <c r="O28" s="13">
        <f t="shared" si="5"/>
        <v>1.0345279420717572</v>
      </c>
      <c r="P28" s="14">
        <f t="shared" si="6"/>
        <v>-8564</v>
      </c>
      <c r="Q28" s="15"/>
      <c r="R28" s="15"/>
      <c r="S28" s="16"/>
      <c r="T28" s="17"/>
      <c r="U28" s="16"/>
      <c r="V28" s="17"/>
      <c r="W28" s="16">
        <v>30000</v>
      </c>
      <c r="X28" s="17"/>
      <c r="Y28" s="16"/>
      <c r="Z28" s="17">
        <v>76361</v>
      </c>
      <c r="AA28" s="16">
        <v>100000</v>
      </c>
      <c r="AB28" s="18"/>
      <c r="AC28" s="16">
        <v>59234</v>
      </c>
      <c r="AD28" s="17">
        <v>114681</v>
      </c>
      <c r="AE28" s="16">
        <v>30000</v>
      </c>
      <c r="AF28" s="17"/>
      <c r="AG28" s="16">
        <v>52138</v>
      </c>
      <c r="AH28" s="79">
        <v>23019</v>
      </c>
      <c r="AI28" s="16">
        <v>33970</v>
      </c>
      <c r="AJ28" s="79">
        <v>8564</v>
      </c>
      <c r="AK28" s="16"/>
      <c r="AL28" s="17"/>
      <c r="AM28" s="16"/>
      <c r="AN28" s="20"/>
      <c r="AO28" s="21"/>
      <c r="AP28" s="17"/>
      <c r="AQ28" s="2" t="str">
        <f t="shared" si="9"/>
        <v/>
      </c>
      <c r="AR28" s="22"/>
      <c r="AS28" s="22"/>
      <c r="AT28" s="22"/>
    </row>
    <row r="29" spans="1:46" ht="14.25" customHeight="1" x14ac:dyDescent="0.25">
      <c r="A29" s="80" t="str">
        <f>+_xlfn.XLOOKUP(B29,'[1]Proyectos (NO FILTRAR)'!$F:$F,'[1]Proyectos (NO FILTRAR)'!$B:$B,0,0,1)</f>
        <v>BR-MOS-OP-FEL2A-102-A</v>
      </c>
      <c r="B29" s="32" t="s">
        <v>10</v>
      </c>
      <c r="C29" s="7" t="str">
        <f>+_xlfn.XLOOKUP(A29,'[1]Proyectos (NO FILTRAR)'!$B:$B,'[1]Proyectos (NO FILTRAR)'!$G:$G,"error",0,1)</f>
        <v>Brasil</v>
      </c>
      <c r="D29" s="7">
        <v>2024</v>
      </c>
      <c r="E29" s="7" t="s">
        <v>229</v>
      </c>
      <c r="F29" s="7" t="s">
        <v>176</v>
      </c>
      <c r="G29" s="8"/>
      <c r="H29" s="8" t="s">
        <v>19</v>
      </c>
      <c r="I29" s="9">
        <f>+_xlfn.XLOOKUP(B29,'[1]Proyectos (NO FILTRAR)'!$F:$F,'[1]Proyectos (NO FILTRAR)'!$O:$O,"!",0,1)</f>
        <v>79900</v>
      </c>
      <c r="J29" s="10">
        <f t="shared" si="7"/>
        <v>75129</v>
      </c>
      <c r="K29" s="11">
        <f t="shared" si="2"/>
        <v>0.94028785982478102</v>
      </c>
      <c r="L29" s="12">
        <f t="shared" si="3"/>
        <v>4771</v>
      </c>
      <c r="M29" s="13">
        <f t="shared" si="4"/>
        <v>5.9712140175219024E-2</v>
      </c>
      <c r="N29" s="14">
        <f t="shared" si="8"/>
        <v>75129</v>
      </c>
      <c r="O29" s="13">
        <f t="shared" si="5"/>
        <v>0.94028785982478102</v>
      </c>
      <c r="P29" s="30">
        <f t="shared" si="6"/>
        <v>4771</v>
      </c>
      <c r="Q29" s="15">
        <v>75129</v>
      </c>
      <c r="R29" s="15">
        <f>+I29-Q29</f>
        <v>4771</v>
      </c>
      <c r="S29" s="16"/>
      <c r="T29" s="17"/>
      <c r="U29" s="16">
        <f>_xlfn.XLOOKUP(B29,'[2]Resumen EDP POM'!$B:$B,'[2]Resumen EDP POM'!$E:$E,"!",0,1)</f>
        <v>5000</v>
      </c>
      <c r="V29" s="17"/>
      <c r="W29" s="16">
        <v>5000</v>
      </c>
      <c r="X29" s="17"/>
      <c r="Y29" s="16"/>
      <c r="Z29" s="17"/>
      <c r="AA29" s="16"/>
      <c r="AB29" s="17"/>
      <c r="AC29" s="16"/>
      <c r="AD29" s="17"/>
      <c r="AE29" s="16"/>
      <c r="AF29" s="17"/>
      <c r="AG29" s="16"/>
      <c r="AH29" s="17"/>
      <c r="AI29" s="16"/>
      <c r="AJ29" s="19"/>
      <c r="AK29" s="16"/>
      <c r="AL29" s="17"/>
      <c r="AM29" s="16"/>
      <c r="AN29" s="20"/>
      <c r="AO29" s="21"/>
      <c r="AP29" s="17"/>
      <c r="AQ29" s="2" t="str">
        <f t="shared" si="9"/>
        <v>!</v>
      </c>
      <c r="AR29" s="22"/>
      <c r="AS29" s="22"/>
      <c r="AT29" s="22"/>
    </row>
    <row r="30" spans="1:46" ht="14.25" customHeight="1" x14ac:dyDescent="0.25">
      <c r="A30" s="80" t="str">
        <f>+_xlfn.XLOOKUP(B30,'[1]Proyectos (NO FILTRAR)'!$F:$F,'[1]Proyectos (NO FILTRAR)'!$B:$B,0,0,1)</f>
        <v>BR-MOS-CS-OTR00-115-A</v>
      </c>
      <c r="B30" s="32" t="s">
        <v>13</v>
      </c>
      <c r="C30" s="7" t="str">
        <f>+_xlfn.XLOOKUP(A30,'[1]Proyectos (NO FILTRAR)'!$B:$B,'[1]Proyectos (NO FILTRAR)'!$G:$G,"error",0,1)</f>
        <v>Brasil</v>
      </c>
      <c r="D30" s="7">
        <v>2024</v>
      </c>
      <c r="E30" s="7" t="s">
        <v>229</v>
      </c>
      <c r="F30" s="7" t="s">
        <v>170</v>
      </c>
      <c r="G30" s="8"/>
      <c r="H30" s="8" t="s">
        <v>167</v>
      </c>
      <c r="I30" s="9">
        <f>+_xlfn.XLOOKUP(B30,'[1]Proyectos (NO FILTRAR)'!$F:$F,'[1]Proyectos (NO FILTRAR)'!$O:$O,"!",0,1)</f>
        <v>60100.34</v>
      </c>
      <c r="J30" s="10">
        <f t="shared" si="7"/>
        <v>60100.34</v>
      </c>
      <c r="K30" s="11">
        <f t="shared" si="2"/>
        <v>1</v>
      </c>
      <c r="L30" s="12">
        <f t="shared" si="3"/>
        <v>0</v>
      </c>
      <c r="M30" s="13">
        <f t="shared" si="4"/>
        <v>0</v>
      </c>
      <c r="N30" s="14">
        <f t="shared" si="8"/>
        <v>60100.34</v>
      </c>
      <c r="O30" s="13">
        <f t="shared" si="5"/>
        <v>1</v>
      </c>
      <c r="P30" s="30">
        <f t="shared" si="6"/>
        <v>0</v>
      </c>
      <c r="Q30" s="15">
        <v>25514</v>
      </c>
      <c r="R30" s="15">
        <f>+I30-Q30</f>
        <v>34586.339999999997</v>
      </c>
      <c r="S30" s="16">
        <v>21800</v>
      </c>
      <c r="T30" s="17">
        <v>21816</v>
      </c>
      <c r="U30" s="16">
        <f>_xlfn.XLOOKUP(B30,'[2]Resumen EDP POM'!$B:$B,'[2]Resumen EDP POM'!$E:$E,"!",0,1)</f>
        <v>16055.2</v>
      </c>
      <c r="V30" s="18">
        <v>12770.34</v>
      </c>
      <c r="W30" s="16"/>
      <c r="X30" s="17"/>
      <c r="Y30" s="16"/>
      <c r="Z30" s="17"/>
      <c r="AA30" s="16"/>
      <c r="AB30" s="17"/>
      <c r="AC30" s="16"/>
      <c r="AD30" s="17"/>
      <c r="AE30" s="16"/>
      <c r="AF30" s="17"/>
      <c r="AG30" s="16"/>
      <c r="AH30" s="17"/>
      <c r="AI30" s="16"/>
      <c r="AJ30" s="19"/>
      <c r="AK30" s="16"/>
      <c r="AL30" s="17"/>
      <c r="AM30" s="16"/>
      <c r="AN30" s="20"/>
      <c r="AO30" s="21"/>
      <c r="AP30" s="17"/>
      <c r="AQ30" s="2" t="str">
        <f t="shared" si="9"/>
        <v/>
      </c>
      <c r="AR30" s="22"/>
      <c r="AS30" s="22"/>
      <c r="AT30" s="22"/>
    </row>
    <row r="31" spans="1:46" ht="14.25" customHeight="1" x14ac:dyDescent="0.25">
      <c r="A31" s="80" t="str">
        <f>+_xlfn.XLOOKUP(B31,'[1]Proyectos (NO FILTRAR)'!$F:$F,'[1]Proyectos (NO FILTRAR)'!$B:$B,0,0,1)</f>
        <v>BR-MOS-UG-OTR00-098-A</v>
      </c>
      <c r="B31" s="23" t="s">
        <v>15</v>
      </c>
      <c r="C31" s="7" t="str">
        <f>+_xlfn.XLOOKUP(A31,'[1]Proyectos (NO FILTRAR)'!$B:$B,'[1]Proyectos (NO FILTRAR)'!$G:$G,"error",0,1)</f>
        <v>Brasil</v>
      </c>
      <c r="D31" s="7">
        <v>2024</v>
      </c>
      <c r="E31" s="7" t="s">
        <v>231</v>
      </c>
      <c r="F31" s="7" t="s">
        <v>176</v>
      </c>
      <c r="G31" s="8"/>
      <c r="H31" s="8"/>
      <c r="I31" s="9">
        <f>+_xlfn.XLOOKUP(B31,'[1]Proyectos (NO FILTRAR)'!$F:$F,'[1]Proyectos (NO FILTRAR)'!$O:$O,"!",0,1)</f>
        <v>330410</v>
      </c>
      <c r="J31" s="10">
        <f t="shared" si="7"/>
        <v>242146.09</v>
      </c>
      <c r="K31" s="11">
        <f t="shared" si="2"/>
        <v>0.73286550043884868</v>
      </c>
      <c r="L31" s="12">
        <f t="shared" si="3"/>
        <v>88263.91</v>
      </c>
      <c r="M31" s="13">
        <f t="shared" si="4"/>
        <v>0.26713449956115132</v>
      </c>
      <c r="N31" s="14">
        <f t="shared" si="8"/>
        <v>272146.08999999997</v>
      </c>
      <c r="O31" s="13">
        <f t="shared" si="5"/>
        <v>0.82366178384431454</v>
      </c>
      <c r="P31" s="14">
        <f t="shared" si="6"/>
        <v>58263.910000000033</v>
      </c>
      <c r="Q31" s="15">
        <v>45337</v>
      </c>
      <c r="R31" s="15">
        <f>+I31-Q31</f>
        <v>285073</v>
      </c>
      <c r="S31" s="16">
        <v>14900</v>
      </c>
      <c r="T31" s="17">
        <v>22947.840000000004</v>
      </c>
      <c r="U31" s="16">
        <f>_xlfn.XLOOKUP(B31,'[2]Resumen EDP POM'!$B:$B,'[2]Resumen EDP POM'!$E:$E,"!",0,1)</f>
        <v>12081.563039723662</v>
      </c>
      <c r="V31" s="18">
        <v>10292.709999999999</v>
      </c>
      <c r="W31" s="16">
        <v>24353.773148148099</v>
      </c>
      <c r="X31" s="17">
        <v>5393</v>
      </c>
      <c r="Y31" s="16">
        <v>15000</v>
      </c>
      <c r="Z31" s="17">
        <v>11237</v>
      </c>
      <c r="AA31" s="16">
        <v>30000</v>
      </c>
      <c r="AB31" s="17">
        <v>32693</v>
      </c>
      <c r="AC31" s="16">
        <v>30000</v>
      </c>
      <c r="AD31" s="17">
        <v>34273</v>
      </c>
      <c r="AE31" s="16">
        <v>30000</v>
      </c>
      <c r="AF31" s="78">
        <v>21033</v>
      </c>
      <c r="AG31" s="16">
        <v>37000</v>
      </c>
      <c r="AH31" s="79">
        <v>25049.54</v>
      </c>
      <c r="AI31" s="16">
        <v>30000</v>
      </c>
      <c r="AJ31" s="79">
        <v>33890</v>
      </c>
      <c r="AK31" s="16"/>
      <c r="AL31" s="17"/>
      <c r="AM31" s="16"/>
      <c r="AN31" s="20"/>
      <c r="AO31" s="21"/>
      <c r="AP31" s="17"/>
      <c r="AQ31" s="2" t="str">
        <f t="shared" si="9"/>
        <v/>
      </c>
      <c r="AR31" s="22"/>
      <c r="AS31" s="22"/>
      <c r="AT31" s="22"/>
    </row>
    <row r="32" spans="1:46" ht="14.25" customHeight="1" x14ac:dyDescent="0.25">
      <c r="A32" s="2" t="str">
        <f>+_xlfn.XLOOKUP(B32,'[1]Proyectos (NO FILTRAR)'!$F:$F,'[1]Proyectos (NO FILTRAR)'!$B:$B,0,0,1)</f>
        <v>PE-OCP-CS-OTR00-138-A</v>
      </c>
      <c r="B32" s="32" t="s">
        <v>86</v>
      </c>
      <c r="C32" s="7" t="str">
        <f>+_xlfn.XLOOKUP(A32,'[1]Proyectos (NO FILTRAR)'!$B:$B,'[1]Proyectos (NO FILTRAR)'!$G:$G,"error",0,1)</f>
        <v>Perú</v>
      </c>
      <c r="D32" s="7">
        <v>2025</v>
      </c>
      <c r="E32" s="7" t="s">
        <v>229</v>
      </c>
      <c r="F32" s="7" t="s">
        <v>182</v>
      </c>
      <c r="G32" s="8"/>
      <c r="H32" s="8"/>
      <c r="I32" s="9">
        <f>+_xlfn.XLOOKUP(B32,'[1]Proyectos (NO FILTRAR)'!$F:$F,'[1]Proyectos (NO FILTRAR)'!$O:$O,"!",0,1)</f>
        <v>184000</v>
      </c>
      <c r="J32" s="10">
        <f t="shared" si="7"/>
        <v>119500</v>
      </c>
      <c r="K32" s="11">
        <f t="shared" si="2"/>
        <v>0.64945652173913049</v>
      </c>
      <c r="L32" s="12">
        <f t="shared" si="3"/>
        <v>64500</v>
      </c>
      <c r="M32" s="13">
        <f t="shared" si="4"/>
        <v>0.35054347826086957</v>
      </c>
      <c r="N32" s="14">
        <f t="shared" si="8"/>
        <v>119500</v>
      </c>
      <c r="O32" s="13">
        <f t="shared" si="5"/>
        <v>0.64945652173913049</v>
      </c>
      <c r="P32" s="14">
        <f t="shared" si="6"/>
        <v>64500</v>
      </c>
      <c r="Q32" s="15"/>
      <c r="R32" s="15"/>
      <c r="S32" s="16"/>
      <c r="T32" s="17"/>
      <c r="U32" s="16"/>
      <c r="V32" s="17"/>
      <c r="W32" s="16">
        <v>65000</v>
      </c>
      <c r="X32" s="17">
        <v>59500</v>
      </c>
      <c r="Y32" s="16">
        <v>60000</v>
      </c>
      <c r="Z32" s="17">
        <v>60000</v>
      </c>
      <c r="AA32" s="16"/>
      <c r="AB32" s="17"/>
      <c r="AC32" s="16"/>
      <c r="AD32" s="17"/>
      <c r="AE32" s="16"/>
      <c r="AF32" s="17"/>
      <c r="AG32" s="16"/>
      <c r="AH32" s="17"/>
      <c r="AI32" s="16"/>
      <c r="AJ32" s="19"/>
      <c r="AK32" s="16"/>
      <c r="AL32" s="17"/>
      <c r="AM32" s="16"/>
      <c r="AN32" s="20"/>
      <c r="AO32" s="21"/>
      <c r="AP32" s="17"/>
      <c r="AQ32" s="2" t="str">
        <f t="shared" si="9"/>
        <v>!</v>
      </c>
      <c r="AR32" s="22"/>
      <c r="AS32" s="22"/>
      <c r="AT32" s="22"/>
    </row>
    <row r="33" spans="1:46" ht="14.25" customHeight="1" x14ac:dyDescent="0.25">
      <c r="A33" s="2" t="s">
        <v>89</v>
      </c>
      <c r="B33" s="32" t="s">
        <v>90</v>
      </c>
      <c r="C33" s="7" t="str">
        <f>+_xlfn.XLOOKUP(A33,'[1]Proyectos (NO FILTRAR)'!$B:$B,'[1]Proyectos (NO FILTRAR)'!$G:$G,"error",0,1)</f>
        <v>Perú</v>
      </c>
      <c r="D33" s="7">
        <v>2024</v>
      </c>
      <c r="E33" s="7" t="s">
        <v>230</v>
      </c>
      <c r="F33" s="7" t="s">
        <v>170</v>
      </c>
      <c r="G33" s="8"/>
      <c r="H33" s="8" t="s">
        <v>172</v>
      </c>
      <c r="I33" s="9">
        <f>+_xlfn.XLOOKUP(B33,'[1]Proyectos (NO FILTRAR)'!$F:$F,'[1]Proyectos (NO FILTRAR)'!$O:$O,"!",0,1)</f>
        <v>295769</v>
      </c>
      <c r="J33" s="10">
        <f t="shared" si="7"/>
        <v>295768.91747624078</v>
      </c>
      <c r="K33" s="26">
        <f t="shared" si="2"/>
        <v>0.99999972098577194</v>
      </c>
      <c r="L33" s="12">
        <f t="shared" si="3"/>
        <v>8.2523759221658111E-2</v>
      </c>
      <c r="M33" s="27">
        <f t="shared" si="4"/>
        <v>2.790142280687229E-7</v>
      </c>
      <c r="N33" s="14">
        <f t="shared" si="8"/>
        <v>295768.91747624078</v>
      </c>
      <c r="O33" s="27">
        <f t="shared" si="5"/>
        <v>0.99999972098577194</v>
      </c>
      <c r="P33" s="28">
        <f t="shared" si="6"/>
        <v>8.2523759221658111E-2</v>
      </c>
      <c r="Q33" s="15">
        <v>0</v>
      </c>
      <c r="R33" s="15">
        <f>+I33-Q33</f>
        <v>295769</v>
      </c>
      <c r="S33" s="16">
        <v>25500</v>
      </c>
      <c r="T33" s="17">
        <v>36175</v>
      </c>
      <c r="U33" s="16">
        <f>_xlfn.XLOOKUP(B33,'[2]Resumen EDP POM'!$B:$B,'[2]Resumen EDP POM'!$E:$E,"!",0,1)</f>
        <v>44000</v>
      </c>
      <c r="V33" s="18">
        <v>47631</v>
      </c>
      <c r="W33" s="16">
        <v>37000</v>
      </c>
      <c r="X33" s="17">
        <v>34217</v>
      </c>
      <c r="Y33" s="16">
        <v>25127</v>
      </c>
      <c r="Z33" s="17">
        <v>25392</v>
      </c>
      <c r="AA33" s="16">
        <v>48700.336152141805</v>
      </c>
      <c r="AB33" s="17">
        <v>57648</v>
      </c>
      <c r="AC33" s="16">
        <v>50800</v>
      </c>
      <c r="AD33" s="17">
        <v>59126</v>
      </c>
      <c r="AE33" s="16">
        <v>35579</v>
      </c>
      <c r="AF33" s="78">
        <v>30279.917476240771</v>
      </c>
      <c r="AG33" s="16">
        <v>5299</v>
      </c>
      <c r="AH33" s="17">
        <v>5300</v>
      </c>
      <c r="AI33" s="16"/>
      <c r="AJ33" s="19"/>
      <c r="AK33" s="16"/>
      <c r="AL33" s="17"/>
      <c r="AM33" s="16"/>
      <c r="AN33" s="17"/>
      <c r="AO33" s="21"/>
      <c r="AP33" s="17"/>
      <c r="AQ33" s="2" t="str">
        <f t="shared" si="9"/>
        <v/>
      </c>
      <c r="AR33" s="22"/>
      <c r="AS33" s="22"/>
      <c r="AT33" s="22"/>
    </row>
    <row r="34" spans="1:46" ht="14.25" customHeight="1" x14ac:dyDescent="0.25">
      <c r="A34" s="2" t="s">
        <v>99</v>
      </c>
      <c r="B34" s="32" t="s">
        <v>100</v>
      </c>
      <c r="C34" s="7" t="str">
        <f>+_xlfn.XLOOKUP(A34,'[1]Proyectos (NO FILTRAR)'!$B:$B,'[1]Proyectos (NO FILTRAR)'!$G:$G,"error",0,1)</f>
        <v>Otros</v>
      </c>
      <c r="D34" s="7">
        <v>2024</v>
      </c>
      <c r="E34" s="7" t="s">
        <v>229</v>
      </c>
      <c r="F34" s="7" t="s">
        <v>184</v>
      </c>
      <c r="G34" s="8"/>
      <c r="H34" s="8" t="s">
        <v>181</v>
      </c>
      <c r="I34" s="9">
        <f>+_xlfn.XLOOKUP(B34,'[1]Proyectos (NO FILTRAR)'!$F:$F,'[1]Proyectos (NO FILTRAR)'!$O:$O,"!",0,1)</f>
        <v>254012</v>
      </c>
      <c r="J34" s="10">
        <f t="shared" si="7"/>
        <v>254012</v>
      </c>
      <c r="K34" s="11">
        <f t="shared" si="2"/>
        <v>1</v>
      </c>
      <c r="L34" s="12">
        <f t="shared" si="3"/>
        <v>0</v>
      </c>
      <c r="M34" s="13">
        <f t="shared" si="4"/>
        <v>0</v>
      </c>
      <c r="N34" s="14">
        <f t="shared" si="8"/>
        <v>254012</v>
      </c>
      <c r="O34" s="13">
        <f t="shared" si="5"/>
        <v>1</v>
      </c>
      <c r="P34" s="30">
        <f t="shared" si="6"/>
        <v>0</v>
      </c>
      <c r="Q34" s="15">
        <v>0</v>
      </c>
      <c r="R34" s="15">
        <f>+I34-Q34</f>
        <v>254012</v>
      </c>
      <c r="S34" s="16">
        <v>115000</v>
      </c>
      <c r="T34" s="17">
        <v>130412</v>
      </c>
      <c r="U34" s="16">
        <f>_xlfn.XLOOKUP(B34,'[2]Resumen EDP POM'!$B:$B,'[2]Resumen EDP POM'!$E:$E,"!",0,1)</f>
        <v>95000</v>
      </c>
      <c r="V34" s="18">
        <v>84975</v>
      </c>
      <c r="W34" s="16">
        <v>28325</v>
      </c>
      <c r="X34" s="17">
        <v>38625</v>
      </c>
      <c r="Y34" s="16"/>
      <c r="Z34" s="17"/>
      <c r="AA34" s="16"/>
      <c r="AB34" s="17"/>
      <c r="AC34" s="16"/>
      <c r="AD34" s="17"/>
      <c r="AE34" s="16"/>
      <c r="AF34" s="17"/>
      <c r="AG34" s="16"/>
      <c r="AH34" s="17"/>
      <c r="AI34" s="16"/>
      <c r="AJ34" s="19"/>
      <c r="AK34" s="16"/>
      <c r="AL34" s="17"/>
      <c r="AM34" s="16"/>
      <c r="AN34" s="17"/>
      <c r="AO34" s="21"/>
      <c r="AP34" s="17"/>
      <c r="AQ34" s="2" t="str">
        <f t="shared" si="9"/>
        <v/>
      </c>
      <c r="AR34" s="22"/>
      <c r="AS34" s="22"/>
      <c r="AT34" s="22"/>
    </row>
    <row r="35" spans="1:46" ht="14.25" customHeight="1" x14ac:dyDescent="0.25">
      <c r="A35" s="2" t="str">
        <f>+_xlfn.XLOOKUP(B35,'[1]Proyectos (NO FILTRAR)'!$F:$F,'[1]Proyectos (NO FILTRAR)'!$B:$B,0,0,1)</f>
        <v>OT-TWM-CS-FEL00-119-A</v>
      </c>
      <c r="B35" s="32" t="s">
        <v>106</v>
      </c>
      <c r="C35" s="7" t="str">
        <f>+_xlfn.XLOOKUP(A35,'[1]Proyectos (NO FILTRAR)'!$B:$B,'[1]Proyectos (NO FILTRAR)'!$G:$G,"error",0,1)</f>
        <v>Otros</v>
      </c>
      <c r="D35" s="7">
        <v>2024</v>
      </c>
      <c r="E35" s="7" t="s">
        <v>229</v>
      </c>
      <c r="F35" s="7" t="s">
        <v>185</v>
      </c>
      <c r="G35" s="8"/>
      <c r="H35" s="8" t="s">
        <v>183</v>
      </c>
      <c r="I35" s="9">
        <f>+_xlfn.XLOOKUP(B35,'[1]Proyectos (NO FILTRAR)'!$F:$F,'[1]Proyectos (NO FILTRAR)'!$O:$O,"!",0,1)</f>
        <v>481541</v>
      </c>
      <c r="J35" s="10">
        <f t="shared" si="7"/>
        <v>481541</v>
      </c>
      <c r="K35" s="11">
        <f t="shared" si="2"/>
        <v>1</v>
      </c>
      <c r="L35" s="12">
        <f t="shared" si="3"/>
        <v>0</v>
      </c>
      <c r="M35" s="13">
        <f t="shared" si="4"/>
        <v>0</v>
      </c>
      <c r="N35" s="14">
        <f t="shared" si="8"/>
        <v>481541</v>
      </c>
      <c r="O35" s="13">
        <f t="shared" si="5"/>
        <v>1</v>
      </c>
      <c r="P35" s="14">
        <f t="shared" si="6"/>
        <v>0</v>
      </c>
      <c r="Q35" s="15">
        <v>112740.6</v>
      </c>
      <c r="R35" s="15">
        <f>+I35-Q35</f>
        <v>368800.4</v>
      </c>
      <c r="S35" s="16">
        <v>82000</v>
      </c>
      <c r="T35" s="17">
        <v>80209.399999999994</v>
      </c>
      <c r="U35" s="16">
        <f>_xlfn.XLOOKUP(B35,'[2]Resumen EDP POM'!$B:$B,'[2]Resumen EDP POM'!$E:$E,"!",0,1)</f>
        <v>133000</v>
      </c>
      <c r="V35" s="17">
        <v>112981</v>
      </c>
      <c r="W35" s="16">
        <v>62689</v>
      </c>
      <c r="X35" s="18"/>
      <c r="Y35" s="16">
        <v>74025</v>
      </c>
      <c r="Z35" s="17">
        <f>101319+60296</f>
        <v>161615</v>
      </c>
      <c r="AA35" s="16">
        <v>15454</v>
      </c>
      <c r="AB35" s="17">
        <v>13995</v>
      </c>
      <c r="AC35" s="16"/>
      <c r="AD35" s="17"/>
      <c r="AE35" s="16"/>
      <c r="AF35" s="17"/>
      <c r="AG35" s="16"/>
      <c r="AH35" s="17"/>
      <c r="AI35" s="16"/>
      <c r="AJ35" s="19"/>
      <c r="AK35" s="16"/>
      <c r="AL35" s="17"/>
      <c r="AM35" s="16"/>
      <c r="AN35" s="20"/>
      <c r="AO35" s="21"/>
      <c r="AP35" s="17"/>
      <c r="AQ35" s="2" t="str">
        <f t="shared" si="9"/>
        <v/>
      </c>
      <c r="AR35" s="22"/>
      <c r="AS35" s="22"/>
      <c r="AT35" s="22"/>
    </row>
    <row r="36" spans="1:46" ht="14.25" customHeight="1" x14ac:dyDescent="0.25">
      <c r="A36" s="2" t="str">
        <f>+_xlfn.XLOOKUP(B36,'[1]Proyectos (NO FILTRAR)'!$F:$F,'[1]Proyectos (NO FILTRAR)'!$B:$B,0,0,1)</f>
        <v>OT-TWM-CS-FEL00-141-A</v>
      </c>
      <c r="B36" s="32" t="s">
        <v>108</v>
      </c>
      <c r="C36" s="7" t="str">
        <f>+_xlfn.XLOOKUP(A36,'[1]Proyectos (NO FILTRAR)'!$B:$B,'[1]Proyectos (NO FILTRAR)'!$G:$G,"error",0,1)</f>
        <v>Otros</v>
      </c>
      <c r="D36" s="7">
        <v>2025</v>
      </c>
      <c r="E36" s="7" t="s">
        <v>229</v>
      </c>
      <c r="F36" s="7" t="s">
        <v>184</v>
      </c>
      <c r="G36" s="8"/>
      <c r="H36" s="8"/>
      <c r="I36" s="9">
        <f>+_xlfn.XLOOKUP(B36,'[1]Proyectos (NO FILTRAR)'!$F:$F,'[1]Proyectos (NO FILTRAR)'!$O:$O,"!",0,1)</f>
        <v>132000</v>
      </c>
      <c r="J36" s="10">
        <f t="shared" si="7"/>
        <v>84225</v>
      </c>
      <c r="K36" s="11">
        <f t="shared" si="2"/>
        <v>0.63806818181818181</v>
      </c>
      <c r="L36" s="12">
        <f t="shared" si="3"/>
        <v>47775</v>
      </c>
      <c r="M36" s="13">
        <f t="shared" si="4"/>
        <v>0.36193181818181819</v>
      </c>
      <c r="N36" s="14">
        <f t="shared" si="8"/>
        <v>84225</v>
      </c>
      <c r="O36" s="13">
        <f t="shared" si="5"/>
        <v>0.63806818181818181</v>
      </c>
      <c r="P36" s="30">
        <f t="shared" si="6"/>
        <v>47775</v>
      </c>
      <c r="Q36" s="15"/>
      <c r="R36" s="15"/>
      <c r="S36" s="16"/>
      <c r="T36" s="17"/>
      <c r="U36" s="16"/>
      <c r="V36" s="17"/>
      <c r="W36" s="16">
        <v>58000</v>
      </c>
      <c r="X36" s="17">
        <v>84225</v>
      </c>
      <c r="Y36" s="16"/>
      <c r="Z36" s="17"/>
      <c r="AA36" s="16"/>
      <c r="AB36" s="17"/>
      <c r="AC36" s="16"/>
      <c r="AD36" s="17"/>
      <c r="AE36" s="16"/>
      <c r="AF36" s="17"/>
      <c r="AG36" s="16"/>
      <c r="AH36" s="17"/>
      <c r="AI36" s="16"/>
      <c r="AJ36" s="19"/>
      <c r="AK36" s="16"/>
      <c r="AL36" s="17"/>
      <c r="AM36" s="16"/>
      <c r="AN36" s="20"/>
      <c r="AO36" s="21"/>
      <c r="AP36" s="17"/>
      <c r="AQ36" s="2" t="str">
        <f t="shared" si="9"/>
        <v>!</v>
      </c>
      <c r="AR36" s="22"/>
      <c r="AS36" s="22"/>
      <c r="AT36" s="22"/>
    </row>
    <row r="37" spans="1:46" ht="14.25" customHeight="1" x14ac:dyDescent="0.25">
      <c r="A37" s="80" t="str">
        <f>+_xlfn.XLOOKUP(B37,'[1]Proyectos (NO FILTRAR)'!$F:$F,'[1]Proyectos (NO FILTRAR)'!$B:$B,0,0,1)</f>
        <v>BR-MOS-OU-FEL03-147-A</v>
      </c>
      <c r="B37" s="32" t="s">
        <v>11</v>
      </c>
      <c r="C37" s="7" t="str">
        <f>+_xlfn.XLOOKUP(A37,'[1]Proyectos (NO FILTRAR)'!$B:$B,'[1]Proyectos (NO FILTRAR)'!$G:$G,"error",0,1)</f>
        <v>Brasil</v>
      </c>
      <c r="D37" s="7">
        <v>2025</v>
      </c>
      <c r="E37" s="7" t="s">
        <v>230</v>
      </c>
      <c r="F37" s="7" t="s">
        <v>170</v>
      </c>
      <c r="G37" s="8"/>
      <c r="H37" s="8"/>
      <c r="I37" s="9">
        <f>+_xlfn.XLOOKUP(B37,'[1]Proyectos (NO FILTRAR)'!$F:$F,'[1]Proyectos (NO FILTRAR)'!$O:$O,"!",0,1)</f>
        <v>147935</v>
      </c>
      <c r="J37" s="10">
        <f t="shared" si="7"/>
        <v>147935</v>
      </c>
      <c r="K37" s="11">
        <f t="shared" si="2"/>
        <v>1</v>
      </c>
      <c r="L37" s="12">
        <f t="shared" si="3"/>
        <v>0</v>
      </c>
      <c r="M37" s="13">
        <f t="shared" si="4"/>
        <v>0</v>
      </c>
      <c r="N37" s="14">
        <f t="shared" si="8"/>
        <v>147935</v>
      </c>
      <c r="O37" s="13">
        <f t="shared" si="5"/>
        <v>1</v>
      </c>
      <c r="P37" s="14">
        <f t="shared" si="6"/>
        <v>0</v>
      </c>
      <c r="Q37" s="15"/>
      <c r="R37" s="15"/>
      <c r="S37" s="16"/>
      <c r="T37" s="17"/>
      <c r="U37" s="16"/>
      <c r="V37" s="17"/>
      <c r="W37" s="16"/>
      <c r="X37" s="17"/>
      <c r="Y37" s="16"/>
      <c r="Z37" s="17">
        <v>32268</v>
      </c>
      <c r="AA37" s="16">
        <v>43482</v>
      </c>
      <c r="AB37" s="17">
        <v>39074</v>
      </c>
      <c r="AC37" s="16">
        <v>24700</v>
      </c>
      <c r="AD37" s="17">
        <v>38732</v>
      </c>
      <c r="AE37" s="16">
        <v>27926</v>
      </c>
      <c r="AF37" s="78">
        <v>22700</v>
      </c>
      <c r="AG37" s="16">
        <v>14312</v>
      </c>
      <c r="AH37" s="79">
        <v>15161</v>
      </c>
      <c r="AI37" s="16"/>
      <c r="AJ37" s="19"/>
      <c r="AK37" s="16"/>
      <c r="AL37" s="17"/>
      <c r="AM37" s="16"/>
      <c r="AN37" s="20"/>
      <c r="AO37" s="21"/>
      <c r="AP37" s="17"/>
      <c r="AQ37" s="2" t="str">
        <f t="shared" si="9"/>
        <v/>
      </c>
      <c r="AR37" s="22"/>
      <c r="AS37" s="22"/>
      <c r="AT37" s="22"/>
    </row>
    <row r="38" spans="1:46" ht="14.25" customHeight="1" x14ac:dyDescent="0.25">
      <c r="A38" s="2" t="str">
        <f>+_xlfn.XLOOKUP(B38,'[1]Proyectos (NO FILTRAR)'!$F:$F,'[1]Proyectos (NO FILTRAR)'!$B:$B,0,0,1)</f>
        <v>CH-BHP-UG-FEL01-074-A</v>
      </c>
      <c r="B38" s="32" t="s">
        <v>35</v>
      </c>
      <c r="C38" s="7" t="str">
        <f>+_xlfn.XLOOKUP(A38,'[1]Proyectos (NO FILTRAR)'!$B:$B,'[1]Proyectos (NO FILTRAR)'!$G:$G,"error",0,1)</f>
        <v>Chile</v>
      </c>
      <c r="D38" s="7">
        <v>2025</v>
      </c>
      <c r="E38" s="7" t="s">
        <v>230</v>
      </c>
      <c r="F38" s="7" t="s">
        <v>184</v>
      </c>
      <c r="G38" s="8"/>
      <c r="H38" s="8"/>
      <c r="I38" s="9">
        <f>+_xlfn.XLOOKUP(B38,'[1]Proyectos (NO FILTRAR)'!$F:$F,'[1]Proyectos (NO FILTRAR)'!$O:$O,"!",0,1)</f>
        <v>198920</v>
      </c>
      <c r="J38" s="10">
        <f t="shared" si="7"/>
        <v>198920</v>
      </c>
      <c r="K38" s="11">
        <f t="shared" si="2"/>
        <v>1</v>
      </c>
      <c r="L38" s="12">
        <f t="shared" si="3"/>
        <v>0</v>
      </c>
      <c r="M38" s="13">
        <f t="shared" si="4"/>
        <v>0</v>
      </c>
      <c r="N38" s="14">
        <f t="shared" si="8"/>
        <v>198920</v>
      </c>
      <c r="O38" s="13">
        <f t="shared" si="5"/>
        <v>1</v>
      </c>
      <c r="P38" s="14">
        <f t="shared" si="6"/>
        <v>0</v>
      </c>
      <c r="Q38" s="15">
        <v>35036</v>
      </c>
      <c r="R38" s="15">
        <f>+I38-Q38</f>
        <v>163884</v>
      </c>
      <c r="S38" s="16"/>
      <c r="T38" s="17"/>
      <c r="U38" s="16"/>
      <c r="V38" s="17"/>
      <c r="W38" s="16"/>
      <c r="X38" s="17"/>
      <c r="Y38" s="16">
        <v>40000</v>
      </c>
      <c r="Z38" s="17">
        <v>48790</v>
      </c>
      <c r="AA38" s="16">
        <v>40000</v>
      </c>
      <c r="AB38" s="17">
        <v>32748</v>
      </c>
      <c r="AC38" s="16">
        <v>38000</v>
      </c>
      <c r="AD38" s="17">
        <v>40426</v>
      </c>
      <c r="AE38" s="16">
        <v>39000</v>
      </c>
      <c r="AF38" s="78">
        <v>30025</v>
      </c>
      <c r="AG38" s="16">
        <v>11895</v>
      </c>
      <c r="AH38" s="79">
        <v>11895</v>
      </c>
      <c r="AI38" s="16"/>
      <c r="AJ38" s="19"/>
      <c r="AK38" s="16"/>
      <c r="AL38" s="17"/>
      <c r="AM38" s="16"/>
      <c r="AN38" s="20"/>
      <c r="AO38" s="21"/>
      <c r="AP38" s="17"/>
      <c r="AQ38" s="2" t="str">
        <f t="shared" si="9"/>
        <v/>
      </c>
      <c r="AR38" s="22"/>
      <c r="AS38" s="22"/>
      <c r="AT38" s="22"/>
    </row>
    <row r="39" spans="1:46" ht="14.25" customHeight="1" x14ac:dyDescent="0.25">
      <c r="A39" s="2" t="str">
        <f>+_xlfn.XLOOKUP(B39,'[1]Proyectos (NO FILTRAR)'!$F:$F,'[1]Proyectos (NO FILTRAR)'!$B:$B,0,0,1)</f>
        <v>OT-THC-CS-OTR00-122-A</v>
      </c>
      <c r="B39" s="23" t="s">
        <v>104</v>
      </c>
      <c r="C39" s="7" t="str">
        <f>+_xlfn.XLOOKUP(A39,'[1]Proyectos (NO FILTRAR)'!$B:$B,'[1]Proyectos (NO FILTRAR)'!$G:$G,"error",0,1)</f>
        <v>Otros</v>
      </c>
      <c r="D39" s="7">
        <v>2025</v>
      </c>
      <c r="E39" s="7" t="s">
        <v>231</v>
      </c>
      <c r="F39" s="7" t="s">
        <v>182</v>
      </c>
      <c r="G39" s="8"/>
      <c r="H39" s="8"/>
      <c r="I39" s="9">
        <f>+_xlfn.XLOOKUP(B39,'[1]Proyectos (NO FILTRAR)'!$F:$F,'[1]Proyectos (NO FILTRAR)'!$O:$O,"!",0,1)</f>
        <v>645700</v>
      </c>
      <c r="J39" s="10">
        <f t="shared" si="7"/>
        <v>467200</v>
      </c>
      <c r="K39" s="11">
        <f t="shared" si="2"/>
        <v>0.72355583088121422</v>
      </c>
      <c r="L39" s="12">
        <f t="shared" si="3"/>
        <v>178500</v>
      </c>
      <c r="M39" s="13">
        <f t="shared" si="4"/>
        <v>0.27644416911878583</v>
      </c>
      <c r="N39" s="14">
        <f t="shared" si="8"/>
        <v>567200</v>
      </c>
      <c r="O39" s="13">
        <f t="shared" si="5"/>
        <v>0.87842651386092607</v>
      </c>
      <c r="P39" s="14">
        <f t="shared" si="6"/>
        <v>78500</v>
      </c>
      <c r="Q39" s="15"/>
      <c r="R39" s="15"/>
      <c r="S39" s="16"/>
      <c r="T39" s="17"/>
      <c r="U39" s="16"/>
      <c r="V39" s="17"/>
      <c r="W39" s="16"/>
      <c r="X39" s="17"/>
      <c r="Y39" s="16"/>
      <c r="Z39" s="17"/>
      <c r="AA39" s="16">
        <v>50000</v>
      </c>
      <c r="AB39" s="81">
        <v>74100</v>
      </c>
      <c r="AC39" s="16">
        <v>100000</v>
      </c>
      <c r="AD39" s="81">
        <v>129000</v>
      </c>
      <c r="AE39" s="16">
        <v>50000</v>
      </c>
      <c r="AF39" s="78">
        <v>114100</v>
      </c>
      <c r="AG39" s="16">
        <v>50000</v>
      </c>
      <c r="AH39" s="17">
        <v>150000</v>
      </c>
      <c r="AI39" s="16">
        <v>100000</v>
      </c>
      <c r="AJ39" s="19"/>
      <c r="AK39" s="16"/>
      <c r="AL39" s="17"/>
      <c r="AM39" s="16"/>
      <c r="AN39" s="20"/>
      <c r="AO39" s="21"/>
      <c r="AP39" s="17"/>
      <c r="AQ39" s="2" t="str">
        <f t="shared" si="9"/>
        <v/>
      </c>
      <c r="AR39" s="22"/>
      <c r="AS39" s="22"/>
      <c r="AT39" s="22"/>
    </row>
    <row r="40" spans="1:46" ht="14.25" customHeight="1" x14ac:dyDescent="0.25">
      <c r="A40" s="2" t="str">
        <f>+_xlfn.XLOOKUP(B40,'[1]Proyectos (NO FILTRAR)'!$F:$F,'[1]Proyectos (NO FILTRAR)'!$B:$B,0,0,1)</f>
        <v>OT-RES-CS-OTR00-150-A</v>
      </c>
      <c r="B40" s="32" t="s">
        <v>102</v>
      </c>
      <c r="C40" s="7" t="str">
        <f>+_xlfn.XLOOKUP(A40,'[1]Proyectos (NO FILTRAR)'!$B:$B,'[1]Proyectos (NO FILTRAR)'!$G:$G,"error",0,1)</f>
        <v>Otros</v>
      </c>
      <c r="D40" s="7">
        <v>2025</v>
      </c>
      <c r="E40" s="7" t="s">
        <v>229</v>
      </c>
      <c r="F40" s="7" t="s">
        <v>184</v>
      </c>
      <c r="G40" s="8"/>
      <c r="H40" s="8"/>
      <c r="I40" s="9">
        <f>+_xlfn.XLOOKUP(B40,'[1]Proyectos (NO FILTRAR)'!$F:$F,'[1]Proyectos (NO FILTRAR)'!$O:$O,"!",0,1)</f>
        <v>47808</v>
      </c>
      <c r="J40" s="10">
        <f t="shared" si="7"/>
        <v>47808</v>
      </c>
      <c r="K40" s="11">
        <f t="shared" si="2"/>
        <v>1</v>
      </c>
      <c r="L40" s="12">
        <f t="shared" si="3"/>
        <v>0</v>
      </c>
      <c r="M40" s="13">
        <f t="shared" si="4"/>
        <v>0</v>
      </c>
      <c r="N40" s="14">
        <f t="shared" si="8"/>
        <v>47808</v>
      </c>
      <c r="O40" s="13">
        <f t="shared" si="5"/>
        <v>1</v>
      </c>
      <c r="P40" s="14">
        <f t="shared" si="6"/>
        <v>0</v>
      </c>
      <c r="Q40" s="15"/>
      <c r="R40" s="15"/>
      <c r="S40" s="16"/>
      <c r="T40" s="17"/>
      <c r="U40" s="16"/>
      <c r="V40" s="17"/>
      <c r="W40" s="16"/>
      <c r="X40" s="17"/>
      <c r="Y40" s="16"/>
      <c r="Z40" s="17"/>
      <c r="AA40" s="16">
        <v>49800</v>
      </c>
      <c r="AB40" s="17">
        <v>47808</v>
      </c>
      <c r="AC40" s="16"/>
      <c r="AD40" s="17"/>
      <c r="AE40" s="16"/>
      <c r="AF40" s="17"/>
      <c r="AG40" s="16"/>
      <c r="AH40" s="17"/>
      <c r="AI40" s="16"/>
      <c r="AJ40" s="19"/>
      <c r="AK40" s="16"/>
      <c r="AL40" s="17"/>
      <c r="AM40" s="16"/>
      <c r="AN40" s="20"/>
      <c r="AO40" s="21"/>
      <c r="AP40" s="17"/>
      <c r="AQ40" s="2" t="str">
        <f t="shared" si="9"/>
        <v/>
      </c>
      <c r="AR40" s="22"/>
      <c r="AS40" s="22"/>
      <c r="AT40" s="22"/>
    </row>
    <row r="41" spans="1:46" ht="14.25" customHeight="1" x14ac:dyDescent="0.25">
      <c r="A41" s="2" t="str">
        <f>+_xlfn.XLOOKUP(B41,'[1]Proyectos (NO FILTRAR)'!$F:$F,'[1]Proyectos (NO FILTRAR)'!$B:$B,0,0,1)</f>
        <v>PE-MSR-UG-OTR00-151-A</v>
      </c>
      <c r="B41" s="32" t="s">
        <v>83</v>
      </c>
      <c r="C41" s="7" t="str">
        <f>+_xlfn.XLOOKUP(A41,'[1]Proyectos (NO FILTRAR)'!$B:$B,'[1]Proyectos (NO FILTRAR)'!$G:$G,"error",0,1)</f>
        <v>Perú</v>
      </c>
      <c r="D41" s="7">
        <v>2025</v>
      </c>
      <c r="E41" s="7" t="s">
        <v>229</v>
      </c>
      <c r="F41" s="7" t="s">
        <v>182</v>
      </c>
      <c r="G41" s="8"/>
      <c r="H41" s="8"/>
      <c r="I41" s="9">
        <f>+_xlfn.XLOOKUP(B41,'[1]Proyectos (NO FILTRAR)'!$F:$F,'[1]Proyectos (NO FILTRAR)'!$O:$O,"!",0,1)</f>
        <v>60000</v>
      </c>
      <c r="J41" s="10">
        <f t="shared" si="7"/>
        <v>29207</v>
      </c>
      <c r="K41" s="11">
        <f t="shared" si="2"/>
        <v>0.48678333333333335</v>
      </c>
      <c r="L41" s="12">
        <f t="shared" si="3"/>
        <v>30793</v>
      </c>
      <c r="M41" s="13">
        <f t="shared" si="4"/>
        <v>0.51321666666666665</v>
      </c>
      <c r="N41" s="14">
        <f t="shared" si="8"/>
        <v>29207</v>
      </c>
      <c r="O41" s="13">
        <f t="shared" si="5"/>
        <v>0.48678333333333335</v>
      </c>
      <c r="P41" s="14">
        <f t="shared" si="6"/>
        <v>30793</v>
      </c>
      <c r="Q41" s="15"/>
      <c r="R41" s="15"/>
      <c r="S41" s="16"/>
      <c r="T41" s="17"/>
      <c r="U41" s="16"/>
      <c r="V41" s="17"/>
      <c r="W41" s="16"/>
      <c r="X41" s="17"/>
      <c r="Y41" s="16"/>
      <c r="Z41" s="17"/>
      <c r="AA41" s="16">
        <v>12000</v>
      </c>
      <c r="AB41" s="17">
        <v>29207</v>
      </c>
      <c r="AC41" s="16">
        <v>30000</v>
      </c>
      <c r="AD41" s="17"/>
      <c r="AE41" s="16"/>
      <c r="AF41" s="17"/>
      <c r="AG41" s="16"/>
      <c r="AH41" s="17"/>
      <c r="AI41" s="16"/>
      <c r="AJ41" s="19"/>
      <c r="AK41" s="16"/>
      <c r="AL41" s="17"/>
      <c r="AM41" s="16"/>
      <c r="AN41" s="20"/>
      <c r="AO41" s="21"/>
      <c r="AP41" s="17"/>
      <c r="AQ41" s="2" t="str">
        <f t="shared" si="9"/>
        <v/>
      </c>
      <c r="AR41" s="22"/>
      <c r="AS41" s="22"/>
      <c r="AT41" s="22"/>
    </row>
    <row r="42" spans="1:46" ht="14.25" customHeight="1" x14ac:dyDescent="0.25">
      <c r="A42" s="80" t="str">
        <f>+_xlfn.XLOOKUP(B42,'[1]Proyectos (NO FILTRAR)'!$F:$F,'[1]Proyectos (NO FILTRAR)'!$B:$B,0,0,1)</f>
        <v>BR-ERC-UG-FEL00-152-A</v>
      </c>
      <c r="B42" s="23" t="s">
        <v>186</v>
      </c>
      <c r="C42" s="7" t="str">
        <f>+_xlfn.XLOOKUP(A42,'[1]Proyectos (NO FILTRAR)'!$B:$B,'[1]Proyectos (NO FILTRAR)'!$G:$G,"error",0,1)</f>
        <v>Brasil</v>
      </c>
      <c r="D42" s="7">
        <v>2025</v>
      </c>
      <c r="E42" s="7" t="s">
        <v>231</v>
      </c>
      <c r="F42" s="7" t="s">
        <v>170</v>
      </c>
      <c r="G42" s="8"/>
      <c r="H42" s="8"/>
      <c r="I42" s="9">
        <f>+_xlfn.XLOOKUP(B42,'[1]Proyectos (NO FILTRAR)'!$F:$F,'[1]Proyectos (NO FILTRAR)'!$O:$O,"!",0,1)</f>
        <v>562180</v>
      </c>
      <c r="J42" s="10">
        <f t="shared" si="7"/>
        <v>223644</v>
      </c>
      <c r="K42" s="11">
        <f t="shared" si="2"/>
        <v>0.39781564623430216</v>
      </c>
      <c r="L42" s="12">
        <f t="shared" si="3"/>
        <v>338536</v>
      </c>
      <c r="M42" s="13">
        <f t="shared" si="4"/>
        <v>0.60218435376569779</v>
      </c>
      <c r="N42" s="14">
        <f t="shared" si="8"/>
        <v>287293.32052114303</v>
      </c>
      <c r="O42" s="13">
        <f t="shared" si="5"/>
        <v>0.51103440272002387</v>
      </c>
      <c r="P42" s="14">
        <f t="shared" si="6"/>
        <v>274886.67947885697</v>
      </c>
      <c r="Q42" s="15"/>
      <c r="R42" s="15"/>
      <c r="S42" s="16"/>
      <c r="T42" s="17"/>
      <c r="U42" s="16"/>
      <c r="V42" s="17"/>
      <c r="W42" s="16"/>
      <c r="X42" s="17"/>
      <c r="Y42" s="16"/>
      <c r="Z42" s="17"/>
      <c r="AA42" s="16"/>
      <c r="AB42" s="17"/>
      <c r="AC42" s="16">
        <v>42000</v>
      </c>
      <c r="AD42" s="17">
        <v>58058</v>
      </c>
      <c r="AE42" s="16">
        <v>20000</v>
      </c>
      <c r="AF42" s="78">
        <v>22198</v>
      </c>
      <c r="AG42" s="16">
        <v>70000</v>
      </c>
      <c r="AH42" s="79">
        <v>73156</v>
      </c>
      <c r="AI42" s="16">
        <v>63649.320521143018</v>
      </c>
      <c r="AJ42" s="79">
        <v>70232</v>
      </c>
      <c r="AK42" s="16"/>
      <c r="AL42" s="17"/>
      <c r="AM42" s="16"/>
      <c r="AN42" s="20"/>
      <c r="AO42" s="21"/>
      <c r="AP42" s="17"/>
      <c r="AQ42" s="2" t="str">
        <f t="shared" si="9"/>
        <v/>
      </c>
      <c r="AR42" s="22"/>
      <c r="AS42" s="22"/>
      <c r="AT42" s="22"/>
    </row>
    <row r="43" spans="1:46" ht="14.25" customHeight="1" x14ac:dyDescent="0.25">
      <c r="A43" s="2" t="str">
        <f>+_xlfn.XLOOKUP(B43,'[1]Proyectos (NO FILTRAR)'!$F:$F,'[1]Proyectos (NO FILTRAR)'!$B:$B,0,0,1)</f>
        <v>PE-HUD-GM-FEL00-153-A</v>
      </c>
      <c r="B43" s="32" t="s">
        <v>73</v>
      </c>
      <c r="C43" s="7" t="str">
        <f>+_xlfn.XLOOKUP(A43,'[1]Proyectos (NO FILTRAR)'!$B:$B,'[1]Proyectos (NO FILTRAR)'!$G:$G,"error",0,1)</f>
        <v>Perú</v>
      </c>
      <c r="D43" s="7">
        <v>2025</v>
      </c>
      <c r="E43" s="7" t="s">
        <v>229</v>
      </c>
      <c r="F43" s="7" t="s">
        <v>176</v>
      </c>
      <c r="G43" s="8"/>
      <c r="H43" s="8"/>
      <c r="I43" s="9">
        <f>+_xlfn.XLOOKUP(B43,'[1]Proyectos (NO FILTRAR)'!$F:$F,'[1]Proyectos (NO FILTRAR)'!$O:$O,"!",0,1)</f>
        <v>36720</v>
      </c>
      <c r="J43" s="10">
        <f t="shared" si="7"/>
        <v>36720</v>
      </c>
      <c r="K43" s="11">
        <f t="shared" si="2"/>
        <v>1</v>
      </c>
      <c r="L43" s="12">
        <f t="shared" si="3"/>
        <v>0</v>
      </c>
      <c r="M43" s="13">
        <f t="shared" si="4"/>
        <v>0</v>
      </c>
      <c r="N43" s="14">
        <f t="shared" si="8"/>
        <v>36720</v>
      </c>
      <c r="O43" s="13">
        <f t="shared" si="5"/>
        <v>1</v>
      </c>
      <c r="P43" s="14">
        <f t="shared" si="6"/>
        <v>0</v>
      </c>
      <c r="Q43" s="15"/>
      <c r="R43" s="15"/>
      <c r="S43" s="16"/>
      <c r="T43" s="17"/>
      <c r="U43" s="16"/>
      <c r="V43" s="17"/>
      <c r="W43" s="16"/>
      <c r="X43" s="17"/>
      <c r="Y43" s="16"/>
      <c r="Z43" s="17"/>
      <c r="AA43" s="16">
        <v>38720</v>
      </c>
      <c r="AB43" s="17">
        <v>36720</v>
      </c>
      <c r="AC43" s="16"/>
      <c r="AD43" s="17"/>
      <c r="AE43" s="16"/>
      <c r="AF43" s="17"/>
      <c r="AG43" s="16"/>
      <c r="AH43" s="17"/>
      <c r="AI43" s="16"/>
      <c r="AJ43" s="19"/>
      <c r="AK43" s="16"/>
      <c r="AL43" s="17"/>
      <c r="AM43" s="16"/>
      <c r="AN43" s="20"/>
      <c r="AO43" s="21"/>
      <c r="AP43" s="17"/>
      <c r="AQ43" s="2" t="str">
        <f t="shared" si="9"/>
        <v/>
      </c>
      <c r="AR43" s="22"/>
      <c r="AS43" s="22"/>
      <c r="AT43" s="22"/>
    </row>
    <row r="44" spans="1:46" ht="14.25" customHeight="1" x14ac:dyDescent="0.25">
      <c r="A44" s="2" t="str">
        <f>+_xlfn.XLOOKUP(B44,'[1]Proyectos (NO FILTRAR)'!$F:$F,'[1]Proyectos (NO FILTRAR)'!$B:$B,0,0,1)</f>
        <v>CH-LUN-CS-OTR00-154-A</v>
      </c>
      <c r="B44" s="23" t="s">
        <v>187</v>
      </c>
      <c r="C44" s="7" t="str">
        <f>+_xlfn.XLOOKUP(A44,'[1]Proyectos (NO FILTRAR)'!$B:$B,'[1]Proyectos (NO FILTRAR)'!$G:$G,"error",0,1)</f>
        <v>Chile</v>
      </c>
      <c r="D44" s="7">
        <v>2025</v>
      </c>
      <c r="E44" s="7" t="s">
        <v>231</v>
      </c>
      <c r="F44" s="7" t="s">
        <v>165</v>
      </c>
      <c r="G44" s="8"/>
      <c r="H44" s="8"/>
      <c r="I44" s="9">
        <f>+_xlfn.XLOOKUP(B44,'[1]Proyectos (NO FILTRAR)'!$F:$F,'[1]Proyectos (NO FILTRAR)'!$O:$O,"!",0,1)</f>
        <v>299270</v>
      </c>
      <c r="J44" s="10">
        <f t="shared" si="7"/>
        <v>194665</v>
      </c>
      <c r="K44" s="11">
        <f t="shared" si="2"/>
        <v>0.65046613426003275</v>
      </c>
      <c r="L44" s="12">
        <f t="shared" si="3"/>
        <v>104605</v>
      </c>
      <c r="M44" s="13">
        <f t="shared" si="4"/>
        <v>0.34953386573996725</v>
      </c>
      <c r="N44" s="14">
        <f t="shared" si="8"/>
        <v>248665</v>
      </c>
      <c r="O44" s="13">
        <f t="shared" si="5"/>
        <v>0.8309052026598055</v>
      </c>
      <c r="P44" s="14">
        <f t="shared" si="6"/>
        <v>50605</v>
      </c>
      <c r="Q44" s="15"/>
      <c r="R44" s="15"/>
      <c r="S44" s="16"/>
      <c r="T44" s="17"/>
      <c r="U44" s="16"/>
      <c r="V44" s="17"/>
      <c r="W44" s="16"/>
      <c r="X44" s="17"/>
      <c r="Y44" s="16"/>
      <c r="Z44" s="17"/>
      <c r="AA44" s="16"/>
      <c r="AB44" s="17"/>
      <c r="AC44" s="16">
        <v>55000</v>
      </c>
      <c r="AD44" s="17">
        <v>54620</v>
      </c>
      <c r="AE44" s="16">
        <v>70000</v>
      </c>
      <c r="AF44" s="78">
        <v>70025</v>
      </c>
      <c r="AG44" s="16">
        <v>65000</v>
      </c>
      <c r="AH44" s="79">
        <v>70020</v>
      </c>
      <c r="AI44" s="16">
        <v>54000</v>
      </c>
      <c r="AJ44" s="19"/>
      <c r="AK44" s="16"/>
      <c r="AL44" s="17"/>
      <c r="AM44" s="16"/>
      <c r="AN44" s="20"/>
      <c r="AO44" s="21"/>
      <c r="AP44" s="17"/>
      <c r="AQ44" s="2" t="str">
        <f t="shared" si="9"/>
        <v/>
      </c>
      <c r="AR44" s="22"/>
      <c r="AS44" s="22"/>
      <c r="AT44" s="22"/>
    </row>
    <row r="45" spans="1:46" ht="14.25" customHeight="1" x14ac:dyDescent="0.25">
      <c r="A45" s="2" t="str">
        <f>+_xlfn.XLOOKUP(B45,'[1]Proyectos (NO FILTRAR)'!$F:$F,'[1]Proyectos (NO FILTRAR)'!$B:$B,0,0,1)</f>
        <v>CH-CMP-OP-FEL00-155-A</v>
      </c>
      <c r="B45" s="32" t="s">
        <v>201</v>
      </c>
      <c r="C45" s="7" t="str">
        <f>+_xlfn.XLOOKUP(A45,'[1]Proyectos (NO FILTRAR)'!$B:$B,'[1]Proyectos (NO FILTRAR)'!$G:$G,"error",0,1)</f>
        <v>Chile</v>
      </c>
      <c r="D45" s="7">
        <v>2025</v>
      </c>
      <c r="E45" s="7" t="s">
        <v>230</v>
      </c>
      <c r="F45" s="7" t="s">
        <v>165</v>
      </c>
      <c r="G45" s="8"/>
      <c r="H45" s="8"/>
      <c r="I45" s="9">
        <f>+_xlfn.XLOOKUP(B45,'[1]Proyectos (NO FILTRAR)'!$F:$F,'[1]Proyectos (NO FILTRAR)'!$O:$O,"!",0,1)</f>
        <v>20733</v>
      </c>
      <c r="J45" s="10">
        <f t="shared" si="7"/>
        <v>5398</v>
      </c>
      <c r="K45" s="11">
        <f t="shared" si="2"/>
        <v>0.26035788356725992</v>
      </c>
      <c r="L45" s="12">
        <f t="shared" si="3"/>
        <v>15335</v>
      </c>
      <c r="M45" s="13">
        <f t="shared" si="4"/>
        <v>0.73964211643274003</v>
      </c>
      <c r="N45" s="14">
        <f t="shared" si="8"/>
        <v>20398</v>
      </c>
      <c r="O45" s="13">
        <f t="shared" si="5"/>
        <v>0.98384218395794143</v>
      </c>
      <c r="P45" s="14">
        <f t="shared" si="6"/>
        <v>335</v>
      </c>
      <c r="Q45" s="15"/>
      <c r="R45" s="15"/>
      <c r="S45" s="16"/>
      <c r="T45" s="17"/>
      <c r="U45" s="16"/>
      <c r="V45" s="17"/>
      <c r="W45" s="16"/>
      <c r="X45" s="17"/>
      <c r="Y45" s="16"/>
      <c r="Z45" s="17"/>
      <c r="AA45" s="16"/>
      <c r="AB45" s="17"/>
      <c r="AC45" s="16"/>
      <c r="AD45" s="24">
        <v>5398</v>
      </c>
      <c r="AE45" s="16">
        <v>15389.59</v>
      </c>
      <c r="AF45" s="78"/>
      <c r="AG45" s="16">
        <v>6679.6900000000005</v>
      </c>
      <c r="AH45" s="17"/>
      <c r="AI45" s="16">
        <v>15000</v>
      </c>
      <c r="AJ45" s="19"/>
      <c r="AK45" s="16"/>
      <c r="AL45" s="17"/>
      <c r="AM45" s="16"/>
      <c r="AN45" s="20"/>
      <c r="AO45" s="21"/>
      <c r="AP45" s="17"/>
      <c r="AR45" s="22"/>
      <c r="AS45" s="22"/>
      <c r="AT45" s="22"/>
    </row>
    <row r="46" spans="1:46" ht="14.25" customHeight="1" x14ac:dyDescent="0.25">
      <c r="A46" s="2" t="str">
        <f>+_xlfn.XLOOKUP(B46,'[1]Proyectos (NO FILTRAR)'!$F:$F,'[1]Proyectos (NO FILTRAR)'!$B:$B,0,0,1)</f>
        <v>PE-ALP-GM-FEL00-156-A</v>
      </c>
      <c r="B46" s="23" t="s">
        <v>199</v>
      </c>
      <c r="C46" s="7" t="str">
        <f>+_xlfn.XLOOKUP(A46,'[1]Proyectos (NO FILTRAR)'!$B:$B,'[1]Proyectos (NO FILTRAR)'!$G:$G,"error",0,1)</f>
        <v>Perú</v>
      </c>
      <c r="D46" s="7">
        <v>2025</v>
      </c>
      <c r="E46" s="7" t="s">
        <v>231</v>
      </c>
      <c r="F46" s="7" t="s">
        <v>176</v>
      </c>
      <c r="G46" s="8"/>
      <c r="H46" s="8"/>
      <c r="I46" s="9">
        <f>+_xlfn.XLOOKUP(B46,'[1]Proyectos (NO FILTRAR)'!$F:$F,'[1]Proyectos (NO FILTRAR)'!$O:$O,"!",0,1)</f>
        <v>187619</v>
      </c>
      <c r="J46" s="10">
        <f t="shared" si="7"/>
        <v>28234</v>
      </c>
      <c r="K46" s="11">
        <f t="shared" si="2"/>
        <v>0.15048582499640228</v>
      </c>
      <c r="L46" s="12">
        <f t="shared" si="3"/>
        <v>159385</v>
      </c>
      <c r="M46" s="13">
        <f t="shared" si="4"/>
        <v>0.84951417500359772</v>
      </c>
      <c r="N46" s="14">
        <f t="shared" si="8"/>
        <v>52354</v>
      </c>
      <c r="O46" s="13">
        <f t="shared" si="5"/>
        <v>0.2790442332599577</v>
      </c>
      <c r="P46" s="14">
        <f t="shared" si="6"/>
        <v>135265</v>
      </c>
      <c r="Q46" s="15"/>
      <c r="R46" s="15"/>
      <c r="S46" s="16"/>
      <c r="T46" s="17"/>
      <c r="U46" s="16"/>
      <c r="V46" s="17"/>
      <c r="W46" s="16"/>
      <c r="X46" s="17"/>
      <c r="Y46" s="16"/>
      <c r="Z46" s="17"/>
      <c r="AA46" s="16"/>
      <c r="AB46" s="17"/>
      <c r="AC46" s="16"/>
      <c r="AD46" s="17"/>
      <c r="AE46" s="16">
        <v>15000</v>
      </c>
      <c r="AF46" s="78">
        <v>14455</v>
      </c>
      <c r="AG46" s="16">
        <v>31000</v>
      </c>
      <c r="AH46" s="79">
        <v>13779</v>
      </c>
      <c r="AI46" s="16">
        <v>24120</v>
      </c>
      <c r="AJ46" s="19"/>
      <c r="AK46" s="16"/>
      <c r="AL46" s="17"/>
      <c r="AM46" s="16"/>
      <c r="AN46" s="20"/>
      <c r="AO46" s="21"/>
      <c r="AP46" s="17"/>
      <c r="AR46" s="22"/>
      <c r="AS46" s="22"/>
      <c r="AT46" s="22"/>
    </row>
    <row r="47" spans="1:46" ht="14.25" customHeight="1" x14ac:dyDescent="0.25">
      <c r="A47" s="2" t="str">
        <f>+_xlfn.XLOOKUP(B47,'[1]Proyectos (NO FILTRAR)'!$F:$F,'[1]Proyectos (NO FILTRAR)'!$B:$B,0,0,1)</f>
        <v>PE-VLC-GM-FEL00-157-A</v>
      </c>
      <c r="B47" s="23" t="s">
        <v>200</v>
      </c>
      <c r="C47" s="7" t="str">
        <f>+_xlfn.XLOOKUP(A47,'[1]Proyectos (NO FILTRAR)'!$B:$B,'[1]Proyectos (NO FILTRAR)'!$G:$G,"error",0,1)</f>
        <v>Perú</v>
      </c>
      <c r="D47" s="7">
        <v>2025</v>
      </c>
      <c r="E47" s="7" t="s">
        <v>231</v>
      </c>
      <c r="F47" s="7" t="s">
        <v>176</v>
      </c>
      <c r="G47" s="8"/>
      <c r="H47" s="8"/>
      <c r="I47" s="9">
        <f>+_xlfn.XLOOKUP(B47,'[1]Proyectos (NO FILTRAR)'!$F:$F,'[1]Proyectos (NO FILTRAR)'!$O:$O,"!",0,1)</f>
        <v>24440</v>
      </c>
      <c r="J47" s="10">
        <f t="shared" si="7"/>
        <v>24440</v>
      </c>
      <c r="K47" s="11">
        <f t="shared" si="2"/>
        <v>1</v>
      </c>
      <c r="L47" s="12">
        <f t="shared" si="3"/>
        <v>0</v>
      </c>
      <c r="M47" s="13">
        <f t="shared" si="4"/>
        <v>0</v>
      </c>
      <c r="N47" s="14">
        <f t="shared" si="8"/>
        <v>48840</v>
      </c>
      <c r="O47" s="13">
        <f t="shared" si="5"/>
        <v>1.9983633387888706</v>
      </c>
      <c r="P47" s="14">
        <f t="shared" si="6"/>
        <v>-24400</v>
      </c>
      <c r="Q47" s="15"/>
      <c r="R47" s="15"/>
      <c r="S47" s="16"/>
      <c r="T47" s="17"/>
      <c r="U47" s="16"/>
      <c r="V47" s="17"/>
      <c r="W47" s="16"/>
      <c r="X47" s="17"/>
      <c r="Y47" s="16"/>
      <c r="Z47" s="17"/>
      <c r="AA47" s="16"/>
      <c r="AB47" s="17"/>
      <c r="AC47" s="16"/>
      <c r="AD47" s="17"/>
      <c r="AE47" s="16">
        <v>24440</v>
      </c>
      <c r="AF47" s="17"/>
      <c r="AG47" s="16">
        <v>24440</v>
      </c>
      <c r="AH47" s="17"/>
      <c r="AI47" s="16">
        <v>24400</v>
      </c>
      <c r="AJ47" s="19">
        <v>24440</v>
      </c>
      <c r="AK47" s="16"/>
      <c r="AL47" s="17"/>
      <c r="AM47" s="16"/>
      <c r="AN47" s="20"/>
      <c r="AO47" s="21"/>
      <c r="AP47" s="17"/>
      <c r="AR47" s="22"/>
      <c r="AS47" s="22"/>
      <c r="AT47" s="22"/>
    </row>
    <row r="48" spans="1:46" ht="14.25" customHeight="1" x14ac:dyDescent="0.25">
      <c r="A48" s="80" t="str">
        <f>+_xlfn.XLOOKUP(B48,'[1]Proyectos (NO FILTRAR)'!$F:$F,'[1]Proyectos (NO FILTRAR)'!$B:$B,0,0,1)</f>
        <v>BR-TAB-OP-FEL00-158-A</v>
      </c>
      <c r="B48" s="23" t="s">
        <v>202</v>
      </c>
      <c r="C48" s="7" t="str">
        <f>+_xlfn.XLOOKUP(A48,'[1]Proyectos (NO FILTRAR)'!$B:$B,'[1]Proyectos (NO FILTRAR)'!$G:$G,"error",0,1)</f>
        <v>Brasil</v>
      </c>
      <c r="D48" s="7">
        <v>2025</v>
      </c>
      <c r="E48" s="7" t="s">
        <v>231</v>
      </c>
      <c r="F48" s="7" t="s">
        <v>182</v>
      </c>
      <c r="G48" s="8"/>
      <c r="H48" s="8"/>
      <c r="I48" s="9">
        <f>+_xlfn.XLOOKUP(B48,'[1]Proyectos (NO FILTRAR)'!$F:$F,'[1]Proyectos (NO FILTRAR)'!$O:$O,"!",0,1)</f>
        <v>180000</v>
      </c>
      <c r="J48" s="10">
        <f t="shared" si="7"/>
        <v>180000</v>
      </c>
      <c r="K48" s="11">
        <f t="shared" si="2"/>
        <v>1</v>
      </c>
      <c r="L48" s="12">
        <f t="shared" si="3"/>
        <v>0</v>
      </c>
      <c r="M48" s="13">
        <f t="shared" si="4"/>
        <v>0</v>
      </c>
      <c r="N48" s="14">
        <f t="shared" si="8"/>
        <v>211880</v>
      </c>
      <c r="O48" s="13">
        <f t="shared" si="5"/>
        <v>1.1771111111111112</v>
      </c>
      <c r="P48" s="14">
        <f t="shared" si="6"/>
        <v>-31880</v>
      </c>
      <c r="Q48" s="15"/>
      <c r="R48" s="15"/>
      <c r="S48" s="16"/>
      <c r="T48" s="17"/>
      <c r="U48" s="16"/>
      <c r="V48" s="17"/>
      <c r="W48" s="16"/>
      <c r="X48" s="17"/>
      <c r="Y48" s="16"/>
      <c r="Z48" s="17"/>
      <c r="AA48" s="16"/>
      <c r="AB48" s="17"/>
      <c r="AC48" s="16"/>
      <c r="AD48" s="17"/>
      <c r="AE48" s="16">
        <v>20000</v>
      </c>
      <c r="AF48" s="78">
        <v>40750</v>
      </c>
      <c r="AG48" s="16">
        <v>95000</v>
      </c>
      <c r="AH48" s="79">
        <v>107370</v>
      </c>
      <c r="AI48" s="16">
        <v>31880</v>
      </c>
      <c r="AJ48" s="79">
        <v>31880</v>
      </c>
      <c r="AK48" s="16"/>
      <c r="AL48" s="17"/>
      <c r="AM48" s="16"/>
      <c r="AN48" s="20"/>
      <c r="AO48" s="21"/>
      <c r="AP48" s="17"/>
      <c r="AR48" s="22"/>
      <c r="AS48" s="22"/>
      <c r="AT48" s="22"/>
    </row>
    <row r="49" spans="1:46" ht="14.25" customHeight="1" x14ac:dyDescent="0.25">
      <c r="A49" s="2" t="str">
        <f>+_xlfn.XLOOKUP(B49,'[1]Proyectos (NO FILTRAR)'!$F:$F,'[1]Proyectos (NO FILTRAR)'!$B:$B,0,0,1)</f>
        <v>CH-CCO-CS-OTR00-159-A</v>
      </c>
      <c r="B49" s="23" t="s">
        <v>203</v>
      </c>
      <c r="C49" s="7" t="str">
        <f>+_xlfn.XLOOKUP(A49,'[1]Proyectos (NO FILTRAR)'!$B:$B,'[1]Proyectos (NO FILTRAR)'!$G:$G,"error",0,1)</f>
        <v>Chile</v>
      </c>
      <c r="D49" s="7">
        <v>2025</v>
      </c>
      <c r="E49" s="7" t="s">
        <v>231</v>
      </c>
      <c r="F49" s="7" t="s">
        <v>174</v>
      </c>
      <c r="G49" s="8"/>
      <c r="H49" s="8"/>
      <c r="I49" s="9">
        <f>+_xlfn.XLOOKUP(B49,'[1]Proyectos (NO FILTRAR)'!$F:$F,'[1]Proyectos (NO FILTRAR)'!$O:$O,"!",0,1)</f>
        <v>148281</v>
      </c>
      <c r="J49" s="10">
        <f t="shared" si="7"/>
        <v>88297</v>
      </c>
      <c r="K49" s="11">
        <f t="shared" si="2"/>
        <v>0.59547076159454004</v>
      </c>
      <c r="L49" s="12">
        <f t="shared" si="3"/>
        <v>59984</v>
      </c>
      <c r="M49" s="13">
        <f t="shared" si="4"/>
        <v>0.4045292384054599</v>
      </c>
      <c r="N49" s="14">
        <f t="shared" si="8"/>
        <v>138297</v>
      </c>
      <c r="O49" s="13">
        <f t="shared" si="5"/>
        <v>0.93266837963056626</v>
      </c>
      <c r="P49" s="14">
        <f t="shared" si="6"/>
        <v>9984</v>
      </c>
      <c r="Q49" s="15"/>
      <c r="R49" s="15"/>
      <c r="S49" s="16"/>
      <c r="T49" s="17"/>
      <c r="U49" s="16"/>
      <c r="V49" s="17"/>
      <c r="W49" s="16"/>
      <c r="X49" s="17"/>
      <c r="Y49" s="16"/>
      <c r="Z49" s="17"/>
      <c r="AA49" s="16"/>
      <c r="AB49" s="17"/>
      <c r="AC49" s="16"/>
      <c r="AD49" s="17"/>
      <c r="AE49" s="16">
        <v>20000</v>
      </c>
      <c r="AF49" s="17"/>
      <c r="AG49" s="16">
        <v>60000</v>
      </c>
      <c r="AH49" s="79">
        <v>39515</v>
      </c>
      <c r="AI49" s="16">
        <v>50000</v>
      </c>
      <c r="AJ49" s="19">
        <v>48782</v>
      </c>
      <c r="AK49" s="16"/>
      <c r="AL49" s="17"/>
      <c r="AM49" s="16"/>
      <c r="AN49" s="20"/>
      <c r="AO49" s="21"/>
      <c r="AP49" s="17"/>
      <c r="AR49" s="22"/>
      <c r="AS49" s="22"/>
      <c r="AT49" s="22"/>
    </row>
    <row r="50" spans="1:46" ht="14.25" customHeight="1" x14ac:dyDescent="0.25">
      <c r="A50" s="2" t="str">
        <f>+_xlfn.XLOOKUP(B50,'[1]Proyectos (NO FILTRAR)'!$F:$F,'[1]Proyectos (NO FILTRAR)'!$B:$B,0,0,1)</f>
        <v>PE-SPM-UG-FEL03-160-A</v>
      </c>
      <c r="B50" s="23" t="s">
        <v>198</v>
      </c>
      <c r="C50" s="7" t="str">
        <f>+_xlfn.XLOOKUP(A50,'[1]Proyectos (NO FILTRAR)'!$B:$B,'[1]Proyectos (NO FILTRAR)'!$G:$G,"error",0,1)</f>
        <v>Perú</v>
      </c>
      <c r="D50" s="7">
        <v>2025</v>
      </c>
      <c r="E50" s="7" t="s">
        <v>231</v>
      </c>
      <c r="F50" s="29" t="s">
        <v>232</v>
      </c>
      <c r="G50" s="8"/>
      <c r="H50" s="8"/>
      <c r="I50" s="9">
        <f>+_xlfn.XLOOKUP(B50,'[1]Proyectos (NO FILTRAR)'!$F:$F,'[1]Proyectos (NO FILTRAR)'!$O:$O,"!",0,1)</f>
        <v>99244</v>
      </c>
      <c r="J50" s="10">
        <f t="shared" si="7"/>
        <v>0</v>
      </c>
      <c r="K50" s="11">
        <f t="shared" si="2"/>
        <v>0</v>
      </c>
      <c r="L50" s="12">
        <f t="shared" si="3"/>
        <v>99244</v>
      </c>
      <c r="M50" s="13">
        <f t="shared" si="4"/>
        <v>1</v>
      </c>
      <c r="N50" s="14">
        <f t="shared" si="8"/>
        <v>30000</v>
      </c>
      <c r="O50" s="13">
        <f t="shared" si="5"/>
        <v>0.30228527669178995</v>
      </c>
      <c r="P50" s="14">
        <f t="shared" si="6"/>
        <v>69244</v>
      </c>
      <c r="Q50" s="15"/>
      <c r="R50" s="15"/>
      <c r="S50" s="16"/>
      <c r="T50" s="17"/>
      <c r="U50" s="16"/>
      <c r="V50" s="17"/>
      <c r="W50" s="16"/>
      <c r="X50" s="17"/>
      <c r="Y50" s="16"/>
      <c r="Z50" s="17"/>
      <c r="AA50" s="16"/>
      <c r="AB50" s="17"/>
      <c r="AC50" s="16"/>
      <c r="AD50" s="17"/>
      <c r="AE50" s="16">
        <v>30000</v>
      </c>
      <c r="AF50" s="17"/>
      <c r="AG50" s="16">
        <v>30000</v>
      </c>
      <c r="AH50" s="17"/>
      <c r="AI50" s="16">
        <v>30000</v>
      </c>
      <c r="AJ50" s="19"/>
      <c r="AK50" s="16"/>
      <c r="AL50" s="17"/>
      <c r="AM50" s="16"/>
      <c r="AN50" s="20"/>
      <c r="AO50" s="21"/>
      <c r="AP50" s="17"/>
      <c r="AR50" s="22"/>
      <c r="AS50" s="22"/>
      <c r="AT50" s="22"/>
    </row>
    <row r="51" spans="1:46" ht="14.25" customHeight="1" x14ac:dyDescent="0.25">
      <c r="A51" s="80" t="str">
        <f>+_xlfn.XLOOKUP(B51,'[1]Proyectos (NO FILTRAR)'!$F:$F,'[1]Proyectos (NO FILTRAR)'!$B:$B,0,0,1)</f>
        <v>BR-LHG-UG-OTR00-161-A</v>
      </c>
      <c r="B51" s="23" t="s">
        <v>204</v>
      </c>
      <c r="C51" s="7" t="str">
        <f>+_xlfn.XLOOKUP(A51,'[1]Proyectos (NO FILTRAR)'!$B:$B,'[1]Proyectos (NO FILTRAR)'!$G:$G,"error",0,1)</f>
        <v>Brasil</v>
      </c>
      <c r="D51" s="7">
        <v>2025</v>
      </c>
      <c r="E51" s="7" t="s">
        <v>231</v>
      </c>
      <c r="F51" s="7" t="s">
        <v>184</v>
      </c>
      <c r="G51" s="8"/>
      <c r="H51" s="8"/>
      <c r="I51" s="9">
        <f>+_xlfn.XLOOKUP(B51,'[1]Proyectos (NO FILTRAR)'!$F:$F,'[1]Proyectos (NO FILTRAR)'!$O:$O,"!",0,1)</f>
        <v>113137</v>
      </c>
      <c r="J51" s="10">
        <f t="shared" si="7"/>
        <v>74379</v>
      </c>
      <c r="K51" s="11">
        <f t="shared" si="2"/>
        <v>0.65742418483785148</v>
      </c>
      <c r="L51" s="12">
        <f t="shared" si="3"/>
        <v>38758</v>
      </c>
      <c r="M51" s="13">
        <f t="shared" si="4"/>
        <v>0.34257581516214852</v>
      </c>
      <c r="N51" s="14">
        <f t="shared" si="8"/>
        <v>104379</v>
      </c>
      <c r="O51" s="13">
        <f t="shared" si="5"/>
        <v>0.92258942697791169</v>
      </c>
      <c r="P51" s="14">
        <f t="shared" si="6"/>
        <v>8758</v>
      </c>
      <c r="Q51" s="15"/>
      <c r="R51" s="15"/>
      <c r="S51" s="16"/>
      <c r="T51" s="17"/>
      <c r="U51" s="16"/>
      <c r="V51" s="17"/>
      <c r="W51" s="16"/>
      <c r="X51" s="17"/>
      <c r="Y51" s="16"/>
      <c r="Z51" s="17"/>
      <c r="AA51" s="16"/>
      <c r="AB51" s="17"/>
      <c r="AC51" s="16"/>
      <c r="AD51" s="17"/>
      <c r="AE51" s="16"/>
      <c r="AF51" s="17"/>
      <c r="AG51" s="16">
        <v>50000</v>
      </c>
      <c r="AH51" s="79">
        <v>35225</v>
      </c>
      <c r="AI51" s="16">
        <v>30000</v>
      </c>
      <c r="AJ51" s="79">
        <v>39154</v>
      </c>
      <c r="AK51" s="16"/>
      <c r="AL51" s="17"/>
      <c r="AM51" s="16"/>
      <c r="AN51" s="20"/>
      <c r="AO51" s="21"/>
      <c r="AP51" s="17"/>
      <c r="AR51" s="22"/>
      <c r="AS51" s="22"/>
      <c r="AT51" s="22"/>
    </row>
    <row r="52" spans="1:46" ht="14.25" customHeight="1" x14ac:dyDescent="0.25">
      <c r="A52" s="80" t="str">
        <f>+_xlfn.XLOOKUP(B52,'[1]Proyectos (NO FILTRAR)'!$F:$F,'[1]Proyectos (NO FILTRAR)'!$B:$B,0,0,1)</f>
        <v>BR-CBM-CS-OTR00-164-A</v>
      </c>
      <c r="B52" s="23" t="s">
        <v>205</v>
      </c>
      <c r="C52" s="7" t="str">
        <f>+_xlfn.XLOOKUP(A52,'[1]Proyectos (NO FILTRAR)'!$B:$B,'[1]Proyectos (NO FILTRAR)'!$G:$G,"error",0,1)</f>
        <v>Brasil</v>
      </c>
      <c r="D52" s="7">
        <v>2025</v>
      </c>
      <c r="E52" s="7" t="s">
        <v>231</v>
      </c>
      <c r="F52" s="7" t="s">
        <v>170</v>
      </c>
      <c r="G52" s="8"/>
      <c r="H52" s="8"/>
      <c r="I52" s="9">
        <f>+_xlfn.XLOOKUP(B52,'[1]Proyectos (NO FILTRAR)'!$F:$F,'[1]Proyectos (NO FILTRAR)'!$O:$O,"!",0,1)</f>
        <v>72301</v>
      </c>
      <c r="J52" s="10">
        <f t="shared" si="7"/>
        <v>28949</v>
      </c>
      <c r="K52" s="11">
        <f t="shared" si="2"/>
        <v>0.40039556852602315</v>
      </c>
      <c r="L52" s="12">
        <f t="shared" si="3"/>
        <v>43352</v>
      </c>
      <c r="M52" s="13">
        <f t="shared" si="4"/>
        <v>0.5996044314739768</v>
      </c>
      <c r="N52" s="14">
        <f t="shared" si="8"/>
        <v>53540.928915662647</v>
      </c>
      <c r="O52" s="13">
        <f t="shared" si="5"/>
        <v>0.7405281934643041</v>
      </c>
      <c r="P52" s="14">
        <f t="shared" si="6"/>
        <v>18760.071084337353</v>
      </c>
      <c r="Q52" s="15"/>
      <c r="R52" s="15"/>
      <c r="S52" s="16"/>
      <c r="T52" s="17"/>
      <c r="U52" s="16"/>
      <c r="V52" s="17"/>
      <c r="W52" s="16"/>
      <c r="X52" s="17"/>
      <c r="Y52" s="16"/>
      <c r="Z52" s="17"/>
      <c r="AA52" s="16"/>
      <c r="AB52" s="17"/>
      <c r="AC52" s="16"/>
      <c r="AD52" s="17"/>
      <c r="AE52" s="16"/>
      <c r="AF52" s="17"/>
      <c r="AG52" s="16">
        <v>26162</v>
      </c>
      <c r="AH52" s="17">
        <v>0</v>
      </c>
      <c r="AI52" s="16">
        <v>24591.928915662651</v>
      </c>
      <c r="AJ52" s="79">
        <v>28949</v>
      </c>
      <c r="AK52" s="16"/>
      <c r="AL52" s="17"/>
      <c r="AM52" s="16"/>
      <c r="AN52" s="20"/>
      <c r="AO52" s="21"/>
      <c r="AP52" s="17"/>
      <c r="AR52" s="22"/>
      <c r="AS52" s="22"/>
      <c r="AT52" s="22"/>
    </row>
    <row r="53" spans="1:46" ht="14.25" customHeight="1" x14ac:dyDescent="0.25">
      <c r="A53" s="2" t="str">
        <f>+_xlfn.XLOOKUP(B53,'[1]Proyectos (NO FILTRAR)'!$F:$F,'[1]Proyectos (NO FILTRAR)'!$B:$B,0,0,1)</f>
        <v>CH-AMS-CS-OTR00-165-A</v>
      </c>
      <c r="B53" s="23" t="s">
        <v>206</v>
      </c>
      <c r="C53" s="7" t="str">
        <f>+_xlfn.XLOOKUP(A53,'[1]Proyectos (NO FILTRAR)'!$B:$B,'[1]Proyectos (NO FILTRAR)'!$G:$G,"error",0,1)</f>
        <v>Chile</v>
      </c>
      <c r="D53" s="7">
        <v>2025</v>
      </c>
      <c r="E53" s="7" t="s">
        <v>231</v>
      </c>
      <c r="F53" s="7" t="s">
        <v>165</v>
      </c>
      <c r="G53" s="8"/>
      <c r="H53" s="8"/>
      <c r="I53" s="9">
        <f>+_xlfn.XLOOKUP(B53,'[1]Proyectos (NO FILTRAR)'!$F:$F,'[1]Proyectos (NO FILTRAR)'!$O:$O,"!",0,1)</f>
        <v>80125</v>
      </c>
      <c r="J53" s="10">
        <f t="shared" si="7"/>
        <v>0</v>
      </c>
      <c r="K53" s="11">
        <f t="shared" si="2"/>
        <v>0</v>
      </c>
      <c r="L53" s="12">
        <f t="shared" si="3"/>
        <v>80125</v>
      </c>
      <c r="M53" s="13">
        <f t="shared" si="4"/>
        <v>1</v>
      </c>
      <c r="N53" s="14">
        <f t="shared" si="8"/>
        <v>45000</v>
      </c>
      <c r="O53" s="13">
        <f t="shared" si="5"/>
        <v>0.56162246489859591</v>
      </c>
      <c r="P53" s="14">
        <f t="shared" si="6"/>
        <v>35125</v>
      </c>
      <c r="Q53" s="15"/>
      <c r="R53" s="15"/>
      <c r="S53" s="16"/>
      <c r="T53" s="17"/>
      <c r="U53" s="16"/>
      <c r="V53" s="17"/>
      <c r="W53" s="16"/>
      <c r="X53" s="17"/>
      <c r="Y53" s="16"/>
      <c r="Z53" s="17"/>
      <c r="AA53" s="16"/>
      <c r="AB53" s="17"/>
      <c r="AC53" s="16"/>
      <c r="AD53" s="17"/>
      <c r="AE53" s="16"/>
      <c r="AF53" s="17"/>
      <c r="AG53" s="16">
        <v>35000</v>
      </c>
      <c r="AH53" s="17"/>
      <c r="AI53" s="16">
        <v>45000</v>
      </c>
      <c r="AJ53" s="19"/>
      <c r="AK53" s="16"/>
      <c r="AL53" s="17"/>
      <c r="AM53" s="16"/>
      <c r="AN53" s="20"/>
      <c r="AO53" s="21"/>
      <c r="AP53" s="17"/>
      <c r="AR53" s="22"/>
      <c r="AS53" s="22"/>
      <c r="AT53" s="22"/>
    </row>
    <row r="54" spans="1:46" ht="14.25" customHeight="1" x14ac:dyDescent="0.25">
      <c r="A54" s="2" t="str">
        <f>+_xlfn.XLOOKUP(B54,'[1]Proyectos (NO FILTRAR)'!$F:$F,'[1]Proyectos (NO FILTRAR)'!$B:$B,0,0,1)</f>
        <v>PE-VLC-GM-FEL00-166-A</v>
      </c>
      <c r="B54" s="23" t="s">
        <v>207</v>
      </c>
      <c r="C54" s="7" t="str">
        <f>+_xlfn.XLOOKUP(A54,'[1]Proyectos (NO FILTRAR)'!$B:$B,'[1]Proyectos (NO FILTRAR)'!$G:$G,"error",0,1)</f>
        <v>Perú</v>
      </c>
      <c r="D54" s="7">
        <v>2025</v>
      </c>
      <c r="E54" s="7" t="s">
        <v>231</v>
      </c>
      <c r="F54" s="7" t="s">
        <v>176</v>
      </c>
      <c r="G54" s="8"/>
      <c r="H54" s="8"/>
      <c r="I54" s="9">
        <f>+_xlfn.XLOOKUP(B54,'[1]Proyectos (NO FILTRAR)'!$F:$F,'[1]Proyectos (NO FILTRAR)'!$O:$O,"!",0,1)</f>
        <v>38209</v>
      </c>
      <c r="J54" s="10">
        <f t="shared" si="7"/>
        <v>34388.1</v>
      </c>
      <c r="K54" s="11">
        <f t="shared" si="2"/>
        <v>0.89999999999999991</v>
      </c>
      <c r="L54" s="12">
        <f t="shared" si="3"/>
        <v>3820.9000000000015</v>
      </c>
      <c r="M54" s="13">
        <f t="shared" si="4"/>
        <v>0.10000000000000003</v>
      </c>
      <c r="N54" s="14">
        <f t="shared" si="8"/>
        <v>37888.1</v>
      </c>
      <c r="O54" s="13">
        <f t="shared" si="5"/>
        <v>0.99160145515454468</v>
      </c>
      <c r="P54" s="14">
        <f t="shared" si="6"/>
        <v>320.90000000000146</v>
      </c>
      <c r="Q54" s="15"/>
      <c r="R54" s="15"/>
      <c r="S54" s="16"/>
      <c r="T54" s="17"/>
      <c r="U54" s="16"/>
      <c r="V54" s="17"/>
      <c r="W54" s="16"/>
      <c r="X54" s="17"/>
      <c r="Y54" s="16"/>
      <c r="Z54" s="17"/>
      <c r="AA54" s="16"/>
      <c r="AB54" s="17"/>
      <c r="AC54" s="16"/>
      <c r="AD54" s="17"/>
      <c r="AE54" s="16"/>
      <c r="AF54" s="17"/>
      <c r="AG54" s="16">
        <v>19000</v>
      </c>
      <c r="AH54" s="79">
        <v>34388.1</v>
      </c>
      <c r="AI54" s="16">
        <v>3500</v>
      </c>
      <c r="AJ54" s="19"/>
      <c r="AK54" s="16"/>
      <c r="AL54" s="17"/>
      <c r="AM54" s="16"/>
      <c r="AN54" s="20"/>
      <c r="AO54" s="21"/>
      <c r="AP54" s="17"/>
      <c r="AR54" s="22"/>
      <c r="AS54" s="22"/>
      <c r="AT54" s="22"/>
    </row>
    <row r="55" spans="1:46" ht="14.25" customHeight="1" x14ac:dyDescent="0.25">
      <c r="A55" s="2" t="str">
        <f>+_xlfn.XLOOKUP(B55,'[1]Proyectos (NO FILTRAR)'!$F:$F,'[1]Proyectos (NO FILTRAR)'!$B:$B,0,0,1)</f>
        <v>PE-NEX-GM-FEL00-167-A</v>
      </c>
      <c r="B55" s="23" t="s">
        <v>208</v>
      </c>
      <c r="C55" s="7" t="str">
        <f>+_xlfn.XLOOKUP(A55,'[1]Proyectos (NO FILTRAR)'!$B:$B,'[1]Proyectos (NO FILTRAR)'!$G:$G,"error",0,1)</f>
        <v>Perú</v>
      </c>
      <c r="D55" s="7">
        <v>2025</v>
      </c>
      <c r="E55" s="7" t="s">
        <v>231</v>
      </c>
      <c r="F55" s="7" t="s">
        <v>176</v>
      </c>
      <c r="G55" s="8"/>
      <c r="H55" s="8"/>
      <c r="I55" s="9">
        <f>+_xlfn.XLOOKUP(B55,'[1]Proyectos (NO FILTRAR)'!$F:$F,'[1]Proyectos (NO FILTRAR)'!$O:$O,"!",0,1)</f>
        <v>80283</v>
      </c>
      <c r="J55" s="10">
        <f t="shared" si="7"/>
        <v>0</v>
      </c>
      <c r="K55" s="11">
        <f t="shared" si="2"/>
        <v>0</v>
      </c>
      <c r="L55" s="12">
        <f t="shared" si="3"/>
        <v>80283</v>
      </c>
      <c r="M55" s="13">
        <f t="shared" si="4"/>
        <v>1</v>
      </c>
      <c r="N55" s="14">
        <f t="shared" si="8"/>
        <v>20000</v>
      </c>
      <c r="O55" s="13">
        <f t="shared" si="5"/>
        <v>0.24911874244858812</v>
      </c>
      <c r="P55" s="14">
        <f t="shared" si="6"/>
        <v>60283</v>
      </c>
      <c r="Q55" s="15"/>
      <c r="R55" s="15"/>
      <c r="S55" s="16"/>
      <c r="T55" s="17"/>
      <c r="U55" s="16"/>
      <c r="V55" s="17"/>
      <c r="W55" s="16"/>
      <c r="X55" s="17"/>
      <c r="Y55" s="16"/>
      <c r="Z55" s="17"/>
      <c r="AA55" s="16"/>
      <c r="AB55" s="17"/>
      <c r="AC55" s="16"/>
      <c r="AD55" s="17"/>
      <c r="AE55" s="16"/>
      <c r="AF55" s="17"/>
      <c r="AG55" s="16">
        <v>20000</v>
      </c>
      <c r="AH55" s="17">
        <v>0</v>
      </c>
      <c r="AI55" s="16">
        <v>20000</v>
      </c>
      <c r="AJ55" s="19"/>
      <c r="AK55" s="16"/>
      <c r="AL55" s="17"/>
      <c r="AM55" s="16"/>
      <c r="AN55" s="20"/>
      <c r="AO55" s="21"/>
      <c r="AP55" s="17"/>
      <c r="AR55" s="22"/>
      <c r="AS55" s="22"/>
      <c r="AT55" s="22"/>
    </row>
    <row r="56" spans="1:46" ht="14.25" customHeight="1" x14ac:dyDescent="0.25">
      <c r="A56" s="2" t="str">
        <f>+_xlfn.XLOOKUP(B56,'[1]Proyectos (NO FILTRAR)'!$F:$F,'[1]Proyectos (NO FILTRAR)'!$B:$B,0,0,1)</f>
        <v>PE-MSR-UG-OTR00-162-A</v>
      </c>
      <c r="B56" s="23" t="s">
        <v>197</v>
      </c>
      <c r="C56" s="7" t="str">
        <f>+_xlfn.XLOOKUP(A56,'[1]Proyectos (NO FILTRAR)'!$B:$B,'[1]Proyectos (NO FILTRAR)'!$G:$G,"error",0,1)</f>
        <v>Perú</v>
      </c>
      <c r="D56" s="7">
        <v>2025</v>
      </c>
      <c r="E56" s="7" t="s">
        <v>231</v>
      </c>
      <c r="F56" s="7" t="s">
        <v>179</v>
      </c>
      <c r="G56" s="8"/>
      <c r="H56" s="8"/>
      <c r="I56" s="9">
        <f>+_xlfn.XLOOKUP(B56,'[1]Proyectos (NO FILTRAR)'!$F:$F,'[1]Proyectos (NO FILTRAR)'!$O:$O,"!",0,1)</f>
        <v>35690</v>
      </c>
      <c r="J56" s="10">
        <f t="shared" si="7"/>
        <v>35690</v>
      </c>
      <c r="K56" s="11">
        <f t="shared" si="2"/>
        <v>1</v>
      </c>
      <c r="L56" s="12">
        <f t="shared" si="3"/>
        <v>0</v>
      </c>
      <c r="M56" s="13">
        <f t="shared" si="4"/>
        <v>0</v>
      </c>
      <c r="N56" s="14">
        <f t="shared" si="8"/>
        <v>35690</v>
      </c>
      <c r="O56" s="13">
        <f t="shared" si="5"/>
        <v>1</v>
      </c>
      <c r="P56" s="14">
        <f t="shared" si="6"/>
        <v>0</v>
      </c>
      <c r="Q56" s="15"/>
      <c r="R56" s="15"/>
      <c r="S56" s="16"/>
      <c r="T56" s="17"/>
      <c r="U56" s="16"/>
      <c r="V56" s="17"/>
      <c r="W56" s="16"/>
      <c r="X56" s="17"/>
      <c r="Y56" s="16"/>
      <c r="Z56" s="17"/>
      <c r="AA56" s="16"/>
      <c r="AB56" s="17"/>
      <c r="AC56" s="16"/>
      <c r="AD56" s="17"/>
      <c r="AE56" s="16"/>
      <c r="AF56" s="78">
        <v>35690</v>
      </c>
      <c r="AG56" s="16"/>
      <c r="AH56" s="17"/>
      <c r="AI56" s="16"/>
      <c r="AJ56" s="19"/>
      <c r="AK56" s="16"/>
      <c r="AL56" s="17"/>
      <c r="AM56" s="16"/>
      <c r="AN56" s="20"/>
      <c r="AO56" s="21"/>
      <c r="AP56" s="17"/>
      <c r="AR56" s="22"/>
      <c r="AS56" s="22"/>
      <c r="AT56" s="22"/>
    </row>
    <row r="57" spans="1:46" ht="14.25" customHeight="1" x14ac:dyDescent="0.25">
      <c r="A57" s="2" t="str">
        <f>+_xlfn.XLOOKUP(B57,'[1]Proyectos (NO FILTRAR)'!$F:$F,'[1]Proyectos (NO FILTRAR)'!$B:$B,0,0,1)</f>
        <v>PE-NEX-CS-OTR00-168-A</v>
      </c>
      <c r="B57" s="23" t="s">
        <v>209</v>
      </c>
      <c r="C57" s="7" t="str">
        <f>+_xlfn.XLOOKUP(A57,'[1]Proyectos (NO FILTRAR)'!$B:$B,'[1]Proyectos (NO FILTRAR)'!$G:$G,"error",0,1)</f>
        <v>Perú</v>
      </c>
      <c r="D57" s="7">
        <v>2025</v>
      </c>
      <c r="E57" s="7" t="s">
        <v>231</v>
      </c>
      <c r="F57" s="7" t="s">
        <v>176</v>
      </c>
      <c r="G57" s="8"/>
      <c r="H57" s="8"/>
      <c r="I57" s="9">
        <f>+_xlfn.XLOOKUP(B57,'[1]Proyectos (NO FILTRAR)'!$F:$F,'[1]Proyectos (NO FILTRAR)'!$O:$O,"!",0,1)</f>
        <v>29716</v>
      </c>
      <c r="J57" s="10">
        <f t="shared" si="7"/>
        <v>0</v>
      </c>
      <c r="K57" s="11">
        <f t="shared" si="2"/>
        <v>0</v>
      </c>
      <c r="L57" s="12">
        <f t="shared" si="3"/>
        <v>29716</v>
      </c>
      <c r="M57" s="13">
        <f t="shared" si="4"/>
        <v>1</v>
      </c>
      <c r="N57" s="14">
        <f t="shared" si="8"/>
        <v>29716</v>
      </c>
      <c r="O57" s="13">
        <f t="shared" si="5"/>
        <v>1</v>
      </c>
      <c r="P57" s="14">
        <f t="shared" si="6"/>
        <v>0</v>
      </c>
      <c r="Q57" s="15"/>
      <c r="R57" s="15"/>
      <c r="S57" s="16"/>
      <c r="T57" s="17"/>
      <c r="U57" s="16"/>
      <c r="V57" s="17"/>
      <c r="W57" s="16"/>
      <c r="X57" s="17"/>
      <c r="Y57" s="16"/>
      <c r="Z57" s="17"/>
      <c r="AA57" s="16"/>
      <c r="AB57" s="17"/>
      <c r="AC57" s="16"/>
      <c r="AD57" s="17"/>
      <c r="AE57" s="16"/>
      <c r="AF57" s="17"/>
      <c r="AG57" s="16"/>
      <c r="AH57" s="17"/>
      <c r="AI57" s="16">
        <v>29716</v>
      </c>
      <c r="AJ57" s="19"/>
      <c r="AK57" s="16"/>
      <c r="AL57" s="17"/>
      <c r="AM57" s="16"/>
      <c r="AN57" s="20"/>
      <c r="AO57" s="21"/>
      <c r="AP57" s="17"/>
      <c r="AR57" s="22"/>
      <c r="AS57" s="22"/>
      <c r="AT57" s="22"/>
    </row>
    <row r="58" spans="1:46" ht="14.25" customHeight="1" x14ac:dyDescent="0.25">
      <c r="A58" s="2" t="str">
        <f>+_xlfn.XLOOKUP(B58,'[1]Proyectos (NO FILTRAR)'!$F:$F,'[1]Proyectos (NO FILTRAR)'!$B:$B,0,0,1)</f>
        <v>CH-CRF-CS-FEL00-169-A</v>
      </c>
      <c r="B58" s="23" t="s">
        <v>210</v>
      </c>
      <c r="C58" s="7" t="str">
        <f>+_xlfn.XLOOKUP(A58,'[1]Proyectos (NO FILTRAR)'!$B:$B,'[1]Proyectos (NO FILTRAR)'!$G:$G,"error",0,1)</f>
        <v>Chile</v>
      </c>
      <c r="D58" s="7">
        <v>2025</v>
      </c>
      <c r="E58" s="7" t="s">
        <v>231</v>
      </c>
      <c r="F58" s="7" t="s">
        <v>184</v>
      </c>
      <c r="G58" s="8"/>
      <c r="H58" s="8"/>
      <c r="I58" s="9">
        <f>+_xlfn.XLOOKUP(B58,'[1]Proyectos (NO FILTRAR)'!$F:$F,'[1]Proyectos (NO FILTRAR)'!$O:$O,"!",0,1)</f>
        <v>40000</v>
      </c>
      <c r="J58" s="10">
        <f t="shared" si="7"/>
        <v>0</v>
      </c>
      <c r="K58" s="11">
        <f t="shared" si="2"/>
        <v>0</v>
      </c>
      <c r="L58" s="12">
        <f t="shared" si="3"/>
        <v>40000</v>
      </c>
      <c r="M58" s="13">
        <f t="shared" si="4"/>
        <v>1</v>
      </c>
      <c r="N58" s="14">
        <f t="shared" si="8"/>
        <v>25000</v>
      </c>
      <c r="O58" s="13">
        <f t="shared" si="5"/>
        <v>0.625</v>
      </c>
      <c r="P58" s="14">
        <f t="shared" si="6"/>
        <v>15000</v>
      </c>
      <c r="Q58" s="15"/>
      <c r="R58" s="15"/>
      <c r="S58" s="16"/>
      <c r="T58" s="17"/>
      <c r="U58" s="16"/>
      <c r="V58" s="17"/>
      <c r="W58" s="16"/>
      <c r="X58" s="17"/>
      <c r="Y58" s="16"/>
      <c r="Z58" s="17"/>
      <c r="AA58" s="16"/>
      <c r="AB58" s="17"/>
      <c r="AC58" s="16"/>
      <c r="AD58" s="17"/>
      <c r="AE58" s="16"/>
      <c r="AF58" s="17"/>
      <c r="AG58" s="16"/>
      <c r="AH58" s="17"/>
      <c r="AI58" s="16">
        <v>25000</v>
      </c>
      <c r="AJ58" s="19"/>
      <c r="AK58" s="16"/>
      <c r="AL58" s="17"/>
      <c r="AM58" s="16"/>
      <c r="AN58" s="20"/>
      <c r="AO58" s="21"/>
      <c r="AP58" s="17"/>
      <c r="AR58" s="22"/>
      <c r="AS58" s="22"/>
      <c r="AT58" s="22"/>
    </row>
    <row r="59" spans="1:46" ht="14.25" customHeight="1" x14ac:dyDescent="0.25">
      <c r="A59" s="2" t="str">
        <f>+_xlfn.XLOOKUP(B59,'[1]Proyectos (NO FILTRAR)'!$F:$F,'[1]Proyectos (NO FILTRAR)'!$B:$B,0,0,1)</f>
        <v>CH-PUC-CS-OTR00-170-A</v>
      </c>
      <c r="B59" s="23" t="s">
        <v>211</v>
      </c>
      <c r="C59" s="7" t="str">
        <f>+_xlfn.XLOOKUP(A59,'[1]Proyectos (NO FILTRAR)'!$B:$B,'[1]Proyectos (NO FILTRAR)'!$G:$G,"error",0,1)</f>
        <v>Chile</v>
      </c>
      <c r="D59" s="7">
        <v>2025</v>
      </c>
      <c r="E59" s="7" t="s">
        <v>231</v>
      </c>
      <c r="F59" s="7" t="s">
        <v>165</v>
      </c>
      <c r="G59" s="8"/>
      <c r="H59" s="8"/>
      <c r="I59" s="9">
        <f>+_xlfn.XLOOKUP(B59,'[1]Proyectos (NO FILTRAR)'!$F:$F,'[1]Proyectos (NO FILTRAR)'!$O:$O,"!",0,1)</f>
        <v>20350</v>
      </c>
      <c r="J59" s="10">
        <f t="shared" si="7"/>
        <v>0</v>
      </c>
      <c r="K59" s="11">
        <f t="shared" si="2"/>
        <v>0</v>
      </c>
      <c r="L59" s="12">
        <f t="shared" si="3"/>
        <v>20350</v>
      </c>
      <c r="M59" s="13">
        <f t="shared" si="4"/>
        <v>1</v>
      </c>
      <c r="N59" s="14">
        <f t="shared" si="8"/>
        <v>12000</v>
      </c>
      <c r="O59" s="13">
        <f t="shared" si="5"/>
        <v>0.58968058968058967</v>
      </c>
      <c r="P59" s="14">
        <f t="shared" si="6"/>
        <v>8350</v>
      </c>
      <c r="Q59" s="15"/>
      <c r="R59" s="15"/>
      <c r="S59" s="16"/>
      <c r="T59" s="17"/>
      <c r="U59" s="16"/>
      <c r="V59" s="17"/>
      <c r="W59" s="16"/>
      <c r="X59" s="17"/>
      <c r="Y59" s="16"/>
      <c r="Z59" s="17"/>
      <c r="AA59" s="16"/>
      <c r="AB59" s="17"/>
      <c r="AC59" s="16"/>
      <c r="AD59" s="17"/>
      <c r="AE59" s="16"/>
      <c r="AF59" s="17"/>
      <c r="AG59" s="16"/>
      <c r="AH59" s="17"/>
      <c r="AI59" s="16">
        <v>12000</v>
      </c>
      <c r="AJ59" s="19"/>
      <c r="AK59" s="16"/>
      <c r="AL59" s="17"/>
      <c r="AM59" s="16"/>
      <c r="AN59" s="20"/>
      <c r="AO59" s="21"/>
      <c r="AP59" s="17"/>
      <c r="AR59" s="22"/>
      <c r="AS59" s="22"/>
      <c r="AT59" s="22"/>
    </row>
    <row r="60" spans="1:46" ht="14.25" customHeight="1" x14ac:dyDescent="0.25">
      <c r="A60" s="2" t="str">
        <f>+_xlfn.XLOOKUP(B60,'[1]Proyectos (NO FILTRAR)'!$F:$F,'[1]Proyectos (NO FILTRAR)'!$B:$B,0,0,1)</f>
        <v>CH-COD-UG-FEL00-174-A</v>
      </c>
      <c r="B60" s="23" t="s">
        <v>212</v>
      </c>
      <c r="C60" s="7" t="str">
        <f>+_xlfn.XLOOKUP(A60,'[1]Proyectos (NO FILTRAR)'!$B:$B,'[1]Proyectos (NO FILTRAR)'!$G:$G,"error",0,1)</f>
        <v>Chile</v>
      </c>
      <c r="D60" s="7">
        <v>2025</v>
      </c>
      <c r="E60" s="7" t="s">
        <v>231</v>
      </c>
      <c r="F60" s="7" t="s">
        <v>232</v>
      </c>
      <c r="G60" s="8"/>
      <c r="H60" s="8" t="s">
        <v>181</v>
      </c>
      <c r="I60" s="9">
        <f>+_xlfn.XLOOKUP(B60,'[1]Proyectos (NO FILTRAR)'!$F:$F,'[1]Proyectos (NO FILTRAR)'!$O:$O,"!",0,1)</f>
        <v>85371</v>
      </c>
      <c r="J60" s="10">
        <f t="shared" si="7"/>
        <v>23507</v>
      </c>
      <c r="K60" s="11">
        <f t="shared" si="2"/>
        <v>0.27535111454709443</v>
      </c>
      <c r="L60" s="12">
        <f t="shared" si="3"/>
        <v>61864</v>
      </c>
      <c r="M60" s="13">
        <f t="shared" si="4"/>
        <v>0.72464888545290551</v>
      </c>
      <c r="N60" s="14">
        <f t="shared" si="8"/>
        <v>49507</v>
      </c>
      <c r="O60" s="13">
        <f t="shared" si="5"/>
        <v>0.57990418291925827</v>
      </c>
      <c r="P60" s="14">
        <f t="shared" si="6"/>
        <v>35864</v>
      </c>
      <c r="Q60" s="15"/>
      <c r="R60" s="15"/>
      <c r="S60" s="16"/>
      <c r="T60" s="17"/>
      <c r="U60" s="16"/>
      <c r="V60" s="17"/>
      <c r="W60" s="16"/>
      <c r="X60" s="17"/>
      <c r="Y60" s="16"/>
      <c r="Z60" s="17"/>
      <c r="AA60" s="16"/>
      <c r="AB60" s="17"/>
      <c r="AC60" s="16"/>
      <c r="AD60" s="17"/>
      <c r="AE60" s="16"/>
      <c r="AF60" s="17"/>
      <c r="AG60" s="16"/>
      <c r="AH60" s="17"/>
      <c r="AI60" s="16">
        <v>26000</v>
      </c>
      <c r="AJ60" s="79">
        <v>23507</v>
      </c>
      <c r="AK60" s="16"/>
      <c r="AL60" s="17"/>
      <c r="AM60" s="16"/>
      <c r="AN60" s="20"/>
      <c r="AO60" s="21"/>
      <c r="AP60" s="17"/>
      <c r="AR60" s="22"/>
      <c r="AS60" s="22"/>
      <c r="AT60" s="22"/>
    </row>
    <row r="61" spans="1:46" ht="14.25" customHeight="1" x14ac:dyDescent="0.25">
      <c r="A61" s="80" t="str">
        <f>+_xlfn.XLOOKUP(B61,'[1]Proyectos (NO FILTRAR)'!$F:$F,'[1]Proyectos (NO FILTRAR)'!$B:$B,0,0,1)</f>
        <v>BR-EQG-UG-FEL03-172-A</v>
      </c>
      <c r="B61" s="23" t="s">
        <v>213</v>
      </c>
      <c r="C61" s="7" t="str">
        <f>+_xlfn.XLOOKUP(A61,'[1]Proyectos (NO FILTRAR)'!$B:$B,'[1]Proyectos (NO FILTRAR)'!$G:$G,"error",0,1)</f>
        <v>Brasil</v>
      </c>
      <c r="D61" s="7">
        <v>2025</v>
      </c>
      <c r="E61" s="7" t="s">
        <v>231</v>
      </c>
      <c r="F61" s="7" t="s">
        <v>233</v>
      </c>
      <c r="G61" s="8"/>
      <c r="H61" s="8"/>
      <c r="I61" s="9">
        <f>+_xlfn.XLOOKUP(B61,'[1]Proyectos (NO FILTRAR)'!$F:$F,'[1]Proyectos (NO FILTRAR)'!$O:$O,"!",0,1)</f>
        <v>352015.61</v>
      </c>
      <c r="J61" s="10">
        <f t="shared" si="7"/>
        <v>12415</v>
      </c>
      <c r="K61" s="11">
        <f t="shared" si="2"/>
        <v>3.5268322333773777E-2</v>
      </c>
      <c r="L61" s="12">
        <f t="shared" si="3"/>
        <v>339600.61</v>
      </c>
      <c r="M61" s="13">
        <f t="shared" si="4"/>
        <v>0.96473167766622625</v>
      </c>
      <c r="N61" s="14">
        <f t="shared" si="8"/>
        <v>12415</v>
      </c>
      <c r="O61" s="13">
        <f t="shared" si="5"/>
        <v>3.5268322333773777E-2</v>
      </c>
      <c r="P61" s="14">
        <f t="shared" si="6"/>
        <v>339600.61</v>
      </c>
      <c r="Q61" s="15"/>
      <c r="R61" s="15"/>
      <c r="S61" s="16"/>
      <c r="T61" s="17"/>
      <c r="U61" s="16"/>
      <c r="V61" s="17"/>
      <c r="W61" s="16"/>
      <c r="X61" s="17"/>
      <c r="Y61" s="16"/>
      <c r="Z61" s="17"/>
      <c r="AA61" s="16"/>
      <c r="AB61" s="17"/>
      <c r="AC61" s="16"/>
      <c r="AD61" s="17"/>
      <c r="AE61" s="16"/>
      <c r="AF61" s="17"/>
      <c r="AG61" s="16"/>
      <c r="AH61" s="17"/>
      <c r="AI61" s="16"/>
      <c r="AJ61" s="79">
        <v>12415</v>
      </c>
      <c r="AK61" s="16"/>
      <c r="AL61" s="17"/>
      <c r="AM61" s="16"/>
      <c r="AN61" s="20"/>
      <c r="AO61" s="21"/>
      <c r="AP61" s="17"/>
      <c r="AR61" s="22"/>
      <c r="AS61" s="22"/>
      <c r="AT61" s="22"/>
    </row>
    <row r="62" spans="1:46" ht="14.25" customHeight="1" x14ac:dyDescent="0.25">
      <c r="A62" s="2" t="str">
        <f>+_xlfn.XLOOKUP(B62,'[1]Proyectos (NO FILTRAR)'!$F:$F,'[1]Proyectos (NO FILTRAR)'!$B:$B,0,0,1)</f>
        <v>OT-FNE-CS-OTR00-176-A</v>
      </c>
      <c r="B62" s="23" t="s">
        <v>214</v>
      </c>
      <c r="C62" s="7" t="str">
        <f>+_xlfn.XLOOKUP(A62,'[1]Proyectos (NO FILTRAR)'!$B:$B,'[1]Proyectos (NO FILTRAR)'!$G:$G,"error",0,1)</f>
        <v>Otros</v>
      </c>
      <c r="D62" s="7">
        <v>2025</v>
      </c>
      <c r="E62" s="7" t="s">
        <v>231</v>
      </c>
      <c r="F62" s="7" t="s">
        <v>232</v>
      </c>
      <c r="G62" s="8"/>
      <c r="H62" s="8"/>
      <c r="I62" s="9">
        <f>+_xlfn.XLOOKUP(B62,'[1]Proyectos (NO FILTRAR)'!$F:$F,'[1]Proyectos (NO FILTRAR)'!$O:$O,"!",0,1)</f>
        <v>52400</v>
      </c>
      <c r="J62" s="10">
        <f t="shared" si="7"/>
        <v>0</v>
      </c>
      <c r="K62" s="11">
        <f>+IFERROR(J62/I62,0)</f>
        <v>0</v>
      </c>
      <c r="L62" s="12">
        <f>+I62-J62</f>
        <v>52400</v>
      </c>
      <c r="M62" s="13">
        <f>+IFERROR(L62/I62,0)</f>
        <v>1</v>
      </c>
      <c r="N62" s="14">
        <f>+J62+AI62</f>
        <v>52400</v>
      </c>
      <c r="O62" s="13">
        <f>IFERROR(N62/I62,0)</f>
        <v>1</v>
      </c>
      <c r="P62" s="14">
        <f>+I62-N62</f>
        <v>0</v>
      </c>
      <c r="Q62" s="15"/>
      <c r="R62" s="15"/>
      <c r="S62" s="16"/>
      <c r="T62" s="17"/>
      <c r="U62" s="16"/>
      <c r="V62" s="17"/>
      <c r="W62" s="16"/>
      <c r="X62" s="17"/>
      <c r="Y62" s="16"/>
      <c r="Z62" s="17"/>
      <c r="AA62" s="16"/>
      <c r="AB62" s="17"/>
      <c r="AC62" s="16"/>
      <c r="AD62" s="17"/>
      <c r="AE62" s="16"/>
      <c r="AF62" s="17"/>
      <c r="AG62" s="16"/>
      <c r="AH62" s="17"/>
      <c r="AI62" s="16">
        <v>52400</v>
      </c>
      <c r="AJ62" s="19"/>
      <c r="AK62" s="16"/>
      <c r="AL62" s="17"/>
      <c r="AM62" s="16"/>
      <c r="AN62" s="20"/>
      <c r="AO62" s="21"/>
      <c r="AP62" s="17"/>
      <c r="AR62" s="22"/>
      <c r="AS62" s="22"/>
      <c r="AT62" s="22"/>
    </row>
    <row r="63" spans="1:46" ht="14.25" customHeight="1" x14ac:dyDescent="0.25">
      <c r="A63" s="2" t="str">
        <f>+_xlfn.XLOOKUP(B63,'[1]Proyectos (NO FILTRAR)'!$F:$F,'[1]Proyectos (NO FILTRAR)'!$B:$B,0,0,1)</f>
        <v>CH-AMS-OP-FEL00-171-A</v>
      </c>
      <c r="B63" s="23" t="s">
        <v>215</v>
      </c>
      <c r="C63" s="7" t="str">
        <f>+_xlfn.XLOOKUP(A63,'[1]Proyectos (NO FILTRAR)'!$B:$B,'[1]Proyectos (NO FILTRAR)'!$G:$G,"error",0,1)</f>
        <v>Chile</v>
      </c>
      <c r="D63" s="7">
        <v>2025</v>
      </c>
      <c r="E63" s="7" t="s">
        <v>231</v>
      </c>
      <c r="F63" s="7" t="s">
        <v>165</v>
      </c>
      <c r="G63" s="8"/>
      <c r="H63" s="8"/>
      <c r="I63" s="9">
        <f>+_xlfn.XLOOKUP(B63,'[1]Proyectos (NO FILTRAR)'!$F:$F,'[1]Proyectos (NO FILTRAR)'!$O:$O,"!",0,1)</f>
        <v>141656.26</v>
      </c>
      <c r="J63" s="10">
        <f t="shared" si="7"/>
        <v>0</v>
      </c>
      <c r="K63" s="11">
        <f>+IFERROR(J63/I63,0)</f>
        <v>0</v>
      </c>
      <c r="L63" s="12">
        <f>+I63-J63</f>
        <v>141656.26</v>
      </c>
      <c r="M63" s="13">
        <f>+IFERROR(L63/I63,0)</f>
        <v>1</v>
      </c>
      <c r="N63" s="14">
        <f>+J63+AI63</f>
        <v>45000</v>
      </c>
      <c r="O63" s="13">
        <f>IFERROR(N63/I63,0)</f>
        <v>0.31767039451698076</v>
      </c>
      <c r="P63" s="14">
        <f>+I63-N63</f>
        <v>96656.260000000009</v>
      </c>
      <c r="Q63" s="15"/>
      <c r="R63" s="15"/>
      <c r="S63" s="16"/>
      <c r="T63" s="17"/>
      <c r="U63" s="16"/>
      <c r="V63" s="17"/>
      <c r="W63" s="16"/>
      <c r="X63" s="17"/>
      <c r="Y63" s="16"/>
      <c r="Z63" s="17"/>
      <c r="AA63" s="16"/>
      <c r="AB63" s="17"/>
      <c r="AC63" s="16"/>
      <c r="AD63" s="17"/>
      <c r="AE63" s="16"/>
      <c r="AF63" s="17"/>
      <c r="AG63" s="16"/>
      <c r="AH63" s="17"/>
      <c r="AI63" s="16">
        <v>45000</v>
      </c>
      <c r="AJ63" s="19"/>
      <c r="AK63" s="16"/>
      <c r="AL63" s="17"/>
      <c r="AM63" s="16"/>
      <c r="AN63" s="20"/>
      <c r="AO63" s="21"/>
      <c r="AP63" s="17"/>
      <c r="AR63" s="22"/>
      <c r="AS63" s="22"/>
      <c r="AT63" s="22"/>
    </row>
    <row r="64" spans="1:46" ht="14.25" customHeight="1" x14ac:dyDescent="0.25">
      <c r="A64" s="2" t="str">
        <f>+_xlfn.XLOOKUP(B64,'[1]Proyectos (NO FILTRAR)'!$F:$F,'[1]Proyectos (NO FILTRAR)'!$B:$B,0,0,1)</f>
        <v>CH-AAM-CS-OTR00-179-A</v>
      </c>
      <c r="B64" s="23" t="s">
        <v>220</v>
      </c>
      <c r="C64" s="7" t="str">
        <f>+_xlfn.XLOOKUP(A64,'[1]Proyectos (NO FILTRAR)'!$B:$B,'[1]Proyectos (NO FILTRAR)'!$G:$G,"error",0,1)</f>
        <v>Chile</v>
      </c>
      <c r="D64" s="7">
        <v>2025</v>
      </c>
      <c r="E64" s="7" t="s">
        <v>231</v>
      </c>
      <c r="F64" s="7" t="s">
        <v>174</v>
      </c>
      <c r="G64" s="8"/>
      <c r="H64" s="8"/>
      <c r="I64" s="9">
        <f>+_xlfn.XLOOKUP(B64,'[1]Proyectos (NO FILTRAR)'!$F:$F,'[1]Proyectos (NO FILTRAR)'!$O:$O,"!",0,1)</f>
        <v>84870</v>
      </c>
      <c r="J64" s="10">
        <f t="shared" si="7"/>
        <v>26973</v>
      </c>
      <c r="K64" s="11">
        <f>+IFERROR(J64/I64,0)</f>
        <v>0.31781548250265113</v>
      </c>
      <c r="L64" s="12">
        <f>+I64-J64</f>
        <v>57897</v>
      </c>
      <c r="M64" s="13">
        <f>+IFERROR(L64/I64,0)</f>
        <v>0.68218451749734887</v>
      </c>
      <c r="N64" s="14">
        <f>+J64+AI64</f>
        <v>26973</v>
      </c>
      <c r="O64" s="13">
        <f>IFERROR(N64/I64,0)</f>
        <v>0.31781548250265113</v>
      </c>
      <c r="P64" s="14">
        <f>+I64-N64</f>
        <v>57897</v>
      </c>
      <c r="Q64" s="15"/>
      <c r="R64" s="15"/>
      <c r="S64" s="16"/>
      <c r="T64" s="17"/>
      <c r="U64" s="16"/>
      <c r="V64" s="17"/>
      <c r="W64" s="16"/>
      <c r="X64" s="17"/>
      <c r="Y64" s="16"/>
      <c r="Z64" s="17"/>
      <c r="AA64" s="16"/>
      <c r="AB64" s="17"/>
      <c r="AC64" s="16"/>
      <c r="AD64" s="17"/>
      <c r="AE64" s="16"/>
      <c r="AF64" s="17"/>
      <c r="AG64" s="16"/>
      <c r="AH64" s="17"/>
      <c r="AI64" s="16"/>
      <c r="AJ64" s="19">
        <v>26973</v>
      </c>
      <c r="AK64" s="16"/>
      <c r="AL64" s="17"/>
      <c r="AM64" s="16"/>
      <c r="AN64" s="20"/>
      <c r="AO64" s="21"/>
      <c r="AP64" s="17"/>
      <c r="AR64" s="22"/>
      <c r="AS64" s="22"/>
      <c r="AT64" s="22"/>
    </row>
    <row r="65" spans="1:46" ht="14.25" customHeight="1" x14ac:dyDescent="0.25">
      <c r="A65" s="2" t="str">
        <f>+_xlfn.XLOOKUP(B65,'[1]Proyectos (NO FILTRAR)'!$F:$F,'[1]Proyectos (NO FILTRAR)'!$B:$B,0,0,1)</f>
        <v>OT-RES-CS-OTR00-178-A</v>
      </c>
      <c r="B65" s="23" t="s">
        <v>221</v>
      </c>
      <c r="C65" s="7" t="str">
        <f>+_xlfn.XLOOKUP(A65,'[1]Proyectos (NO FILTRAR)'!$B:$B,'[1]Proyectos (NO FILTRAR)'!$G:$G,"error",0,1)</f>
        <v>Otros</v>
      </c>
      <c r="D65" s="7">
        <v>2025</v>
      </c>
      <c r="E65" s="7" t="s">
        <v>231</v>
      </c>
      <c r="F65" s="7" t="s">
        <v>184</v>
      </c>
      <c r="G65" s="8"/>
      <c r="H65" s="8"/>
      <c r="I65" s="9">
        <f>+_xlfn.XLOOKUP(B65,'[1]Proyectos (NO FILTRAR)'!$F:$F,'[1]Proyectos (NO FILTRAR)'!$O:$O,"!",0,1)</f>
        <v>185615</v>
      </c>
      <c r="J65" s="10">
        <f t="shared" si="7"/>
        <v>0</v>
      </c>
      <c r="K65" s="11">
        <f t="shared" ref="K65:K67" si="12">+IFERROR(J65/I65,0)</f>
        <v>0</v>
      </c>
      <c r="L65" s="12">
        <f t="shared" ref="L65:L66" si="13">+I65-J65</f>
        <v>185615</v>
      </c>
      <c r="M65" s="13">
        <f t="shared" ref="M65:M66" si="14">+IFERROR(L65/I65,0)</f>
        <v>1</v>
      </c>
      <c r="N65" s="14">
        <f t="shared" ref="N65:N66" si="15">+J65+AI65</f>
        <v>0</v>
      </c>
      <c r="O65" s="13">
        <f t="shared" ref="O65:O67" si="16">IFERROR(N65/I65,0)</f>
        <v>0</v>
      </c>
      <c r="P65" s="14">
        <f t="shared" ref="P65:P66" si="17">+I65-N65</f>
        <v>185615</v>
      </c>
      <c r="Q65" s="15"/>
      <c r="R65" s="15"/>
      <c r="S65" s="16"/>
      <c r="T65" s="17"/>
      <c r="U65" s="16"/>
      <c r="V65" s="17"/>
      <c r="W65" s="16"/>
      <c r="X65" s="17"/>
      <c r="Y65" s="16"/>
      <c r="Z65" s="17"/>
      <c r="AA65" s="16"/>
      <c r="AB65" s="17"/>
      <c r="AC65" s="16"/>
      <c r="AD65" s="17"/>
      <c r="AE65" s="16"/>
      <c r="AF65" s="17"/>
      <c r="AG65" s="16"/>
      <c r="AH65" s="17"/>
      <c r="AI65" s="16"/>
      <c r="AJ65" s="19"/>
      <c r="AK65" s="16"/>
      <c r="AL65" s="17"/>
      <c r="AM65" s="16"/>
      <c r="AN65" s="20"/>
      <c r="AO65" s="21"/>
      <c r="AP65" s="17"/>
      <c r="AR65" s="22"/>
      <c r="AS65" s="22"/>
      <c r="AT65" s="22"/>
    </row>
    <row r="66" spans="1:46" ht="14.25" customHeight="1" x14ac:dyDescent="0.25">
      <c r="A66" s="2" t="str">
        <f>+_xlfn.XLOOKUP(B66,'[1]Proyectos (NO FILTRAR)'!$F:$F,'[1]Proyectos (NO FILTRAR)'!$B:$B,0,0,1)</f>
        <v>CH-COL-CS-OTR00-180-A</v>
      </c>
      <c r="B66" s="23" t="s">
        <v>222</v>
      </c>
      <c r="C66" s="7" t="str">
        <f>+_xlfn.XLOOKUP(A66,'[1]Proyectos (NO FILTRAR)'!$B:$B,'[1]Proyectos (NO FILTRAR)'!$G:$G,"error",0,1)</f>
        <v>Chile</v>
      </c>
      <c r="D66" s="7">
        <v>2025</v>
      </c>
      <c r="E66" s="7" t="s">
        <v>231</v>
      </c>
      <c r="F66" s="7" t="s">
        <v>165</v>
      </c>
      <c r="G66" s="8"/>
      <c r="H66" s="8"/>
      <c r="I66" s="9">
        <f>+_xlfn.XLOOKUP(B66,'[1]Proyectos (NO FILTRAR)'!$F:$F,'[1]Proyectos (NO FILTRAR)'!$O:$O,"!",0,1)</f>
        <v>52492</v>
      </c>
      <c r="J66" s="10">
        <f t="shared" si="7"/>
        <v>0</v>
      </c>
      <c r="K66" s="11">
        <f t="shared" si="12"/>
        <v>0</v>
      </c>
      <c r="L66" s="12">
        <f t="shared" si="13"/>
        <v>52492</v>
      </c>
      <c r="M66" s="13">
        <f t="shared" si="14"/>
        <v>1</v>
      </c>
      <c r="N66" s="14">
        <f t="shared" si="15"/>
        <v>0</v>
      </c>
      <c r="O66" s="13">
        <f t="shared" si="16"/>
        <v>0</v>
      </c>
      <c r="P66" s="14">
        <f t="shared" si="17"/>
        <v>52492</v>
      </c>
      <c r="Q66" s="15"/>
      <c r="R66" s="15"/>
      <c r="S66" s="16"/>
      <c r="T66" s="17"/>
      <c r="U66" s="16"/>
      <c r="V66" s="17"/>
      <c r="W66" s="16"/>
      <c r="X66" s="17"/>
      <c r="Y66" s="16"/>
      <c r="Z66" s="17"/>
      <c r="AA66" s="16"/>
      <c r="AB66" s="17"/>
      <c r="AC66" s="16"/>
      <c r="AD66" s="17"/>
      <c r="AE66" s="16"/>
      <c r="AF66" s="17"/>
      <c r="AG66" s="16"/>
      <c r="AH66" s="17"/>
      <c r="AI66" s="16"/>
      <c r="AJ66" s="19"/>
      <c r="AK66" s="16"/>
      <c r="AL66" s="17"/>
      <c r="AM66" s="16"/>
      <c r="AN66" s="20"/>
      <c r="AO66" s="21"/>
      <c r="AP66" s="17"/>
      <c r="AR66" s="22"/>
      <c r="AS66" s="22"/>
      <c r="AT66" s="22"/>
    </row>
    <row r="67" spans="1:46" x14ac:dyDescent="0.25">
      <c r="B67" s="33" t="s">
        <v>188</v>
      </c>
      <c r="C67" s="33"/>
      <c r="D67" s="33"/>
      <c r="E67" s="33"/>
      <c r="F67" s="33"/>
      <c r="G67" s="33"/>
      <c r="H67" s="33"/>
      <c r="I67" s="34">
        <f>SUBTOTAL(9,I3:I63)</f>
        <v>11645369.409999998</v>
      </c>
      <c r="J67" s="34">
        <f>SUBTOTAL(9,J3:J63)</f>
        <v>8946244.5674762409</v>
      </c>
      <c r="K67" s="35">
        <f t="shared" si="12"/>
        <v>0.76822333860822045</v>
      </c>
      <c r="L67" s="34">
        <f>SUBTOTAL(9,L3:L63)</f>
        <v>2699124.8425237592</v>
      </c>
      <c r="M67" s="35">
        <f>+L67/I67</f>
        <v>0.23177666139177971</v>
      </c>
      <c r="N67" s="36">
        <f>SUBTOTAL(9,N3:N63)</f>
        <v>9921161.3986674324</v>
      </c>
      <c r="O67" s="35">
        <f t="shared" si="16"/>
        <v>0.85194046228778531</v>
      </c>
      <c r="P67" s="34">
        <f>SUBTOTAL(9,P3:P63)</f>
        <v>1724208.0113325671</v>
      </c>
      <c r="Q67" s="34">
        <f>+SUM(Q3:Q63)</f>
        <v>2152001.2800000003</v>
      </c>
      <c r="R67" s="34">
        <f>+SUM(R3:R63)</f>
        <v>3576474.6599999997</v>
      </c>
      <c r="S67" s="34">
        <f t="shared" ref="S67:AI67" si="18">+SUM(S3:S66)</f>
        <v>718296</v>
      </c>
      <c r="T67" s="34">
        <f t="shared" si="18"/>
        <v>669095.93000000005</v>
      </c>
      <c r="U67" s="34">
        <f t="shared" si="18"/>
        <v>872909.3630397236</v>
      </c>
      <c r="V67" s="34">
        <f t="shared" si="18"/>
        <v>891789.81999999983</v>
      </c>
      <c r="W67" s="34">
        <f t="shared" si="18"/>
        <v>811650.03356248187</v>
      </c>
      <c r="X67" s="34">
        <f t="shared" si="18"/>
        <v>693813.16</v>
      </c>
      <c r="Y67" s="34">
        <f t="shared" si="18"/>
        <v>611307.48936170212</v>
      </c>
      <c r="Z67" s="34">
        <f t="shared" si="18"/>
        <v>704049.33000000007</v>
      </c>
      <c r="AA67" s="34">
        <f t="shared" si="18"/>
        <v>834236.35166938312</v>
      </c>
      <c r="AB67" s="34">
        <f t="shared" si="18"/>
        <v>730256.79</v>
      </c>
      <c r="AC67" s="34">
        <f t="shared" si="18"/>
        <v>910134</v>
      </c>
      <c r="AD67" s="34">
        <f t="shared" si="18"/>
        <v>1177546.76</v>
      </c>
      <c r="AE67" s="34">
        <f t="shared" si="18"/>
        <v>787334.59</v>
      </c>
      <c r="AF67" s="34">
        <f t="shared" si="18"/>
        <v>742493.85747624072</v>
      </c>
      <c r="AG67" s="34">
        <f t="shared" si="18"/>
        <v>922440.69</v>
      </c>
      <c r="AH67" s="34">
        <f t="shared" si="18"/>
        <v>784662.64</v>
      </c>
      <c r="AI67" s="34">
        <f t="shared" si="18"/>
        <v>974916.83119119168</v>
      </c>
      <c r="AJ67" s="34">
        <f>+SUM(AJ3:AJ66)</f>
        <v>427508</v>
      </c>
      <c r="AK67" s="34">
        <f t="shared" ref="AK67:AP67" si="19">+SUM(AK3:AK66)</f>
        <v>0</v>
      </c>
      <c r="AL67" s="34">
        <f t="shared" si="19"/>
        <v>0</v>
      </c>
      <c r="AM67" s="34">
        <f t="shared" si="19"/>
        <v>0</v>
      </c>
      <c r="AN67" s="34">
        <f t="shared" si="19"/>
        <v>0</v>
      </c>
      <c r="AO67" s="34">
        <f t="shared" si="19"/>
        <v>0</v>
      </c>
      <c r="AP67" s="34">
        <f t="shared" si="19"/>
        <v>0</v>
      </c>
      <c r="AR67" s="37"/>
      <c r="AS67" s="37"/>
      <c r="AT67" s="37"/>
    </row>
    <row r="68" spans="1:46" x14ac:dyDescent="0.25">
      <c r="I68" s="38"/>
    </row>
    <row r="69" spans="1:46" x14ac:dyDescent="0.25">
      <c r="B69" s="2" t="s">
        <v>234</v>
      </c>
      <c r="I69" s="38"/>
      <c r="R69" s="39"/>
      <c r="T69" s="22">
        <f>+T67/S67</f>
        <v>0.93150446334101822</v>
      </c>
      <c r="V69" s="22">
        <f>+V67/U67</f>
        <v>1.0216293440759177</v>
      </c>
      <c r="X69" s="22">
        <f>+X67/W67</f>
        <v>0.85481812518965339</v>
      </c>
      <c r="Z69" s="22">
        <f>+Z67/Y67</f>
        <v>1.1517106239531509</v>
      </c>
      <c r="AB69" s="22">
        <f>+AB67/AA67</f>
        <v>0.87535958908849931</v>
      </c>
      <c r="AD69" s="22">
        <f>+AD67/AC67</f>
        <v>1.2938169104769188</v>
      </c>
      <c r="AF69" s="22">
        <f>+AF67/AE67</f>
        <v>0.94304742469937808</v>
      </c>
      <c r="AG69" s="39"/>
      <c r="AH69" s="22">
        <f>+AH67/AG67</f>
        <v>0.85063749735497907</v>
      </c>
      <c r="AJ69" s="39"/>
    </row>
    <row r="70" spans="1:46" x14ac:dyDescent="0.25">
      <c r="I70" s="38"/>
      <c r="J70" s="42"/>
      <c r="AD70" s="39"/>
      <c r="AO70" s="39"/>
    </row>
    <row r="71" spans="1:46" x14ac:dyDescent="0.25">
      <c r="I71" s="38"/>
      <c r="L71" s="39"/>
      <c r="AT71" s="40"/>
    </row>
    <row r="72" spans="1:46" x14ac:dyDescent="0.25">
      <c r="I72" s="38"/>
      <c r="AD72" s="39"/>
      <c r="AF72" s="39"/>
      <c r="AT72" s="40"/>
    </row>
    <row r="73" spans="1:46" x14ac:dyDescent="0.25">
      <c r="I73" s="38"/>
      <c r="AT73" s="40"/>
    </row>
    <row r="74" spans="1:46" x14ac:dyDescent="0.25">
      <c r="I74" s="38"/>
      <c r="L74" s="39"/>
      <c r="AD74" s="82"/>
      <c r="AH74" s="39"/>
    </row>
    <row r="75" spans="1:46" x14ac:dyDescent="0.25">
      <c r="I75" s="38"/>
      <c r="AD75" s="82"/>
    </row>
    <row r="76" spans="1:46" x14ac:dyDescent="0.25">
      <c r="I76" s="38"/>
      <c r="AD76" s="82"/>
      <c r="AF76" s="39"/>
    </row>
    <row r="77" spans="1:46" x14ac:dyDescent="0.25">
      <c r="I77" s="38"/>
    </row>
    <row r="78" spans="1:46" x14ac:dyDescent="0.25">
      <c r="I78" s="38"/>
    </row>
    <row r="79" spans="1:46" x14ac:dyDescent="0.25">
      <c r="I79" s="38"/>
    </row>
    <row r="81" spans="10:28" x14ac:dyDescent="0.25">
      <c r="J81" s="41"/>
      <c r="K81" s="41"/>
      <c r="L81" s="39"/>
      <c r="R81" s="39"/>
    </row>
    <row r="91" spans="10:28" x14ac:dyDescent="0.25">
      <c r="U91" s="42"/>
      <c r="V91" s="42"/>
      <c r="W91" s="42"/>
      <c r="X91" s="42"/>
      <c r="Y91" s="42"/>
      <c r="Z91" s="42"/>
      <c r="AA91" s="42"/>
      <c r="AB91" s="42"/>
    </row>
    <row r="92" spans="10:28" x14ac:dyDescent="0.25">
      <c r="T92" s="42"/>
      <c r="U92" s="39"/>
      <c r="V92" s="39"/>
      <c r="W92" s="39"/>
      <c r="X92" s="39"/>
      <c r="Y92" s="39"/>
      <c r="Z92" s="39"/>
      <c r="AA92" s="39"/>
      <c r="AB92" s="39"/>
    </row>
    <row r="93" spans="10:28" x14ac:dyDescent="0.25">
      <c r="T93" s="39"/>
    </row>
  </sheetData>
  <autoFilter ref="A2:AP66" xr:uid="{0D7C8600-0D6D-4A1D-B5E9-616FEB336547}">
    <sortState xmlns:xlrd2="http://schemas.microsoft.com/office/spreadsheetml/2017/richdata2" ref="A3:AP36">
      <sortCondition ref="B2:B36"/>
    </sortState>
  </autoFilter>
  <conditionalFormatting sqref="K3:K66">
    <cfRule type="dataBar" priority="2">
      <dataBar>
        <cfvo type="min"/>
        <cfvo type="max"/>
        <color rgb="FFFF555A"/>
      </dataBar>
      <extLst>
        <ext xmlns:x14="http://schemas.microsoft.com/office/spreadsheetml/2009/9/main" uri="{B025F937-C7B1-47D3-B67F-A62EFF666E3E}">
          <x14:id>{6B991283-C2AB-4FE1-8EA6-81F7A24943A3}</x14:id>
        </ext>
      </extLst>
    </cfRule>
  </conditionalFormatting>
  <conditionalFormatting sqref="M3:M66 O3:O66">
    <cfRule type="dataBar" priority="3">
      <dataBar>
        <cfvo type="min"/>
        <cfvo type="max"/>
        <color rgb="FF63C384"/>
      </dataBar>
      <extLst>
        <ext xmlns:x14="http://schemas.microsoft.com/office/spreadsheetml/2009/9/main" uri="{B025F937-C7B1-47D3-B67F-A62EFF666E3E}">
          <x14:id>{5E2D00FE-91C7-4611-BEC5-E5A6DBBF3101}</x14:id>
        </ext>
      </extLst>
    </cfRule>
  </conditionalFormatting>
  <conditionalFormatting sqref="O3:O66">
    <cfRule type="dataBar" priority="4">
      <dataBar>
        <cfvo type="min"/>
        <cfvo type="max"/>
        <color rgb="FFFFB628"/>
      </dataBar>
      <extLst>
        <ext xmlns:x14="http://schemas.microsoft.com/office/spreadsheetml/2009/9/main" uri="{B025F937-C7B1-47D3-B67F-A62EFF666E3E}">
          <x14:id>{ED6AF4AA-081B-4F20-A554-C21D1801BD11}</x14:id>
        </ext>
      </extLst>
    </cfRule>
  </conditionalFormatting>
  <conditionalFormatting sqref="AQ3:AQ66">
    <cfRule type="containsText" dxfId="56" priority="1" operator="containsText" text="!">
      <formula>NOT(ISERROR(SEARCH("!",AQ3)))</formula>
    </cfRule>
  </conditionalFormatting>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6B991283-C2AB-4FE1-8EA6-81F7A24943A3}">
            <x14:dataBar minLength="0" maxLength="100" gradient="0">
              <x14:cfvo type="autoMin"/>
              <x14:cfvo type="autoMax"/>
              <x14:negativeFillColor rgb="FFFF0000"/>
              <x14:axisColor rgb="FF000000"/>
            </x14:dataBar>
          </x14:cfRule>
          <xm:sqref>K3:K66</xm:sqref>
        </x14:conditionalFormatting>
        <x14:conditionalFormatting xmlns:xm="http://schemas.microsoft.com/office/excel/2006/main">
          <x14:cfRule type="dataBar" id="{5E2D00FE-91C7-4611-BEC5-E5A6DBBF3101}">
            <x14:dataBar minLength="0" maxLength="100" gradient="0">
              <x14:cfvo type="autoMin"/>
              <x14:cfvo type="autoMax"/>
              <x14:negativeFillColor rgb="FFFF0000"/>
              <x14:axisColor rgb="FF000000"/>
            </x14:dataBar>
          </x14:cfRule>
          <xm:sqref>M3:M66 O3:O66</xm:sqref>
        </x14:conditionalFormatting>
        <x14:conditionalFormatting xmlns:xm="http://schemas.microsoft.com/office/excel/2006/main">
          <x14:cfRule type="dataBar" id="{ED6AF4AA-081B-4F20-A554-C21D1801BD11}">
            <x14:dataBar minLength="0" maxLength="100" gradient="0">
              <x14:cfvo type="autoMin"/>
              <x14:cfvo type="autoMax"/>
              <x14:negativeFillColor rgb="FFFF0000"/>
              <x14:axisColor rgb="FF000000"/>
            </x14:dataBar>
          </x14:cfRule>
          <xm:sqref>O3:O66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aaa94c6-a08a-4f31-80d4-9ed0227976f0">
      <Terms xmlns="http://schemas.microsoft.com/office/infopath/2007/PartnerControls"/>
    </lcf76f155ced4ddcb4097134ff3c332f>
    <TaxCatchAll xmlns="379e1408-2888-4c35-8838-6acad26c5d6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0E5B92ACAE07D34EBD9C6E2622D0FB90" ma:contentTypeVersion="12" ma:contentTypeDescription="Crear nuevo documento." ma:contentTypeScope="" ma:versionID="b444f2bab3c9385280f09a934f960e9b">
  <xsd:schema xmlns:xsd="http://www.w3.org/2001/XMLSchema" xmlns:xs="http://www.w3.org/2001/XMLSchema" xmlns:p="http://schemas.microsoft.com/office/2006/metadata/properties" xmlns:ns2="0aaa94c6-a08a-4f31-80d4-9ed0227976f0" xmlns:ns3="379e1408-2888-4c35-8838-6acad26c5d63" targetNamespace="http://schemas.microsoft.com/office/2006/metadata/properties" ma:root="true" ma:fieldsID="52edec5c946cc200efe2e61d224a5ae1" ns2:_="" ns3:_="">
    <xsd:import namespace="0aaa94c6-a08a-4f31-80d4-9ed0227976f0"/>
    <xsd:import namespace="379e1408-2888-4c35-8838-6acad26c5d6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aa94c6-a08a-4f31-80d4-9ed0227976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Etiquetas de imagen" ma:readOnly="false" ma:fieldId="{5cf76f15-5ced-4ddc-b409-7134ff3c332f}" ma:taxonomyMulti="true" ma:sspId="90e85e79-d9a7-4c0e-b556-3753633e16a0"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79e1408-2888-4c35-8838-6acad26c5d63" elementFormDefault="qualified">
    <xsd:import namespace="http://schemas.microsoft.com/office/2006/documentManagement/types"/>
    <xsd:import namespace="http://schemas.microsoft.com/office/infopath/2007/PartnerControls"/>
    <xsd:element name="SharedWithUsers" ma:index="12"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Detalles de uso compartido" ma:internalName="SharedWithDetails" ma:readOnly="true">
      <xsd:simpleType>
        <xsd:restriction base="dms:Note">
          <xsd:maxLength value="255"/>
        </xsd:restriction>
      </xsd:simpleType>
    </xsd:element>
    <xsd:element name="TaxCatchAll" ma:index="16" nillable="true" ma:displayName="Taxonomy Catch All Column" ma:hidden="true" ma:list="{c83b9dc9-1702-4a21-9e9b-ae6102858314}" ma:internalName="TaxCatchAll" ma:showField="CatchAllData" ma:web="379e1408-2888-4c35-8838-6acad26c5d6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46369B9-D8AF-465E-86C2-5960C183BB60}">
  <ds:schemaRefs>
    <ds:schemaRef ds:uri="http://schemas.microsoft.com/office/2006/metadata/properties"/>
    <ds:schemaRef ds:uri="http://schemas.microsoft.com/office/infopath/2007/PartnerControls"/>
    <ds:schemaRef ds:uri="0aaa94c6-a08a-4f31-80d4-9ed0227976f0"/>
    <ds:schemaRef ds:uri="379e1408-2888-4c35-8838-6acad26c5d63"/>
  </ds:schemaRefs>
</ds:datastoreItem>
</file>

<file path=customXml/itemProps2.xml><?xml version="1.0" encoding="utf-8"?>
<ds:datastoreItem xmlns:ds="http://schemas.openxmlformats.org/officeDocument/2006/customXml" ds:itemID="{4FDDE8AF-55FF-4AB7-BD17-F4AAD8D95716}">
  <ds:schemaRefs>
    <ds:schemaRef ds:uri="http://schemas.microsoft.com/sharepoint/v3/contenttype/forms"/>
  </ds:schemaRefs>
</ds:datastoreItem>
</file>

<file path=customXml/itemProps3.xml><?xml version="1.0" encoding="utf-8"?>
<ds:datastoreItem xmlns:ds="http://schemas.openxmlformats.org/officeDocument/2006/customXml" ds:itemID="{D518D8F1-E4D7-4C86-BB9C-8934320CD1C8}"/>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1</vt:i4>
      </vt:variant>
    </vt:vector>
  </HeadingPairs>
  <TitlesOfParts>
    <vt:vector size="6" baseType="lpstr">
      <vt:lpstr>Proyección Ingresos 2025_Dic</vt:lpstr>
      <vt:lpstr>PY Ingresos 2026</vt:lpstr>
      <vt:lpstr>TD EDP 2025</vt:lpstr>
      <vt:lpstr>CicloEdP_2023_v1</vt:lpstr>
      <vt:lpstr>POM 2025</vt:lpstr>
      <vt:lpstr>CicloEdP_2023_v1!Área_de_impresión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Eduardo Cuevas</dc:creator>
  <cp:lastModifiedBy>Eduardo Cuevas</cp:lastModifiedBy>
  <dcterms:created xsi:type="dcterms:W3CDTF">2025-06-12T19:48:39Z</dcterms:created>
  <dcterms:modified xsi:type="dcterms:W3CDTF">2026-02-03T21:55:45Z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0x0101000E5B92ACAE07D34EBD9C6E2622D0FB90</vt:lpwstr>
  </property>
</Properties>
</file>